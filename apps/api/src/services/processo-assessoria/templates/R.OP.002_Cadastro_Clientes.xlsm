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G:\.shortcut-targets-by-id\0B-68_HgRcw5sYmV0SkVvR01HSWs\1.IMPLEMENTAÇÕES\TEX CAPITAL\MS_0363\3. Soluções\3. Processo Assessoria\2. Registros e documentos\"/>
    </mc:Choice>
  </mc:AlternateContent>
  <xr:revisionPtr revIDLastSave="0" documentId="13_ncr:1_{E6C5AFB0-8BD1-459D-813B-BA1931432445}" xr6:coauthVersionLast="47" xr6:coauthVersionMax="47" xr10:uidLastSave="{00000000-0000-0000-0000-000000000000}"/>
  <bookViews>
    <workbookView xWindow="-108" yWindow="-108" windowWidth="23256" windowHeight="12456" xr2:uid="{5FC386FB-8313-4219-B9D3-3A757597E291}"/>
  </bookViews>
  <sheets>
    <sheet name="Home" sheetId="11" r:id="rId1"/>
    <sheet name="pdf" sheetId="21" state="veryHidden" r:id="rId2"/>
    <sheet name="Pecuaria" sheetId="17" state="veryHidden" r:id="rId3"/>
    <sheet name="Fazendas" sheetId="10" state="veryHidden" r:id="rId4"/>
    <sheet name="Parâmetros" sheetId="9" state="veryHidden" r:id="rId5"/>
    <sheet name="listagens" sheetId="2" state="veryHidden" r:id="rId6"/>
    <sheet name="Parametros" sheetId="15" r:id="rId7"/>
    <sheet name="Sócios" sheetId="3" state="veryHidden" r:id="rId8"/>
    <sheet name="Demandas" sheetId="5" state="veryHidden" r:id="rId9"/>
    <sheet name="Safras" sheetId="13" state="veryHidden" r:id="rId10"/>
    <sheet name="Produção Agrícola" sheetId="7" state="veryHidden" r:id="rId11"/>
    <sheet name="Producao" sheetId="8" state="veryHidden" r:id="rId12"/>
    <sheet name="Endividamento" sheetId="6" state="veryHidden" r:id="rId13"/>
  </sheets>
  <definedNames>
    <definedName name="anosafra">listagens!$P$2:$P$11</definedName>
    <definedName name="_xlnm.Print_Area" localSheetId="1">pdf!$A$1:$L$235</definedName>
    <definedName name="carencia">OFFSET(Parametros!$E$1,1,0,COUNTA(Parametros!$E:$E)-1,1)</definedName>
    <definedName name="cidades">OFFSET(Parametros!$K$1,1,0,COUNTA(Parametros!$K:$K)-1,1)</definedName>
    <definedName name="emails">OFFSET(Parametros!$S$1,1,0,COUNTA(Parametros!$S:$S)-1,1)</definedName>
    <definedName name="fazendas">OFFSET(Fazendas!$A$1,1,0,COUNTA(Fazendas!$A:$A)-1,1)</definedName>
    <definedName name="finalidades">OFFSET(Parametros!$I$1,1,0,COUNTA(Parametros!$I:$I)-1,1)</definedName>
    <definedName name="garantia">OFFSET(Parametros!$G$1,1,0,COUNTA(Parametros!$G:$G)-1,1)</definedName>
    <definedName name="graos">OFFSET(Parametros!$M$1,1,0,COUNTA(Parametros!$M:$M)-1,1)</definedName>
    <definedName name="graos_sim">OFFSET('Produção Agrícola'!$A$1,1,0,COUNTA('Produção Agrícola'!$O:$O)-1,6)</definedName>
    <definedName name="nome_cliente" localSheetId="0">LEFT(RIGHT(CELL("filename"),LEN(CELL("filename"))-MAX(IF(NOT(ISERR(SEARCH("\",CELL("filename"),ROW(Home!1048566:244)))),SEARCH("\",CELL("filename"),ROW(Home!1048566:244))))-1),SEARCH(".",RIGHT(CELL("filename"),LEN(CELL("filename"))-MAX(IF(NOT(ISERR(SEARCH("\",CELL("filename"),ROW(Home!1048566:244)))),SEARCH("\",CELL("filename"),ROW(Home!1048566:244))))))-2)</definedName>
    <definedName name="nome_cliente">LEFT(RIGHT(CELL("filename"),LEN(CELL("filename"))-MAX(IF(NOT(ISERR(SEARCH("\",CELL("filename"),ROW(#REF!)))),SEARCH("\",CELL("filename"),ROW(#REF!))))-1),SEARCH(".",RIGHT(CELL("filename"),LEN(CELL("filename"))-MAX(IF(NOT(ISERR(SEARCH("\",CELL("filename"),ROW(#REF!)))),SEARCH("\",CELL("filename"),ROW(#REF!))))))-2)</definedName>
    <definedName name="parentesco">OFFSET(Parametros!$O$1,1,0,COUNTA(Parametros!$O:$O)-1,1)</definedName>
    <definedName name="pecuaria">OFFSET(Parametros!$Q$1,1,0,COUNTA(Parametros!$Q:$Q)-1,1)</definedName>
    <definedName name="periodo">OFFSET(Parametros!$C$1,1,0,COUNTA(Parametros!$C:$C)-1,1)</definedName>
    <definedName name="producao_sim">OFFSET('Produção Agrícola'!$O$1,1,0,COUNTA('Produção Agrícola'!$O:$O)-1,1)</definedName>
    <definedName name="UFs">listagens!$S$2:$S$28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73" i="21" l="1"/>
  <c r="D170" i="21"/>
  <c r="D169" i="21"/>
  <c r="C95" i="21"/>
  <c r="D92" i="21"/>
  <c r="D91" i="21"/>
  <c r="D38" i="21"/>
  <c r="Q87" i="21"/>
  <c r="G18" i="21" a="1"/>
  <c r="C17" i="21" a="1"/>
  <c r="D71" i="21" a="1"/>
  <c r="C64" i="21" a="1"/>
  <c r="E17" i="21" a="1"/>
  <c r="F17" i="21" a="1"/>
  <c r="D72" i="21" a="1"/>
  <c r="D70" i="21" a="1"/>
  <c r="C63" i="21" a="1"/>
  <c r="C72" i="21" a="1"/>
  <c r="C62" i="21" a="1"/>
  <c r="D67" i="21" a="1"/>
  <c r="D66" i="21" a="1"/>
  <c r="C67" i="21" a="1"/>
  <c r="C19" i="21" a="1"/>
  <c r="D73" i="21" a="1"/>
  <c r="C66" i="21" a="1"/>
  <c r="D65" i="21" a="1"/>
  <c r="C71" i="21" a="1"/>
  <c r="D68" i="21" a="1"/>
  <c r="F18" i="21" a="1"/>
  <c r="D17" i="21" a="1"/>
  <c r="G17" i="21" a="1"/>
  <c r="D18" i="21" a="1"/>
  <c r="D69" i="21" a="1"/>
  <c r="C68" i="21" a="1"/>
  <c r="C69" i="21" a="1"/>
  <c r="C18" i="21" a="1"/>
  <c r="G19" i="21" a="1"/>
  <c r="D64" i="21" a="1"/>
  <c r="C65" i="21" a="1"/>
  <c r="E18" i="21" a="1"/>
  <c r="E19" i="21" a="1"/>
  <c r="F19" i="21" a="1"/>
  <c r="C73" i="21" a="1"/>
  <c r="D63" i="21" a="1"/>
  <c r="D19" i="21" a="1"/>
  <c r="D62" i="21" a="1"/>
  <c r="C70" i="21" a="1"/>
  <c r="G18" i="21" l="1"/>
  <c r="G19" i="21"/>
  <c r="F18" i="21"/>
  <c r="F19" i="21"/>
  <c r="E18" i="21"/>
  <c r="E19" i="21"/>
  <c r="D18" i="21"/>
  <c r="C17" i="21"/>
  <c r="D19" i="21"/>
  <c r="C18" i="21"/>
  <c r="C19" i="21"/>
  <c r="G17" i="21"/>
  <c r="F17" i="21"/>
  <c r="E17" i="21"/>
  <c r="D17" i="21"/>
  <c r="D68" i="21"/>
  <c r="D73" i="21"/>
  <c r="D67" i="21"/>
  <c r="D72" i="21"/>
  <c r="D66" i="21"/>
  <c r="D71" i="21"/>
  <c r="D65" i="21"/>
  <c r="D70" i="21"/>
  <c r="D64" i="21"/>
  <c r="D69" i="21"/>
  <c r="D63" i="21"/>
  <c r="D62" i="21"/>
  <c r="C70" i="21"/>
  <c r="C64" i="21"/>
  <c r="C69" i="21"/>
  <c r="C63" i="21"/>
  <c r="C68" i="21"/>
  <c r="C73" i="21"/>
  <c r="C67" i="21"/>
  <c r="C72" i="21"/>
  <c r="C66" i="21"/>
  <c r="C71" i="21"/>
  <c r="C65" i="21"/>
  <c r="C62" i="21"/>
  <c r="C52" i="21" a="1"/>
  <c r="D55" i="21" a="1"/>
  <c r="E47" i="21" a="1"/>
  <c r="C50" i="21" a="1"/>
  <c r="D45" i="21" a="1"/>
  <c r="D59" i="21" a="1"/>
  <c r="D51" i="21" a="1"/>
  <c r="D57" i="21" a="1"/>
  <c r="G52" i="21" a="1"/>
  <c r="F53" i="21" a="1"/>
  <c r="E51" i="21" a="1"/>
  <c r="G49" i="21" a="1"/>
  <c r="H54" i="21" a="1"/>
  <c r="F50" i="21" a="1"/>
  <c r="C46" i="21" a="1"/>
  <c r="C53" i="21" a="1"/>
  <c r="G56" i="21" a="1"/>
  <c r="C57" i="21" a="1"/>
  <c r="H56" i="21" a="1"/>
  <c r="F56" i="21" a="1"/>
  <c r="E46" i="21" a="1"/>
  <c r="C54" i="21" a="1"/>
  <c r="G50" i="21" a="1"/>
  <c r="F47" i="21" a="1"/>
  <c r="F54" i="21" a="1"/>
  <c r="E56" i="21" a="1"/>
  <c r="H47" i="21" a="1"/>
  <c r="F51" i="21" a="1"/>
  <c r="E53" i="21" a="1"/>
  <c r="F58" i="21" a="1"/>
  <c r="F52" i="21" a="1"/>
  <c r="E48" i="21" a="1"/>
  <c r="G58" i="21" a="1"/>
  <c r="D58" i="21" a="1"/>
  <c r="E50" i="21" a="1"/>
  <c r="F49" i="21" a="1"/>
  <c r="C58" i="21" a="1"/>
  <c r="E57" i="21" a="1"/>
  <c r="H48" i="21" a="1"/>
  <c r="G47" i="21" a="1"/>
  <c r="F45" i="21" a="1"/>
  <c r="C48" i="21" a="1"/>
  <c r="E54" i="21" a="1"/>
  <c r="E45" i="21" a="1"/>
  <c r="C55" i="21" a="1"/>
  <c r="H46" i="21" a="1"/>
  <c r="H50" i="21" a="1"/>
  <c r="D49" i="21" a="1"/>
  <c r="G51" i="21" a="1"/>
  <c r="C47" i="21" a="1"/>
  <c r="E58" i="21" a="1"/>
  <c r="F48" i="21" a="1"/>
  <c r="H58" i="21" a="1"/>
  <c r="D54" i="21" a="1"/>
  <c r="C56" i="21" a="1"/>
  <c r="C49" i="21" a="1"/>
  <c r="G45" i="21" a="1"/>
  <c r="H51" i="21" a="1"/>
  <c r="F46" i="21" a="1"/>
  <c r="C45" i="21" a="1"/>
  <c r="H55" i="21" a="1"/>
  <c r="E52" i="21" a="1"/>
  <c r="G54" i="21" a="1"/>
  <c r="G53" i="21" a="1"/>
  <c r="E55" i="21" a="1"/>
  <c r="H52" i="21" a="1"/>
  <c r="H53" i="21" a="1"/>
  <c r="G55" i="21" a="1"/>
  <c r="D48" i="21" a="1"/>
  <c r="D47" i="21" a="1"/>
  <c r="D56" i="21" a="1"/>
  <c r="F55" i="21" a="1"/>
  <c r="F57" i="21" a="1"/>
  <c r="G48" i="21" a="1"/>
  <c r="G46" i="21" a="1"/>
  <c r="H57" i="21" a="1"/>
  <c r="H49" i="21" a="1"/>
  <c r="E49" i="21" a="1"/>
  <c r="D52" i="21" a="1"/>
  <c r="H45" i="21" a="1"/>
  <c r="C51" i="21" a="1"/>
  <c r="D46" i="21" a="1"/>
  <c r="D50" i="21" a="1"/>
  <c r="G57" i="21" a="1"/>
  <c r="D53" i="21" a="1"/>
  <c r="H51" i="21" l="1"/>
  <c r="H50" i="21"/>
  <c r="H55" i="21"/>
  <c r="H49" i="21"/>
  <c r="H57" i="21"/>
  <c r="H56" i="21"/>
  <c r="H54" i="21"/>
  <c r="H48" i="21"/>
  <c r="H53" i="21"/>
  <c r="H47" i="21"/>
  <c r="H58" i="21"/>
  <c r="H52" i="21"/>
  <c r="H46" i="21"/>
  <c r="H45" i="21"/>
  <c r="G49" i="21"/>
  <c r="G54" i="21"/>
  <c r="G47" i="21"/>
  <c r="G57" i="21"/>
  <c r="G51" i="21"/>
  <c r="G52" i="21"/>
  <c r="G50" i="21"/>
  <c r="G55" i="21"/>
  <c r="G48" i="21"/>
  <c r="G53" i="21"/>
  <c r="G58" i="21"/>
  <c r="G46" i="21"/>
  <c r="G56" i="21"/>
  <c r="G45" i="21"/>
  <c r="F57" i="21"/>
  <c r="F51" i="21"/>
  <c r="F56" i="21"/>
  <c r="F50" i="21"/>
  <c r="F55" i="21"/>
  <c r="F49" i="21"/>
  <c r="F54" i="21"/>
  <c r="F48" i="21"/>
  <c r="F53" i="21"/>
  <c r="F47" i="21"/>
  <c r="F58" i="21"/>
  <c r="F52" i="21"/>
  <c r="F46" i="21"/>
  <c r="F45" i="21"/>
  <c r="E53" i="21"/>
  <c r="E47" i="21"/>
  <c r="E58" i="21"/>
  <c r="E52" i="21"/>
  <c r="E46" i="21"/>
  <c r="E57" i="21"/>
  <c r="E51" i="21"/>
  <c r="E56" i="21"/>
  <c r="E50" i="21"/>
  <c r="E55" i="21"/>
  <c r="E49" i="21"/>
  <c r="E54" i="21"/>
  <c r="E48" i="21"/>
  <c r="E45" i="21"/>
  <c r="D48" i="21"/>
  <c r="D51" i="21"/>
  <c r="D55" i="21"/>
  <c r="D54" i="21"/>
  <c r="D56" i="21"/>
  <c r="D49" i="21"/>
  <c r="D53" i="21"/>
  <c r="D47" i="21"/>
  <c r="D58" i="21"/>
  <c r="D52" i="21"/>
  <c r="D46" i="21"/>
  <c r="D57" i="21"/>
  <c r="D50" i="21"/>
  <c r="D45" i="21"/>
  <c r="C57" i="21"/>
  <c r="C51" i="21"/>
  <c r="C56" i="21"/>
  <c r="C50" i="21"/>
  <c r="C55" i="21"/>
  <c r="C49" i="21"/>
  <c r="C54" i="21"/>
  <c r="C48" i="21"/>
  <c r="C53" i="21"/>
  <c r="C47" i="21"/>
  <c r="C58" i="21"/>
  <c r="C52" i="21"/>
  <c r="C46" i="21"/>
  <c r="C45" i="21"/>
  <c r="D59" i="21"/>
  <c r="I29" i="21"/>
  <c r="I30" i="21"/>
  <c r="H30" i="21"/>
  <c r="H31" i="21"/>
  <c r="H32" i="21"/>
  <c r="H26" i="21"/>
  <c r="G27" i="21"/>
  <c r="F32" i="21"/>
  <c r="F26" i="21"/>
  <c r="E26" i="21"/>
  <c r="D30" i="21"/>
  <c r="D31" i="21"/>
  <c r="D32" i="21"/>
  <c r="D27" i="21"/>
  <c r="D13" i="21"/>
  <c r="D12" i="21"/>
  <c r="I43" i="21"/>
  <c r="H43" i="21" s="1"/>
  <c r="E41" i="21"/>
  <c r="D41" i="21"/>
  <c r="F38" i="21"/>
  <c r="E38" i="21"/>
  <c r="F37" i="21"/>
  <c r="E37" i="21"/>
  <c r="D37" i="21"/>
  <c r="F36" i="21"/>
  <c r="E36" i="21"/>
  <c r="D36" i="21"/>
  <c r="K33" i="21"/>
  <c r="K32" i="21"/>
  <c r="K31" i="21"/>
  <c r="K30" i="21"/>
  <c r="K29" i="21"/>
  <c r="K28" i="21"/>
  <c r="W14" i="21"/>
  <c r="W9" i="21"/>
  <c r="G28" i="21"/>
  <c r="I31" i="21"/>
  <c r="L4" i="2"/>
  <c r="L3" i="2"/>
  <c r="L5" i="2"/>
  <c r="A2" i="2"/>
  <c r="A3" i="2" a="1"/>
  <c r="A3" i="2" s="1"/>
  <c r="A2" i="8" a="1"/>
  <c r="A2" i="8" s="1"/>
  <c r="O12" i="8" a="1"/>
  <c r="O12" i="8" s="1"/>
  <c r="O11" i="8" a="1"/>
  <c r="O11" i="8" s="1"/>
  <c r="O10" i="8" a="1"/>
  <c r="O10" i="8" s="1"/>
  <c r="O9" i="8" a="1"/>
  <c r="O9" i="8" s="1"/>
  <c r="O8" i="8" a="1"/>
  <c r="O8" i="8" s="1"/>
  <c r="O7" i="8" a="1"/>
  <c r="O7" i="8" s="1"/>
  <c r="Q6" i="8"/>
  <c r="O6" i="8" a="1"/>
  <c r="O6" i="8" s="1"/>
  <c r="Q5" i="8"/>
  <c r="O5" i="8" a="1"/>
  <c r="O5" i="8" s="1"/>
  <c r="Q4" i="8"/>
  <c r="Q3" i="8"/>
  <c r="Q2" i="8"/>
  <c r="L2" i="2"/>
  <c r="D21" i="21" a="1"/>
  <c r="H17" i="21" a="1"/>
  <c r="G22" i="21" a="1"/>
  <c r="E59" i="21" a="1"/>
  <c r="G21" i="21" a="1"/>
  <c r="F62" i="21" a="1"/>
  <c r="D22" i="21" a="1"/>
  <c r="E21" i="21" a="1"/>
  <c r="F66" i="21" a="1"/>
  <c r="H18" i="21" a="1"/>
  <c r="C20" i="21" a="1"/>
  <c r="E20" i="21" a="1"/>
  <c r="G23" i="21" a="1"/>
  <c r="F21" i="21" a="1"/>
  <c r="H59" i="21" a="1"/>
  <c r="F71" i="21" a="1"/>
  <c r="F64" i="21" a="1"/>
  <c r="I59" i="21" a="1"/>
  <c r="F59" i="21" a="1"/>
  <c r="H21" i="21" a="1"/>
  <c r="H22" i="21" a="1"/>
  <c r="D23" i="21" a="1"/>
  <c r="G59" i="21" a="1"/>
  <c r="C21" i="21" a="1"/>
  <c r="F70" i="21" a="1"/>
  <c r="F69" i="21" a="1"/>
  <c r="E22" i="21" a="1"/>
  <c r="F65" i="21" a="1"/>
  <c r="H19" i="21" a="1"/>
  <c r="F73" i="21" a="1"/>
  <c r="F67" i="21" a="1"/>
  <c r="H20" i="21" a="1"/>
  <c r="G20" i="21" a="1"/>
  <c r="F68" i="21" a="1"/>
  <c r="F20" i="21" a="1"/>
  <c r="F23" i="21" a="1"/>
  <c r="H23" i="21" a="1"/>
  <c r="F72" i="21" a="1"/>
  <c r="E23" i="21" a="1"/>
  <c r="F22" i="21" a="1"/>
  <c r="C22" i="21" a="1"/>
  <c r="F63" i="21" a="1"/>
  <c r="D20" i="21" a="1"/>
  <c r="H33" i="21" l="1"/>
  <c r="F31" i="21"/>
  <c r="I28" i="21"/>
  <c r="C26" i="21"/>
  <c r="F30" i="21"/>
  <c r="I27" i="21"/>
  <c r="C32" i="21"/>
  <c r="F29" i="21"/>
  <c r="J26" i="21"/>
  <c r="C31" i="21"/>
  <c r="F28" i="21"/>
  <c r="J32" i="21"/>
  <c r="K27" i="21"/>
  <c r="D28" i="21"/>
  <c r="C33" i="21"/>
  <c r="C30" i="21"/>
  <c r="E32" i="21"/>
  <c r="F27" i="21"/>
  <c r="H29" i="21"/>
  <c r="J31" i="21"/>
  <c r="D33" i="21"/>
  <c r="C29" i="21"/>
  <c r="E31" i="21"/>
  <c r="G26" i="21"/>
  <c r="H28" i="21"/>
  <c r="J30" i="21"/>
  <c r="E33" i="21"/>
  <c r="C28" i="21"/>
  <c r="E30" i="21"/>
  <c r="G32" i="21"/>
  <c r="H27" i="21"/>
  <c r="J29" i="21"/>
  <c r="F33" i="21"/>
  <c r="C27" i="21"/>
  <c r="E29" i="21"/>
  <c r="G31" i="21"/>
  <c r="I26" i="21"/>
  <c r="J28" i="21"/>
  <c r="G33" i="21"/>
  <c r="D26" i="21"/>
  <c r="E28" i="21"/>
  <c r="G30" i="21"/>
  <c r="I32" i="21"/>
  <c r="J27" i="21"/>
  <c r="K26" i="21"/>
  <c r="J33" i="21"/>
  <c r="D29" i="21"/>
  <c r="E27" i="21"/>
  <c r="G29" i="21"/>
  <c r="F21" i="21"/>
  <c r="G21" i="21"/>
  <c r="F20" i="21"/>
  <c r="D22" i="21"/>
  <c r="D20" i="21"/>
  <c r="E20" i="21"/>
  <c r="G20" i="21"/>
  <c r="E22" i="21"/>
  <c r="D21" i="21"/>
  <c r="F22" i="21"/>
  <c r="E21" i="21"/>
  <c r="G22" i="21"/>
  <c r="C20" i="21"/>
  <c r="C22" i="21"/>
  <c r="C21" i="21"/>
  <c r="I36" i="21"/>
  <c r="I35" i="21"/>
  <c r="I37" i="21"/>
  <c r="E59" i="21"/>
  <c r="F62" i="21"/>
  <c r="F65" i="21"/>
  <c r="F71" i="21"/>
  <c r="F59" i="21"/>
  <c r="G59" i="21"/>
  <c r="F72" i="21"/>
  <c r="H20" i="21"/>
  <c r="E23" i="21"/>
  <c r="H21" i="21"/>
  <c r="D23" i="21"/>
  <c r="F63" i="21"/>
  <c r="F69" i="21"/>
  <c r="H59" i="21"/>
  <c r="G23" i="21"/>
  <c r="F66" i="21"/>
  <c r="H19" i="21"/>
  <c r="F23" i="21"/>
  <c r="I59" i="21"/>
  <c r="F64" i="21"/>
  <c r="F67" i="21"/>
  <c r="F70" i="21"/>
  <c r="F73" i="21"/>
  <c r="H18" i="21"/>
  <c r="H23" i="21"/>
  <c r="H22" i="21"/>
  <c r="H17" i="21"/>
  <c r="F68" i="21"/>
  <c r="N1" i="8" a="1"/>
  <c r="O4" i="8" s="1" a="1"/>
  <c r="O4" i="8" s="1"/>
  <c r="I38" i="21" l="1"/>
  <c r="N1" i="8"/>
  <c r="L1" i="2" l="1"/>
  <c r="K13" i="2" s="1"/>
  <c r="O3" i="8" s="1" a="1"/>
  <c r="O3" i="8" s="1"/>
  <c r="O2" i="8" s="1" a="1"/>
  <c r="O2" i="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<sst xmlns="http://schemas.openxmlformats.org/spreadsheetml/2006/main" count="11552" uniqueCount="11150">
  <si>
    <t>Nome da planilha</t>
  </si>
  <si>
    <t>CPF</t>
  </si>
  <si>
    <t>Nome</t>
  </si>
  <si>
    <t>Estado Civil</t>
  </si>
  <si>
    <t>E-mail</t>
  </si>
  <si>
    <t>Solteiro(a)</t>
  </si>
  <si>
    <t>Casado(a)</t>
  </si>
  <si>
    <t>Divorciado(a)</t>
  </si>
  <si>
    <t>Viúvo(a)</t>
  </si>
  <si>
    <t>Separado(a)</t>
  </si>
  <si>
    <t>União Estável</t>
  </si>
  <si>
    <t>Prazo</t>
  </si>
  <si>
    <t>Periodicidade</t>
  </si>
  <si>
    <t>Carência</t>
  </si>
  <si>
    <t>Tipo de Garantia</t>
  </si>
  <si>
    <t>Aplicação de Recursos</t>
  </si>
  <si>
    <t>Observações</t>
  </si>
  <si>
    <t>Data_Cadastro</t>
  </si>
  <si>
    <t>Data Cadastro</t>
  </si>
  <si>
    <t>Única</t>
  </si>
  <si>
    <t>Mensal</t>
  </si>
  <si>
    <t>Bimestral</t>
  </si>
  <si>
    <t>Quadrimestral</t>
  </si>
  <si>
    <t>Trimestral</t>
  </si>
  <si>
    <t>Semestral</t>
  </si>
  <si>
    <t>Anual</t>
  </si>
  <si>
    <t>periodicidade</t>
  </si>
  <si>
    <t>Sem carência</t>
  </si>
  <si>
    <t>Até 6 meses</t>
  </si>
  <si>
    <t>6 meses a 12 meses</t>
  </si>
  <si>
    <t>12 meses a 18 meses</t>
  </si>
  <si>
    <t>18 meses a 24 meses</t>
  </si>
  <si>
    <t>24 meses</t>
  </si>
  <si>
    <t>Tipo Garantia</t>
  </si>
  <si>
    <t>Alienação Fiduciária De Imóvel Rural</t>
  </si>
  <si>
    <t>Hipoteca De Imóvel Rural</t>
  </si>
  <si>
    <t>Alienação Fiduciária De Imóvel Urbano</t>
  </si>
  <si>
    <t>Hipoteca De Imóvel Urbano</t>
  </si>
  <si>
    <t>Alienação Fiduciária De Armazém</t>
  </si>
  <si>
    <t>Hipoteca De Armazém</t>
  </si>
  <si>
    <t>Penhor De Safra</t>
  </si>
  <si>
    <t>Estoque</t>
  </si>
  <si>
    <t>Recebíveis</t>
  </si>
  <si>
    <t>Veículo</t>
  </si>
  <si>
    <t>Aval</t>
  </si>
  <si>
    <t>Outra</t>
  </si>
  <si>
    <t>is_last</t>
  </si>
  <si>
    <t>(</t>
  </si>
  <si>
    <t>Cadastro Básico</t>
  </si>
  <si>
    <t>sócios</t>
  </si>
  <si>
    <t>demandas</t>
  </si>
  <si>
    <t>Credor</t>
  </si>
  <si>
    <t>Modelo Calculo</t>
  </si>
  <si>
    <t>Enquadramento</t>
  </si>
  <si>
    <t>Finalidade</t>
  </si>
  <si>
    <t>Prazo Parcelas</t>
  </si>
  <si>
    <t>Contratação</t>
  </si>
  <si>
    <t>Primeira Parcela</t>
  </si>
  <si>
    <t>Ultima Parcela</t>
  </si>
  <si>
    <t>Parcelas Pagas</t>
  </si>
  <si>
    <t>Tx efetiva</t>
  </si>
  <si>
    <t>CET</t>
  </si>
  <si>
    <t>Indexador</t>
  </si>
  <si>
    <t>Valor Atual</t>
  </si>
  <si>
    <t>Contrato</t>
  </si>
  <si>
    <t>Emitente</t>
  </si>
  <si>
    <t>Valor Contrato</t>
  </si>
  <si>
    <t>Grãos</t>
  </si>
  <si>
    <t>Soja Sequeiro</t>
  </si>
  <si>
    <t>Soja Irrigada</t>
  </si>
  <si>
    <t>Milho Verão</t>
  </si>
  <si>
    <t>Milho Safrinha</t>
  </si>
  <si>
    <t>Milho Safrinha Irrigado</t>
  </si>
  <si>
    <t>Café</t>
  </si>
  <si>
    <t>Laranja</t>
  </si>
  <si>
    <t>Limão</t>
  </si>
  <si>
    <t>ano/safra</t>
  </si>
  <si>
    <t>20/21</t>
  </si>
  <si>
    <t>21/22</t>
  </si>
  <si>
    <t>22/23</t>
  </si>
  <si>
    <t>23/24</t>
  </si>
  <si>
    <t>24/25</t>
  </si>
  <si>
    <t>25/26</t>
  </si>
  <si>
    <t>26/27</t>
  </si>
  <si>
    <t>27/28</t>
  </si>
  <si>
    <t>28/29</t>
  </si>
  <si>
    <t>29/30</t>
  </si>
  <si>
    <t>Grão</t>
  </si>
  <si>
    <t>Safra</t>
  </si>
  <si>
    <t>Receita Total</t>
  </si>
  <si>
    <t>Custo Total</t>
  </si>
  <si>
    <t>Resultado Bruto</t>
  </si>
  <si>
    <t>Area Própria</t>
  </si>
  <si>
    <t>Area Arrendada</t>
  </si>
  <si>
    <t>Rendimento</t>
  </si>
  <si>
    <t>Preço Medio</t>
  </si>
  <si>
    <t>dt_alteracao</t>
  </si>
  <si>
    <t>safra</t>
  </si>
  <si>
    <t>producao</t>
  </si>
  <si>
    <t>cidades</t>
  </si>
  <si>
    <t>Alta Floresta D'oeste</t>
  </si>
  <si>
    <t>Ariquemes</t>
  </si>
  <si>
    <t>Cabixi</t>
  </si>
  <si>
    <t>Cacoal</t>
  </si>
  <si>
    <t>Cerejeiras</t>
  </si>
  <si>
    <t>Colorado do Oeste</t>
  </si>
  <si>
    <t>Corumbiara</t>
  </si>
  <si>
    <t>Costa Marques</t>
  </si>
  <si>
    <t>Espigão D'oeste</t>
  </si>
  <si>
    <t>Guajará-Mirim</t>
  </si>
  <si>
    <t>Jaru</t>
  </si>
  <si>
    <t>Ji-Paraná</t>
  </si>
  <si>
    <t>Machadinho D'oeste</t>
  </si>
  <si>
    <t>Nova Brasilândia D'oeste</t>
  </si>
  <si>
    <t>Ouro Preto do Oeste</t>
  </si>
  <si>
    <t>Pimenta Bueno</t>
  </si>
  <si>
    <t>Porto Velho</t>
  </si>
  <si>
    <t>Presidente Médici</t>
  </si>
  <si>
    <t>Rio Crespo</t>
  </si>
  <si>
    <t>Rolim de Moura</t>
  </si>
  <si>
    <t>Santa Luzia D'oeste</t>
  </si>
  <si>
    <t>Vilhena</t>
  </si>
  <si>
    <t>São Miguel do Guaporé</t>
  </si>
  <si>
    <t>Nova Mamoré</t>
  </si>
  <si>
    <t>Alvorada D'oeste</t>
  </si>
  <si>
    <t>Alto Alegre dos Parecis</t>
  </si>
  <si>
    <t>Alto Paraíso</t>
  </si>
  <si>
    <t>Buritis</t>
  </si>
  <si>
    <t>Novo Horizonte do Oeste</t>
  </si>
  <si>
    <t>Cacaulândia</t>
  </si>
  <si>
    <t>Campo Novo de Rondônia</t>
  </si>
  <si>
    <t>Candeias do Jamari</t>
  </si>
  <si>
    <t>Castanheiras</t>
  </si>
  <si>
    <t>Chupinguaia</t>
  </si>
  <si>
    <t>Cujubim</t>
  </si>
  <si>
    <t>Governador Jorge Teixeira</t>
  </si>
  <si>
    <t>Itapuã do Oeste</t>
  </si>
  <si>
    <t>Ministro Andreazza</t>
  </si>
  <si>
    <t>Mirante da Serra</t>
  </si>
  <si>
    <t>Monte Negro</t>
  </si>
  <si>
    <t>Nova União</t>
  </si>
  <si>
    <t>Parecis</t>
  </si>
  <si>
    <t>Pimenteiras do Oeste</t>
  </si>
  <si>
    <t>Primavera de Rondônia</t>
  </si>
  <si>
    <t>São Felipe D'oeste</t>
  </si>
  <si>
    <t>São Francisco do Guaporé</t>
  </si>
  <si>
    <t>Seringueiras</t>
  </si>
  <si>
    <t>Teixeirópolis</t>
  </si>
  <si>
    <t>Theobroma</t>
  </si>
  <si>
    <t>Urupá</t>
  </si>
  <si>
    <t>Vale do Anari</t>
  </si>
  <si>
    <t>Vale do Paraíso</t>
  </si>
  <si>
    <t>Acrelândia</t>
  </si>
  <si>
    <t>Assis Brasil</t>
  </si>
  <si>
    <t>Brasiléia</t>
  </si>
  <si>
    <t>Bujari</t>
  </si>
  <si>
    <t>Capixaba</t>
  </si>
  <si>
    <t>Cruzeiro do Sul</t>
  </si>
  <si>
    <t>Epitaciolândia</t>
  </si>
  <si>
    <t>Feijó</t>
  </si>
  <si>
    <t>Jordão</t>
  </si>
  <si>
    <t>Mâncio Lima</t>
  </si>
  <si>
    <t>Manoel Urbano</t>
  </si>
  <si>
    <t>Marechal Thaumaturgo</t>
  </si>
  <si>
    <t>Plácido de Castro</t>
  </si>
  <si>
    <t>Porto Walter</t>
  </si>
  <si>
    <t>Rio Branco</t>
  </si>
  <si>
    <t>Rodrigues Alves</t>
  </si>
  <si>
    <t>Santa Rosa do Purus</t>
  </si>
  <si>
    <t>Senador Guiomard</t>
  </si>
  <si>
    <t>Sena Madureira</t>
  </si>
  <si>
    <t>Tarauacá</t>
  </si>
  <si>
    <t>Xapuri</t>
  </si>
  <si>
    <t>Porto Acre</t>
  </si>
  <si>
    <t>Alvarães</t>
  </si>
  <si>
    <t>Amaturá</t>
  </si>
  <si>
    <t>Anamã</t>
  </si>
  <si>
    <t>Anori</t>
  </si>
  <si>
    <t>Apuí</t>
  </si>
  <si>
    <t>Atalaia do Norte</t>
  </si>
  <si>
    <t>Autazes</t>
  </si>
  <si>
    <t>Barcelos</t>
  </si>
  <si>
    <t>Barreirinha</t>
  </si>
  <si>
    <t>Benjamin Constant</t>
  </si>
  <si>
    <t>Beruri</t>
  </si>
  <si>
    <t>Boa Vista do Ramos</t>
  </si>
  <si>
    <t>Boca do Acre</t>
  </si>
  <si>
    <t>Borba</t>
  </si>
  <si>
    <t>Caapiranga</t>
  </si>
  <si>
    <t>Canutama</t>
  </si>
  <si>
    <t>Carauari</t>
  </si>
  <si>
    <t>Careiro</t>
  </si>
  <si>
    <t>Careiro da Várzea</t>
  </si>
  <si>
    <t>Coari</t>
  </si>
  <si>
    <t>Codajás</t>
  </si>
  <si>
    <t>Eirunepé</t>
  </si>
  <si>
    <t>Envira</t>
  </si>
  <si>
    <t>Fonte Boa</t>
  </si>
  <si>
    <t>Guajará</t>
  </si>
  <si>
    <t>Humaitá</t>
  </si>
  <si>
    <t>Ipixuna</t>
  </si>
  <si>
    <t>Iranduba</t>
  </si>
  <si>
    <t>Itacoatiara</t>
  </si>
  <si>
    <t>Itamarati</t>
  </si>
  <si>
    <t>Itapiranga</t>
  </si>
  <si>
    <t>Japurá</t>
  </si>
  <si>
    <t>Juruá</t>
  </si>
  <si>
    <t>Jutaí</t>
  </si>
  <si>
    <t>Lábrea</t>
  </si>
  <si>
    <t>Manacapuru</t>
  </si>
  <si>
    <t>Manaquiri</t>
  </si>
  <si>
    <t>Manaus</t>
  </si>
  <si>
    <t>Manicoré</t>
  </si>
  <si>
    <t>Maraã</t>
  </si>
  <si>
    <t>Maués</t>
  </si>
  <si>
    <t>Nhamundá</t>
  </si>
  <si>
    <t>Nova Olinda do Norte</t>
  </si>
  <si>
    <t>Novo Airão</t>
  </si>
  <si>
    <t>Novo Aripuanã</t>
  </si>
  <si>
    <t>Parintins</t>
  </si>
  <si>
    <t>Pauini</t>
  </si>
  <si>
    <t>Presidente Figueiredo</t>
  </si>
  <si>
    <t>Rio Preto da Eva</t>
  </si>
  <si>
    <t>Santa Isabel do Rio Negro</t>
  </si>
  <si>
    <t>Santo Antônio do Içá</t>
  </si>
  <si>
    <t>São Gabriel da Cachoeira</t>
  </si>
  <si>
    <t>São Paulo de Olivença</t>
  </si>
  <si>
    <t>São Sebastião do Uatumã</t>
  </si>
  <si>
    <t>Silves</t>
  </si>
  <si>
    <t>Tabatinga</t>
  </si>
  <si>
    <t>Tapauá</t>
  </si>
  <si>
    <t>Tefé</t>
  </si>
  <si>
    <t>Tonantins</t>
  </si>
  <si>
    <t>Uarini</t>
  </si>
  <si>
    <t>Urucará</t>
  </si>
  <si>
    <t>Urucurituba</t>
  </si>
  <si>
    <t>Amajari</t>
  </si>
  <si>
    <t>Alto Alegre</t>
  </si>
  <si>
    <t>Boa Vista</t>
  </si>
  <si>
    <t>Bonfim</t>
  </si>
  <si>
    <t>Cantá</t>
  </si>
  <si>
    <t>Caracaraí</t>
  </si>
  <si>
    <t>Caroebe</t>
  </si>
  <si>
    <t>Iracema</t>
  </si>
  <si>
    <t>Mucajaí</t>
  </si>
  <si>
    <t>Normandia</t>
  </si>
  <si>
    <t>Pacaraima</t>
  </si>
  <si>
    <t>Rorainópolis</t>
  </si>
  <si>
    <t>São João da Baliza</t>
  </si>
  <si>
    <t>São Luiz</t>
  </si>
  <si>
    <t>Uiramutã</t>
  </si>
  <si>
    <t>Abaetetuba</t>
  </si>
  <si>
    <t>Abel Figueiredo</t>
  </si>
  <si>
    <t>Acará</t>
  </si>
  <si>
    <t>Afuá</t>
  </si>
  <si>
    <t>Água Azul do Norte</t>
  </si>
  <si>
    <t>Alenquer</t>
  </si>
  <si>
    <t>Almeirim</t>
  </si>
  <si>
    <t>Altamira</t>
  </si>
  <si>
    <t>Anajás</t>
  </si>
  <si>
    <t>Ananindeua</t>
  </si>
  <si>
    <t>Anapu</t>
  </si>
  <si>
    <t>Augusto Corrêa</t>
  </si>
  <si>
    <t>Aurora do Pará</t>
  </si>
  <si>
    <t>Aveiro</t>
  </si>
  <si>
    <t>Bagre</t>
  </si>
  <si>
    <t>Baião</t>
  </si>
  <si>
    <t>Bannach</t>
  </si>
  <si>
    <t>Barcarena</t>
  </si>
  <si>
    <t>Belém</t>
  </si>
  <si>
    <t>Belterra</t>
  </si>
  <si>
    <t>Benevides</t>
  </si>
  <si>
    <t>Bom Jesus do Tocantins</t>
  </si>
  <si>
    <t>Bonito</t>
  </si>
  <si>
    <t>Bragança</t>
  </si>
  <si>
    <t>Brasil Novo</t>
  </si>
  <si>
    <t>Brejo Grande do Araguaia</t>
  </si>
  <si>
    <t>Breu Branco</t>
  </si>
  <si>
    <t>Breves</t>
  </si>
  <si>
    <t>Bujaru</t>
  </si>
  <si>
    <t>Cachoeira do Piriá</t>
  </si>
  <si>
    <t>Cachoeira do Arari</t>
  </si>
  <si>
    <t>Cametá</t>
  </si>
  <si>
    <t>Canaã dos Carajás</t>
  </si>
  <si>
    <t>Capanema</t>
  </si>
  <si>
    <t>Capitão Poço</t>
  </si>
  <si>
    <t>Castanhal</t>
  </si>
  <si>
    <t>Chaves</t>
  </si>
  <si>
    <t>Colares</t>
  </si>
  <si>
    <t>Conceição do Araguaia</t>
  </si>
  <si>
    <t>Concórdia do Pará</t>
  </si>
  <si>
    <t>Cumaru do Norte</t>
  </si>
  <si>
    <t>Curionópolis</t>
  </si>
  <si>
    <t>Curralinho</t>
  </si>
  <si>
    <t>Curuá</t>
  </si>
  <si>
    <t>Curuçá</t>
  </si>
  <si>
    <t>dom Eliseu</t>
  </si>
  <si>
    <t>Eldorado do Carajás</t>
  </si>
  <si>
    <t>Faro</t>
  </si>
  <si>
    <t>Floresta do Araguaia</t>
  </si>
  <si>
    <t>Garrafão do Norte</t>
  </si>
  <si>
    <t>Goianésia do Pará</t>
  </si>
  <si>
    <t>Gurupá</t>
  </si>
  <si>
    <t>Igarapé-Açu</t>
  </si>
  <si>
    <t>Igarapé-Miri</t>
  </si>
  <si>
    <t>Inhangapi</t>
  </si>
  <si>
    <t>Ipixuna do Pará</t>
  </si>
  <si>
    <t>Irituia</t>
  </si>
  <si>
    <t>Itaituba</t>
  </si>
  <si>
    <t>Itupiranga</t>
  </si>
  <si>
    <t>Jacareacanga</t>
  </si>
  <si>
    <t>Jacundá</t>
  </si>
  <si>
    <t>Juruti</t>
  </si>
  <si>
    <t>Limoeiro do Ajuru</t>
  </si>
  <si>
    <t>Mãe do Rio</t>
  </si>
  <si>
    <t>Magalhães Barata</t>
  </si>
  <si>
    <t>Marabá</t>
  </si>
  <si>
    <t>Maracanã</t>
  </si>
  <si>
    <t>Marapanim</t>
  </si>
  <si>
    <t>Marituba</t>
  </si>
  <si>
    <t>Medicilândia</t>
  </si>
  <si>
    <t>Melgaço</t>
  </si>
  <si>
    <t>Mocajuba</t>
  </si>
  <si>
    <t>Moju</t>
  </si>
  <si>
    <t>Mojuí dos Campos</t>
  </si>
  <si>
    <t>Monte Alegre</t>
  </si>
  <si>
    <t>Muaná</t>
  </si>
  <si>
    <t>Nova Esperança do Piriá</t>
  </si>
  <si>
    <t>Nova Ipixuna</t>
  </si>
  <si>
    <t>Nova Timboteua</t>
  </si>
  <si>
    <t>Novo Progresso</t>
  </si>
  <si>
    <t>Novo Repartimento</t>
  </si>
  <si>
    <t>Óbidos</t>
  </si>
  <si>
    <t>Oeiras do Pará</t>
  </si>
  <si>
    <t>Oriximiná</t>
  </si>
  <si>
    <t>Ourém</t>
  </si>
  <si>
    <t>Ourilândia do Norte</t>
  </si>
  <si>
    <t>Pacajá</t>
  </si>
  <si>
    <t>Palestina do Pará</t>
  </si>
  <si>
    <t>Paragominas</t>
  </si>
  <si>
    <t>Parauapebas</t>
  </si>
  <si>
    <t>Pau D'arco</t>
  </si>
  <si>
    <t>Peixe-Boi</t>
  </si>
  <si>
    <t>Piçarra</t>
  </si>
  <si>
    <t>Placas</t>
  </si>
  <si>
    <t>Ponta de Pedras</t>
  </si>
  <si>
    <t>Portel</t>
  </si>
  <si>
    <t>Porto de Moz</t>
  </si>
  <si>
    <t>Prainha</t>
  </si>
  <si>
    <t>Primavera</t>
  </si>
  <si>
    <t>Quatipuru</t>
  </si>
  <si>
    <t>Redenção</t>
  </si>
  <si>
    <t>Rio Maria</t>
  </si>
  <si>
    <t>Rondon do Pará</t>
  </si>
  <si>
    <t>Rurópolis</t>
  </si>
  <si>
    <t>Salinópolis</t>
  </si>
  <si>
    <t>Salvaterra</t>
  </si>
  <si>
    <t>Santa Bárbara do Pará</t>
  </si>
  <si>
    <t>Santa Cruz do Arari</t>
  </si>
  <si>
    <t>Santa Izabel do Pará</t>
  </si>
  <si>
    <t>Santa Luzia do Pará</t>
  </si>
  <si>
    <t>Santa Maria das Barreiras</t>
  </si>
  <si>
    <t>Santa Maria do Pará</t>
  </si>
  <si>
    <t>Santana do Araguaia</t>
  </si>
  <si>
    <t>Santarém</t>
  </si>
  <si>
    <t>Santarém Novo</t>
  </si>
  <si>
    <t>Santo Antônio do Tauá</t>
  </si>
  <si>
    <t>São Caetano de Odivelas</t>
  </si>
  <si>
    <t>São domingos do Araguaia</t>
  </si>
  <si>
    <t>São domingos do Capim</t>
  </si>
  <si>
    <t>São Félix do Xingu</t>
  </si>
  <si>
    <t>São Francisco do Pará</t>
  </si>
  <si>
    <t>São Geraldo do Araguaia</t>
  </si>
  <si>
    <t>São João da Ponta</t>
  </si>
  <si>
    <t>São João de Pirabas</t>
  </si>
  <si>
    <t>São João do Araguaia</t>
  </si>
  <si>
    <t>São Miguel do Guamá</t>
  </si>
  <si>
    <t>São Sebastião da Boa Vista</t>
  </si>
  <si>
    <t>Sapucaia</t>
  </si>
  <si>
    <t>Senador José Porfírio</t>
  </si>
  <si>
    <t>Soure</t>
  </si>
  <si>
    <t>Tailândia</t>
  </si>
  <si>
    <t>Terra Alta</t>
  </si>
  <si>
    <t>Terra Santa</t>
  </si>
  <si>
    <t>Tomé-Açu</t>
  </si>
  <si>
    <t>Tracuateua</t>
  </si>
  <si>
    <t>Trairão</t>
  </si>
  <si>
    <t>Tucumã</t>
  </si>
  <si>
    <t>Tucuruí</t>
  </si>
  <si>
    <t>Ulianópolis</t>
  </si>
  <si>
    <t>Uruará</t>
  </si>
  <si>
    <t>Vigia</t>
  </si>
  <si>
    <t>Viseu</t>
  </si>
  <si>
    <t>Vitória do Xingu</t>
  </si>
  <si>
    <t>Xinguara</t>
  </si>
  <si>
    <t>Serra do Navio</t>
  </si>
  <si>
    <t>Amapá</t>
  </si>
  <si>
    <t>Pedra Branca do Amapari</t>
  </si>
  <si>
    <t>Calçoene</t>
  </si>
  <si>
    <t>Cutias</t>
  </si>
  <si>
    <t>Ferreira Gomes</t>
  </si>
  <si>
    <t>Itaubal</t>
  </si>
  <si>
    <t>Laranjal do Jari</t>
  </si>
  <si>
    <t>Macapá</t>
  </si>
  <si>
    <t>Mazagão</t>
  </si>
  <si>
    <t>Oiapoque</t>
  </si>
  <si>
    <t>Porto Grande</t>
  </si>
  <si>
    <t>Pracuúba</t>
  </si>
  <si>
    <t>Santana</t>
  </si>
  <si>
    <t>Tartarugalzinho</t>
  </si>
  <si>
    <t>Vitória do Jari</t>
  </si>
  <si>
    <t>Abreulândia</t>
  </si>
  <si>
    <t>Aguiarnópolis</t>
  </si>
  <si>
    <t>Aliança do Tocantins</t>
  </si>
  <si>
    <t>Almas</t>
  </si>
  <si>
    <t>Alvorada</t>
  </si>
  <si>
    <t>Ananás</t>
  </si>
  <si>
    <t>Angico</t>
  </si>
  <si>
    <t>Aparecida do Rio Negro</t>
  </si>
  <si>
    <t>Aragominas</t>
  </si>
  <si>
    <t>Araguacema</t>
  </si>
  <si>
    <t>Araguaçu</t>
  </si>
  <si>
    <t>Araguaína</t>
  </si>
  <si>
    <t>Araguanã</t>
  </si>
  <si>
    <t>Araguatins</t>
  </si>
  <si>
    <t>Arapoema</t>
  </si>
  <si>
    <t>Arraias</t>
  </si>
  <si>
    <t>Augustinópolis</t>
  </si>
  <si>
    <t>Aurora do Tocantins</t>
  </si>
  <si>
    <t>Axixá do Tocantins</t>
  </si>
  <si>
    <t>Babaçulândia</t>
  </si>
  <si>
    <t>Bandeirantes do Tocantins</t>
  </si>
  <si>
    <t>Barra do Ouro</t>
  </si>
  <si>
    <t>Barrolândia</t>
  </si>
  <si>
    <t>Bernardo Sayão</t>
  </si>
  <si>
    <t>Brasilândia do Tocantins</t>
  </si>
  <si>
    <t>Brejinho de Nazaré</t>
  </si>
  <si>
    <t>Buriti do Tocantins</t>
  </si>
  <si>
    <t>Cachoeirinha</t>
  </si>
  <si>
    <t>Campos Lindos</t>
  </si>
  <si>
    <t>Cariri do Tocantins</t>
  </si>
  <si>
    <t>Carmolândia</t>
  </si>
  <si>
    <t>Carrasco Bonito</t>
  </si>
  <si>
    <t>Caseara</t>
  </si>
  <si>
    <t>Centenário</t>
  </si>
  <si>
    <t>Chapada de Areia</t>
  </si>
  <si>
    <t>Chapada da Natividade</t>
  </si>
  <si>
    <t>Colinas do Tocantins</t>
  </si>
  <si>
    <t>Combinado</t>
  </si>
  <si>
    <t>Conceição do Tocantins</t>
  </si>
  <si>
    <t>Couto Magalhães</t>
  </si>
  <si>
    <t>Cristalândia</t>
  </si>
  <si>
    <t>Crixás do Tocantins</t>
  </si>
  <si>
    <t>darcinópolis</t>
  </si>
  <si>
    <t>Dianópolis</t>
  </si>
  <si>
    <t>Divinópolis do Tocantins</t>
  </si>
  <si>
    <t>dois Irmãos do Tocantins</t>
  </si>
  <si>
    <t>Dueré</t>
  </si>
  <si>
    <t>Esperantina</t>
  </si>
  <si>
    <t>Fátima</t>
  </si>
  <si>
    <t>Figueirópolis</t>
  </si>
  <si>
    <t>Filadélfia</t>
  </si>
  <si>
    <t>Formoso do Araguaia</t>
  </si>
  <si>
    <t>Fortaleza do Tabocão</t>
  </si>
  <si>
    <t>Goianorte</t>
  </si>
  <si>
    <t>Goiatins</t>
  </si>
  <si>
    <t>Guaraí</t>
  </si>
  <si>
    <t>Gurupi</t>
  </si>
  <si>
    <t>Ipueiras</t>
  </si>
  <si>
    <t>Itacajá</t>
  </si>
  <si>
    <t>Itaguatins</t>
  </si>
  <si>
    <t>Itapiratins</t>
  </si>
  <si>
    <t>Itaporã do Tocantins</t>
  </si>
  <si>
    <t>Jaú do Tocantins</t>
  </si>
  <si>
    <t>Juarina</t>
  </si>
  <si>
    <t>Lagoa da Confusão</t>
  </si>
  <si>
    <t>Lagoa do Tocantins</t>
  </si>
  <si>
    <t>Lajeado</t>
  </si>
  <si>
    <t>Lavandeira</t>
  </si>
  <si>
    <t>Lizarda</t>
  </si>
  <si>
    <t>Luzinópolis</t>
  </si>
  <si>
    <t>Marianópolis do Tocantins</t>
  </si>
  <si>
    <t>Mateiros</t>
  </si>
  <si>
    <t>Maurilândia do Tocantins</t>
  </si>
  <si>
    <t>Miracema do Tocantins</t>
  </si>
  <si>
    <t>Miranorte</t>
  </si>
  <si>
    <t>Monte do Carmo</t>
  </si>
  <si>
    <t>Monte Santo do Tocantins</t>
  </si>
  <si>
    <t>Palmeiras do Tocantins</t>
  </si>
  <si>
    <t>Muricilândia</t>
  </si>
  <si>
    <t>Natividade</t>
  </si>
  <si>
    <t>Nazaré</t>
  </si>
  <si>
    <t>Nova Olinda</t>
  </si>
  <si>
    <t>Nova Rosalândia</t>
  </si>
  <si>
    <t>Novo Acordo</t>
  </si>
  <si>
    <t>Novo Alegre</t>
  </si>
  <si>
    <t>Novo Jardim</t>
  </si>
  <si>
    <t>Oliveira de Fátima</t>
  </si>
  <si>
    <t>Palmeirante</t>
  </si>
  <si>
    <t>Palmeirópolis</t>
  </si>
  <si>
    <t>Paraíso do Tocantins</t>
  </si>
  <si>
    <t>Paranã</t>
  </si>
  <si>
    <t>Pedro Afonso</t>
  </si>
  <si>
    <t>Peixe</t>
  </si>
  <si>
    <t>Pequizeiro</t>
  </si>
  <si>
    <t>Colméia</t>
  </si>
  <si>
    <t>Pindorama do Tocantins</t>
  </si>
  <si>
    <t>Piraquê</t>
  </si>
  <si>
    <t>Pium</t>
  </si>
  <si>
    <t>Ponte Alta do Bom Jesus</t>
  </si>
  <si>
    <t>Ponte Alta do Tocantins</t>
  </si>
  <si>
    <t>Porto Alegre do Tocantins</t>
  </si>
  <si>
    <t>Porto Nacional</t>
  </si>
  <si>
    <t>Praia Norte</t>
  </si>
  <si>
    <t>Presidente Kennedy</t>
  </si>
  <si>
    <t>Pugmil</t>
  </si>
  <si>
    <t>Recursolândia</t>
  </si>
  <si>
    <t>Riachinho</t>
  </si>
  <si>
    <t>Rio da Conceição</t>
  </si>
  <si>
    <t>Rio dos Bois</t>
  </si>
  <si>
    <t>Rio Sono</t>
  </si>
  <si>
    <t>Sampaio</t>
  </si>
  <si>
    <t>Sandolândia</t>
  </si>
  <si>
    <t>Santa Fé do Araguaia</t>
  </si>
  <si>
    <t>Santa Maria do Tocantins</t>
  </si>
  <si>
    <t>Santa Rita do Tocantins</t>
  </si>
  <si>
    <t>Santa Rosa do Tocantins</t>
  </si>
  <si>
    <t>Santa Tereza do Tocantins</t>
  </si>
  <si>
    <t>Santa Terezinha do Tocantins</t>
  </si>
  <si>
    <t>São Bento do Tocantins</t>
  </si>
  <si>
    <t>São Félix do Tocantins</t>
  </si>
  <si>
    <t>São Miguel do Tocantins</t>
  </si>
  <si>
    <t>São Salvador do Tocantins</t>
  </si>
  <si>
    <t>São Sebastião do Tocantins</t>
  </si>
  <si>
    <t>São Valério</t>
  </si>
  <si>
    <t>Silvanópolis</t>
  </si>
  <si>
    <t>Sítio Novo do Tocantins</t>
  </si>
  <si>
    <t>Sucupira</t>
  </si>
  <si>
    <t>Taguatinga</t>
  </si>
  <si>
    <t>Taipas do Tocantins</t>
  </si>
  <si>
    <t>Talismã</t>
  </si>
  <si>
    <t>Palmas</t>
  </si>
  <si>
    <t>Tocantínia</t>
  </si>
  <si>
    <t>Tocantinópolis</t>
  </si>
  <si>
    <t>Tupirama</t>
  </si>
  <si>
    <t>Tupiratins</t>
  </si>
  <si>
    <t>Wanderlândia</t>
  </si>
  <si>
    <t>Xambioá</t>
  </si>
  <si>
    <t>Açailândia</t>
  </si>
  <si>
    <t>Afonso Cunha</t>
  </si>
  <si>
    <t>Água doce do Maranhão</t>
  </si>
  <si>
    <t>Alcântara</t>
  </si>
  <si>
    <t>Aldeias Altas</t>
  </si>
  <si>
    <t>Altamira do Maranhão</t>
  </si>
  <si>
    <t>Alto Alegre do Maranhão</t>
  </si>
  <si>
    <t>Alto Alegre do Pindaré</t>
  </si>
  <si>
    <t>Alto Parnaíba</t>
  </si>
  <si>
    <t>Amapá do Maranhão</t>
  </si>
  <si>
    <t>Amarante do Maranhão</t>
  </si>
  <si>
    <t>Anajatuba</t>
  </si>
  <si>
    <t>Anapurus</t>
  </si>
  <si>
    <t>Apicum-Açu</t>
  </si>
  <si>
    <t>Araioses</t>
  </si>
  <si>
    <t>Arame</t>
  </si>
  <si>
    <t>Arari</t>
  </si>
  <si>
    <t>Axixá</t>
  </si>
  <si>
    <t>Bacabal</t>
  </si>
  <si>
    <t>Bacabeira</t>
  </si>
  <si>
    <t>Bacuri</t>
  </si>
  <si>
    <t>Bacurituba</t>
  </si>
  <si>
    <t>Balsas</t>
  </si>
  <si>
    <t>Barão de Grajaú</t>
  </si>
  <si>
    <t>Barra do Corda</t>
  </si>
  <si>
    <t>Barreirinhas</t>
  </si>
  <si>
    <t>Belágua</t>
  </si>
  <si>
    <t>Bela Vista do Maranhão</t>
  </si>
  <si>
    <t>Benedito Leite</t>
  </si>
  <si>
    <t>Bequimão</t>
  </si>
  <si>
    <t>Bernardo do Mearim</t>
  </si>
  <si>
    <t>Boa Vista do Gurupi</t>
  </si>
  <si>
    <t>Bom Jardim</t>
  </si>
  <si>
    <t>Bom Jesus das Selvas</t>
  </si>
  <si>
    <t>Bom Lugar</t>
  </si>
  <si>
    <t>Brejo</t>
  </si>
  <si>
    <t>Brejo de Areia</t>
  </si>
  <si>
    <t>Buriti</t>
  </si>
  <si>
    <t>Buriti Bravo</t>
  </si>
  <si>
    <t>Buriticupu</t>
  </si>
  <si>
    <t>Buritirana</t>
  </si>
  <si>
    <t>Cachoeira Grande</t>
  </si>
  <si>
    <t>Cajapió</t>
  </si>
  <si>
    <t>Cajari</t>
  </si>
  <si>
    <t>Campestre do Maranhão</t>
  </si>
  <si>
    <t>Cândido Mendes</t>
  </si>
  <si>
    <t>Cantanhede</t>
  </si>
  <si>
    <t>Capinzal do Norte</t>
  </si>
  <si>
    <t>Carolina</t>
  </si>
  <si>
    <t>Carutapera</t>
  </si>
  <si>
    <t>Caxias</t>
  </si>
  <si>
    <t>Cedral</t>
  </si>
  <si>
    <t>Central do Maranhão</t>
  </si>
  <si>
    <t>Centro do Guilherme</t>
  </si>
  <si>
    <t>Centro Novo do Maranhão</t>
  </si>
  <si>
    <t>Chapadinha</t>
  </si>
  <si>
    <t>Cidelândia</t>
  </si>
  <si>
    <t>Codó</t>
  </si>
  <si>
    <t>Coelho Neto</t>
  </si>
  <si>
    <t>Colinas</t>
  </si>
  <si>
    <t>Conceição do Lago-Açu</t>
  </si>
  <si>
    <t>Coroatá</t>
  </si>
  <si>
    <t>Cururupu</t>
  </si>
  <si>
    <t>davinópolis</t>
  </si>
  <si>
    <t>dom Pedro</t>
  </si>
  <si>
    <t>Duque Bacelar</t>
  </si>
  <si>
    <t>Esperantinópolis</t>
  </si>
  <si>
    <t>Estreito</t>
  </si>
  <si>
    <t>Feira Nova do Maranhão</t>
  </si>
  <si>
    <t>Fernando Falcão</t>
  </si>
  <si>
    <t>Formosa da Serra Negra</t>
  </si>
  <si>
    <t>Fortaleza dos Nogueiras</t>
  </si>
  <si>
    <t>Fortuna</t>
  </si>
  <si>
    <t>Godofredo Viana</t>
  </si>
  <si>
    <t>Gonçalves Dias</t>
  </si>
  <si>
    <t>Governador Archer</t>
  </si>
  <si>
    <t>Governador Edison Lobão</t>
  </si>
  <si>
    <t>Governador Eugênio Barros</t>
  </si>
  <si>
    <t>Governador Luiz Rocha</t>
  </si>
  <si>
    <t>Governador Newton Bello</t>
  </si>
  <si>
    <t>Governador Nunes Freire</t>
  </si>
  <si>
    <t>Graça Aranha</t>
  </si>
  <si>
    <t>Grajaú</t>
  </si>
  <si>
    <t>Guimarães</t>
  </si>
  <si>
    <t>Humberto de Campos</t>
  </si>
  <si>
    <t>Icatu</t>
  </si>
  <si>
    <t>Igarapé do Meio</t>
  </si>
  <si>
    <t>Igarapé Grande</t>
  </si>
  <si>
    <t>Imperatriz</t>
  </si>
  <si>
    <t>Itaipava do Grajaú</t>
  </si>
  <si>
    <t>Itapecuru Mirim</t>
  </si>
  <si>
    <t>Itinga do Maranhão</t>
  </si>
  <si>
    <t>Jatobá</t>
  </si>
  <si>
    <t>Jenipapo dos Vieiras</t>
  </si>
  <si>
    <t>João Lisboa</t>
  </si>
  <si>
    <t>Joselândia</t>
  </si>
  <si>
    <t>Junco do Maranhão</t>
  </si>
  <si>
    <t>Lago da Pedra</t>
  </si>
  <si>
    <t>Lago do Junco</t>
  </si>
  <si>
    <t>Lago Verde</t>
  </si>
  <si>
    <t>Lagoa do Mato</t>
  </si>
  <si>
    <t>Lago dos Rodrigues</t>
  </si>
  <si>
    <t>Lagoa Grande do Maranhão</t>
  </si>
  <si>
    <t>Lajeado Novo</t>
  </si>
  <si>
    <t>Lima Campos</t>
  </si>
  <si>
    <t>Loreto</t>
  </si>
  <si>
    <t>Luís domingues</t>
  </si>
  <si>
    <t>Magalhães de Almeida</t>
  </si>
  <si>
    <t>Maracaçumé</t>
  </si>
  <si>
    <t>Marajá do Sena</t>
  </si>
  <si>
    <t>Maranhãozinho</t>
  </si>
  <si>
    <t>Mata Roma</t>
  </si>
  <si>
    <t>Matinha</t>
  </si>
  <si>
    <t>Matões</t>
  </si>
  <si>
    <t>Matões do Norte</t>
  </si>
  <si>
    <t>Milagres do Maranhão</t>
  </si>
  <si>
    <t>Mirador</t>
  </si>
  <si>
    <t>Miranda do Norte</t>
  </si>
  <si>
    <t>Mirinzal</t>
  </si>
  <si>
    <t>Monção</t>
  </si>
  <si>
    <t>Montes Altos</t>
  </si>
  <si>
    <t>Morros</t>
  </si>
  <si>
    <t>Nina Rodrigues</t>
  </si>
  <si>
    <t>Nova Colinas</t>
  </si>
  <si>
    <t>Nova Iorque</t>
  </si>
  <si>
    <t>Nova Olinda do Maranhão</t>
  </si>
  <si>
    <t>Olho D'água das Cunhãs</t>
  </si>
  <si>
    <t>Olinda Nova do Maranhão</t>
  </si>
  <si>
    <t>Paço do Lumiar</t>
  </si>
  <si>
    <t>Palmeirândia</t>
  </si>
  <si>
    <t>Paraibano</t>
  </si>
  <si>
    <t>Parnarama</t>
  </si>
  <si>
    <t>Passagem Franca</t>
  </si>
  <si>
    <t>Pastos Bons</t>
  </si>
  <si>
    <t>Paulino Neves</t>
  </si>
  <si>
    <t>Paulo Ramos</t>
  </si>
  <si>
    <t>Pedreiras</t>
  </si>
  <si>
    <t>Pedro do Rosário</t>
  </si>
  <si>
    <t>Penalva</t>
  </si>
  <si>
    <t>Peri Mirim</t>
  </si>
  <si>
    <t>Peritoró</t>
  </si>
  <si>
    <t>Pindaré-Mirim</t>
  </si>
  <si>
    <t>Pinheiro</t>
  </si>
  <si>
    <t>Pio Xii</t>
  </si>
  <si>
    <t>Pirapemas</t>
  </si>
  <si>
    <t>Poção de Pedras</t>
  </si>
  <si>
    <t>Porto Franco</t>
  </si>
  <si>
    <t>Porto Rico do Maranhão</t>
  </si>
  <si>
    <t>Presidente Dutra</t>
  </si>
  <si>
    <t>Presidente Juscelino</t>
  </si>
  <si>
    <t>Presidente Sarney</t>
  </si>
  <si>
    <t>Presidente Vargas</t>
  </si>
  <si>
    <t>Primeira Cruz</t>
  </si>
  <si>
    <t>Raposa</t>
  </si>
  <si>
    <t>Riachão</t>
  </si>
  <si>
    <t>Ribamar Fiquene</t>
  </si>
  <si>
    <t>Rosário</t>
  </si>
  <si>
    <t>Sambaíba</t>
  </si>
  <si>
    <t>Santa Filomena do Maranhão</t>
  </si>
  <si>
    <t>Santa Helena</t>
  </si>
  <si>
    <t>Santa Inês</t>
  </si>
  <si>
    <t>Santa Luzia</t>
  </si>
  <si>
    <t>Santa Luzia do Paruá</t>
  </si>
  <si>
    <t>Santa Quitéria do Maranhão</t>
  </si>
  <si>
    <t>Santa Rita</t>
  </si>
  <si>
    <t>Santana do Maranhão</t>
  </si>
  <si>
    <t>Santo Amaro do Maranhão</t>
  </si>
  <si>
    <t>Santo Antônio dos Lopes</t>
  </si>
  <si>
    <t>São Benedito do Rio Preto</t>
  </si>
  <si>
    <t>São Bento</t>
  </si>
  <si>
    <t>São Bernardo</t>
  </si>
  <si>
    <t>São domingos do Azeitão</t>
  </si>
  <si>
    <t>São domingos do Maranhão</t>
  </si>
  <si>
    <t>São Félix de Balsas</t>
  </si>
  <si>
    <t>São Francisco do Brejão</t>
  </si>
  <si>
    <t>São Francisco do Maranhão</t>
  </si>
  <si>
    <t>São João Batista</t>
  </si>
  <si>
    <t>São João do Carú</t>
  </si>
  <si>
    <t>São João do Paraíso</t>
  </si>
  <si>
    <t>São João do Soter</t>
  </si>
  <si>
    <t>São João dos Patos</t>
  </si>
  <si>
    <t>São José de Ribamar</t>
  </si>
  <si>
    <t>São José dos Basílios</t>
  </si>
  <si>
    <t>São Luís</t>
  </si>
  <si>
    <t>São Luís Gonzaga do Maranhão</t>
  </si>
  <si>
    <t>São Mateus do Maranhão</t>
  </si>
  <si>
    <t>São Pedro da Água Branca</t>
  </si>
  <si>
    <t>São Pedro dos Crentes</t>
  </si>
  <si>
    <t>São Raimundo das Mangabeiras</t>
  </si>
  <si>
    <t>São Raimundo do doca Bezerra</t>
  </si>
  <si>
    <t>São Roberto</t>
  </si>
  <si>
    <t>São Vicente Ferrer</t>
  </si>
  <si>
    <t>Satubinha</t>
  </si>
  <si>
    <t>Senador Alexandre Costa</t>
  </si>
  <si>
    <t>Senador La Rocque</t>
  </si>
  <si>
    <t>Serrano do Maranhão</t>
  </si>
  <si>
    <t>Sítio Novo</t>
  </si>
  <si>
    <t>Sucupira do Norte</t>
  </si>
  <si>
    <t>Sucupira do Riachão</t>
  </si>
  <si>
    <t>Tasso Fragoso</t>
  </si>
  <si>
    <t>Timbiras</t>
  </si>
  <si>
    <t>Timon</t>
  </si>
  <si>
    <t>Trizidela do Vale</t>
  </si>
  <si>
    <t>Tufilândia</t>
  </si>
  <si>
    <t>Tuntum</t>
  </si>
  <si>
    <t>Turiaçu</t>
  </si>
  <si>
    <t>Turilândia</t>
  </si>
  <si>
    <t>Tutóia</t>
  </si>
  <si>
    <t>Urbano Santos</t>
  </si>
  <si>
    <t>Vargem Grande</t>
  </si>
  <si>
    <t>Viana</t>
  </si>
  <si>
    <t>Vila Nova dos Martírios</t>
  </si>
  <si>
    <t>Vitória do Mearim</t>
  </si>
  <si>
    <t>Vitorino Freire</t>
  </si>
  <si>
    <t>Zé doca</t>
  </si>
  <si>
    <t>Acauã</t>
  </si>
  <si>
    <t>Agricolândia</t>
  </si>
  <si>
    <t>Água Branca</t>
  </si>
  <si>
    <t>Alagoinha do Piauí</t>
  </si>
  <si>
    <t>Alegrete do Piauí</t>
  </si>
  <si>
    <t>Alto Longá</t>
  </si>
  <si>
    <t>Altos</t>
  </si>
  <si>
    <t>Alvorada do Gurguéia</t>
  </si>
  <si>
    <t>Amarante</t>
  </si>
  <si>
    <t>Angical do Piauí</t>
  </si>
  <si>
    <t>Anísio de Abreu</t>
  </si>
  <si>
    <t>Antônio Almeida</t>
  </si>
  <si>
    <t>Aroazes</t>
  </si>
  <si>
    <t>Aroeiras do Itaim</t>
  </si>
  <si>
    <t>Arraial</t>
  </si>
  <si>
    <t>Assunção do Piauí</t>
  </si>
  <si>
    <t>Avelino Lopes</t>
  </si>
  <si>
    <t>Baixa Grande do Ribeiro</t>
  </si>
  <si>
    <t>Barra D'alcântara</t>
  </si>
  <si>
    <t>Barras</t>
  </si>
  <si>
    <t>Barreiras do Piauí</t>
  </si>
  <si>
    <t>Barro Duro</t>
  </si>
  <si>
    <t>Batalha</t>
  </si>
  <si>
    <t>Bela Vista do Piauí</t>
  </si>
  <si>
    <t>Belém do Piauí</t>
  </si>
  <si>
    <t>Beneditinos</t>
  </si>
  <si>
    <t>Bertolínia</t>
  </si>
  <si>
    <t>Betânia do Piauí</t>
  </si>
  <si>
    <t>Boa Hora</t>
  </si>
  <si>
    <t>Bocaina</t>
  </si>
  <si>
    <t>Bom Jesus</t>
  </si>
  <si>
    <t>Bom Princípio do Piauí</t>
  </si>
  <si>
    <t>Bonfim do Piauí</t>
  </si>
  <si>
    <t>Boqueirão do Piauí</t>
  </si>
  <si>
    <t>Brasileira</t>
  </si>
  <si>
    <t>Brejo do Piauí</t>
  </si>
  <si>
    <t>Buriti dos Lopes</t>
  </si>
  <si>
    <t>Buriti dos Montes</t>
  </si>
  <si>
    <t>Cabeceiras do Piauí</t>
  </si>
  <si>
    <t>Cajazeiras do Piauí</t>
  </si>
  <si>
    <t>Cajueiro da Praia</t>
  </si>
  <si>
    <t>Caldeirão Grande do Piauí</t>
  </si>
  <si>
    <t>Campinas do Piauí</t>
  </si>
  <si>
    <t>Campo Alegre do Fidalgo</t>
  </si>
  <si>
    <t>Campo Grande do Piauí</t>
  </si>
  <si>
    <t>Campo Largo do Piauí</t>
  </si>
  <si>
    <t>Campo Maior</t>
  </si>
  <si>
    <t>Canavieira</t>
  </si>
  <si>
    <t>Canto do Buriti</t>
  </si>
  <si>
    <t>Capitão de Campos</t>
  </si>
  <si>
    <t>Capitão Gervásio Oliveira</t>
  </si>
  <si>
    <t>Caracol</t>
  </si>
  <si>
    <t>Caraúbas do Piauí</t>
  </si>
  <si>
    <t>Caridade do Piauí</t>
  </si>
  <si>
    <t>Castelo do Piauí</t>
  </si>
  <si>
    <t>Caxingó</t>
  </si>
  <si>
    <t>Cocal</t>
  </si>
  <si>
    <t>Cocal de Telha</t>
  </si>
  <si>
    <t>Cocal dos Alves</t>
  </si>
  <si>
    <t>Coivaras</t>
  </si>
  <si>
    <t>Colônia do Gurguéia</t>
  </si>
  <si>
    <t>Colônia do Piauí</t>
  </si>
  <si>
    <t>Conceição do Canindé</t>
  </si>
  <si>
    <t>Coronel José Dias</t>
  </si>
  <si>
    <t>Corrente</t>
  </si>
  <si>
    <t>Cristalândia do Piauí</t>
  </si>
  <si>
    <t>Cristino Castro</t>
  </si>
  <si>
    <t>Curimatá</t>
  </si>
  <si>
    <t>Currais</t>
  </si>
  <si>
    <t>Curralinhos</t>
  </si>
  <si>
    <t>Curral Novo do Piauí</t>
  </si>
  <si>
    <t>demerval Lobão</t>
  </si>
  <si>
    <t>Dirceu Arcoverde</t>
  </si>
  <si>
    <t>dom Expedito Lopes</t>
  </si>
  <si>
    <t>domingos Mourão</t>
  </si>
  <si>
    <t>dom Inocêncio</t>
  </si>
  <si>
    <t>Elesbão Veloso</t>
  </si>
  <si>
    <t>Eliseu Martins</t>
  </si>
  <si>
    <t>Fartura do Piauí</t>
  </si>
  <si>
    <t>Flores do Piauí</t>
  </si>
  <si>
    <t>Floresta do Piauí</t>
  </si>
  <si>
    <t>Floriano</t>
  </si>
  <si>
    <t>Francinópolis</t>
  </si>
  <si>
    <t>Francisco Ayres</t>
  </si>
  <si>
    <t>Francisco Macedo</t>
  </si>
  <si>
    <t>Francisco Santos</t>
  </si>
  <si>
    <t>Fronteiras</t>
  </si>
  <si>
    <t>Geminiano</t>
  </si>
  <si>
    <t>Gilbués</t>
  </si>
  <si>
    <t>Guadalupe</t>
  </si>
  <si>
    <t>Guaribas</t>
  </si>
  <si>
    <t>Hugo Napoleão</t>
  </si>
  <si>
    <t>Ilha Grande</t>
  </si>
  <si>
    <t>Inhuma</t>
  </si>
  <si>
    <t>Ipiranga do Piauí</t>
  </si>
  <si>
    <t>Isaías Coelho</t>
  </si>
  <si>
    <t>Itainópolis</t>
  </si>
  <si>
    <t>Itaueira</t>
  </si>
  <si>
    <t>Jacobina do Piauí</t>
  </si>
  <si>
    <t>Jaicós</t>
  </si>
  <si>
    <t>Jardim do Mulato</t>
  </si>
  <si>
    <t>Jatobá do Piauí</t>
  </si>
  <si>
    <t>Jerumenha</t>
  </si>
  <si>
    <t>João Costa</t>
  </si>
  <si>
    <t>Joaquim Pires</t>
  </si>
  <si>
    <t>Joca Marques</t>
  </si>
  <si>
    <t>José de Freitas</t>
  </si>
  <si>
    <t>Juazeiro do Piauí</t>
  </si>
  <si>
    <t>Júlio Borges</t>
  </si>
  <si>
    <t>Jurema</t>
  </si>
  <si>
    <t>Lagoinha do Piauí</t>
  </si>
  <si>
    <t>Lagoa Alegre</t>
  </si>
  <si>
    <t>Lagoa do Barro do Piauí</t>
  </si>
  <si>
    <t>Lagoa de São Francisco</t>
  </si>
  <si>
    <t>Lagoa do Piauí</t>
  </si>
  <si>
    <t>Lagoa do Sítio</t>
  </si>
  <si>
    <t>Landri Sales</t>
  </si>
  <si>
    <t>Luís Correia</t>
  </si>
  <si>
    <t>Luzilândia</t>
  </si>
  <si>
    <t>Madeiro</t>
  </si>
  <si>
    <t>Manoel Emídio</t>
  </si>
  <si>
    <t>Marcolândia</t>
  </si>
  <si>
    <t>Marcos Parente</t>
  </si>
  <si>
    <t>Massapê do Piauí</t>
  </si>
  <si>
    <t>Matias Olímpio</t>
  </si>
  <si>
    <t>Miguel Alves</t>
  </si>
  <si>
    <t>Miguel Leão</t>
  </si>
  <si>
    <t>Milton Brandão</t>
  </si>
  <si>
    <t>Monsenhor Gil</t>
  </si>
  <si>
    <t>Monsenhor Hipólito</t>
  </si>
  <si>
    <t>Monte Alegre do Piauí</t>
  </si>
  <si>
    <t>Morro Cabeça No Tempo</t>
  </si>
  <si>
    <t>Morro do Chapéu do Piauí</t>
  </si>
  <si>
    <t>Murici dos Portelas</t>
  </si>
  <si>
    <t>Nazaré do Piauí</t>
  </si>
  <si>
    <t>Nazária</t>
  </si>
  <si>
    <t>Nossa Senhora de Nazaré</t>
  </si>
  <si>
    <t>Nossa Senhora dos Remédios</t>
  </si>
  <si>
    <t>Novo Oriente do Piauí</t>
  </si>
  <si>
    <t>Novo Santo Antônio</t>
  </si>
  <si>
    <t>Oeiras</t>
  </si>
  <si>
    <t>Olho D'água do Piauí</t>
  </si>
  <si>
    <t>Padre Marcos</t>
  </si>
  <si>
    <t>Paes Landim</t>
  </si>
  <si>
    <t>Pajeú do Piauí</t>
  </si>
  <si>
    <t>Palmeira do Piauí</t>
  </si>
  <si>
    <t>Palmeirais</t>
  </si>
  <si>
    <t>Paquetá</t>
  </si>
  <si>
    <t>Parnaguá</t>
  </si>
  <si>
    <t>Parnaíba</t>
  </si>
  <si>
    <t>Passagem Franca do Piauí</t>
  </si>
  <si>
    <t>Patos do Piauí</t>
  </si>
  <si>
    <t>Pau D'arco do Piauí</t>
  </si>
  <si>
    <t>Paulistana</t>
  </si>
  <si>
    <t>Pavussu</t>
  </si>
  <si>
    <t>Pedro Ii</t>
  </si>
  <si>
    <t>Pedro Laurentino</t>
  </si>
  <si>
    <t>Nova Santa Rita</t>
  </si>
  <si>
    <t>Picos</t>
  </si>
  <si>
    <t>Pimenteiras</t>
  </si>
  <si>
    <t>Pio Ix</t>
  </si>
  <si>
    <t>Piracuruca</t>
  </si>
  <si>
    <t>Piripiri</t>
  </si>
  <si>
    <t>Porto</t>
  </si>
  <si>
    <t>Porto Alegre do Piauí</t>
  </si>
  <si>
    <t>Prata do Piauí</t>
  </si>
  <si>
    <t>Queimada Nova</t>
  </si>
  <si>
    <t>Redenção do Gurguéia</t>
  </si>
  <si>
    <t>Regeneração</t>
  </si>
  <si>
    <t>Riacho Frio</t>
  </si>
  <si>
    <t>Ribeira do Piauí</t>
  </si>
  <si>
    <t>Ribeiro Gonçalves</t>
  </si>
  <si>
    <t>Rio Grande do Piauí</t>
  </si>
  <si>
    <t>Santa Cruz do Piauí</t>
  </si>
  <si>
    <t>Santa Cruz dos Milagres</t>
  </si>
  <si>
    <t>Santa Filomena</t>
  </si>
  <si>
    <t>Santa Luz</t>
  </si>
  <si>
    <t>Santana do Piauí</t>
  </si>
  <si>
    <t>Santa Rosa do Piauí</t>
  </si>
  <si>
    <t>Santo Antônio de Lisboa</t>
  </si>
  <si>
    <t>Santo Antônio dos Milagres</t>
  </si>
  <si>
    <t>Santo Inácio do Piauí</t>
  </si>
  <si>
    <t>São Braz do Piauí</t>
  </si>
  <si>
    <t>São Félix do Piauí</t>
  </si>
  <si>
    <t>São Francisco de Assis do Piauí</t>
  </si>
  <si>
    <t>São Francisco do Piauí</t>
  </si>
  <si>
    <t>São Gonçalo do Gurguéia</t>
  </si>
  <si>
    <t>São Gonçalo do Piauí</t>
  </si>
  <si>
    <t>São João da Canabrava</t>
  </si>
  <si>
    <t>São João da Fronteira</t>
  </si>
  <si>
    <t>São João da Serra</t>
  </si>
  <si>
    <t>São João da Varjota</t>
  </si>
  <si>
    <t>São João do Arraial</t>
  </si>
  <si>
    <t>São João do Piauí</t>
  </si>
  <si>
    <t>São José do Divino</t>
  </si>
  <si>
    <t>São José do Peixe</t>
  </si>
  <si>
    <t>São José do Piauí</t>
  </si>
  <si>
    <t>São Julião</t>
  </si>
  <si>
    <t>São Lourenço do Piauí</t>
  </si>
  <si>
    <t>São Luis do Piauí</t>
  </si>
  <si>
    <t>São Miguel da Baixa Grande</t>
  </si>
  <si>
    <t>São Miguel do Fidalgo</t>
  </si>
  <si>
    <t>São Miguel do Tapuio</t>
  </si>
  <si>
    <t>São Pedro do Piauí</t>
  </si>
  <si>
    <t>São Raimundo Nonato</t>
  </si>
  <si>
    <t>Sebastião Barros</t>
  </si>
  <si>
    <t>Sebastião Leal</t>
  </si>
  <si>
    <t>Sigefredo Pacheco</t>
  </si>
  <si>
    <t>Simões</t>
  </si>
  <si>
    <t>Simplício Mendes</t>
  </si>
  <si>
    <t>Socorro do Piauí</t>
  </si>
  <si>
    <t>Sussuapara</t>
  </si>
  <si>
    <t>Tamboril do Piauí</t>
  </si>
  <si>
    <t>Tanque do Piauí</t>
  </si>
  <si>
    <t>Teresina</t>
  </si>
  <si>
    <t>União</t>
  </si>
  <si>
    <t>Uruçuí</t>
  </si>
  <si>
    <t>Valença do Piauí</t>
  </si>
  <si>
    <t>Várzea Branca</t>
  </si>
  <si>
    <t>Várzea Grande</t>
  </si>
  <si>
    <t>Vera Mendes</t>
  </si>
  <si>
    <t>Vila Nova do Piauí</t>
  </si>
  <si>
    <t>Wall Ferraz</t>
  </si>
  <si>
    <t>Abaiara</t>
  </si>
  <si>
    <t>Acarape</t>
  </si>
  <si>
    <t>Acaraú</t>
  </si>
  <si>
    <t>Acopiara</t>
  </si>
  <si>
    <t>Aiuaba</t>
  </si>
  <si>
    <t>Alcântaras</t>
  </si>
  <si>
    <t>Altaneira</t>
  </si>
  <si>
    <t>Alto Santo</t>
  </si>
  <si>
    <t>Amontada</t>
  </si>
  <si>
    <t>Antonina do Norte</t>
  </si>
  <si>
    <t>Apuiarés</t>
  </si>
  <si>
    <t>Aquiraz</t>
  </si>
  <si>
    <t>Aracati</t>
  </si>
  <si>
    <t>Aracoiaba</t>
  </si>
  <si>
    <t>Ararendá</t>
  </si>
  <si>
    <t>Araripe</t>
  </si>
  <si>
    <t>Aratuba</t>
  </si>
  <si>
    <t>Arneiroz</t>
  </si>
  <si>
    <t>Assaré</t>
  </si>
  <si>
    <t>Aurora</t>
  </si>
  <si>
    <t>Baixio</t>
  </si>
  <si>
    <t>Banabuiú</t>
  </si>
  <si>
    <t>Barbalha</t>
  </si>
  <si>
    <t>Barreira</t>
  </si>
  <si>
    <t>Barro</t>
  </si>
  <si>
    <t>Barroquinha</t>
  </si>
  <si>
    <t>Baturité</t>
  </si>
  <si>
    <t>Beberibe</t>
  </si>
  <si>
    <t>Bela Cruz</t>
  </si>
  <si>
    <t>Boa Viagem</t>
  </si>
  <si>
    <t>Brejo Santo</t>
  </si>
  <si>
    <t>Camocim</t>
  </si>
  <si>
    <t>Campos Sales</t>
  </si>
  <si>
    <t>Canindé</t>
  </si>
  <si>
    <t>Capistrano</t>
  </si>
  <si>
    <t>Caridade</t>
  </si>
  <si>
    <t>Cariré</t>
  </si>
  <si>
    <t>Caririaçu</t>
  </si>
  <si>
    <t>Cariús</t>
  </si>
  <si>
    <t>Carnaubal</t>
  </si>
  <si>
    <t>Cascavel</t>
  </si>
  <si>
    <t>Catarina</t>
  </si>
  <si>
    <t>Catunda</t>
  </si>
  <si>
    <t>Caucaia</t>
  </si>
  <si>
    <t>Cedro</t>
  </si>
  <si>
    <t>Chaval</t>
  </si>
  <si>
    <t>Choró</t>
  </si>
  <si>
    <t>Chorozinho</t>
  </si>
  <si>
    <t>Coreaú</t>
  </si>
  <si>
    <t>Crateús</t>
  </si>
  <si>
    <t>Crato</t>
  </si>
  <si>
    <t>Croatá</t>
  </si>
  <si>
    <t>Cruz</t>
  </si>
  <si>
    <t>deputado Irapuan Pinheiro</t>
  </si>
  <si>
    <t>Ererê</t>
  </si>
  <si>
    <t>Eusébio</t>
  </si>
  <si>
    <t>Farias Brito</t>
  </si>
  <si>
    <t>Forquilha</t>
  </si>
  <si>
    <t>Fortaleza</t>
  </si>
  <si>
    <t>Fortim</t>
  </si>
  <si>
    <t>Frecheirinha</t>
  </si>
  <si>
    <t>General Sampaio</t>
  </si>
  <si>
    <t>Graça</t>
  </si>
  <si>
    <t>Granja</t>
  </si>
  <si>
    <t>Granjeiro</t>
  </si>
  <si>
    <t>Groaíras</t>
  </si>
  <si>
    <t>Guaiúba</t>
  </si>
  <si>
    <t>Guaraciaba do Norte</t>
  </si>
  <si>
    <t>Guaramiranga</t>
  </si>
  <si>
    <t>Hidrolândia</t>
  </si>
  <si>
    <t>Horizonte</t>
  </si>
  <si>
    <t>Ibaretama</t>
  </si>
  <si>
    <t>Ibiapina</t>
  </si>
  <si>
    <t>Ibicuitinga</t>
  </si>
  <si>
    <t>Icapuí</t>
  </si>
  <si>
    <t>Icó</t>
  </si>
  <si>
    <t>Iguatu</t>
  </si>
  <si>
    <t>Independência</t>
  </si>
  <si>
    <t>Ipaporanga</t>
  </si>
  <si>
    <t>Ipaumirim</t>
  </si>
  <si>
    <t>Ipu</t>
  </si>
  <si>
    <t>Irauçuba</t>
  </si>
  <si>
    <t>Itaiçaba</t>
  </si>
  <si>
    <t>Itaitinga</t>
  </si>
  <si>
    <t>Itapajé</t>
  </si>
  <si>
    <t>Itapipoca</t>
  </si>
  <si>
    <t>Itapiúna</t>
  </si>
  <si>
    <t>Itarema</t>
  </si>
  <si>
    <t>Itatira</t>
  </si>
  <si>
    <t>Jaguaretama</t>
  </si>
  <si>
    <t>Jaguaribara</t>
  </si>
  <si>
    <t>Jaguaribe</t>
  </si>
  <si>
    <t>Jaguaruana</t>
  </si>
  <si>
    <t>Jardim</t>
  </si>
  <si>
    <t>Jati</t>
  </si>
  <si>
    <t>Jijoca de Jericoacoara</t>
  </si>
  <si>
    <t>Juazeiro do Norte</t>
  </si>
  <si>
    <t>Jucás</t>
  </si>
  <si>
    <t>Lavras da Mangabeira</t>
  </si>
  <si>
    <t>Limoeiro do Norte</t>
  </si>
  <si>
    <t>Madalena</t>
  </si>
  <si>
    <t>Maracanaú</t>
  </si>
  <si>
    <t>Maranguape</t>
  </si>
  <si>
    <t>Marco</t>
  </si>
  <si>
    <t>Martinópole</t>
  </si>
  <si>
    <t>Massapê</t>
  </si>
  <si>
    <t>Mauriti</t>
  </si>
  <si>
    <t>Meruoca</t>
  </si>
  <si>
    <t>Milagres</t>
  </si>
  <si>
    <t>Milhã</t>
  </si>
  <si>
    <t>Miraíma</t>
  </si>
  <si>
    <t>Missão Velha</t>
  </si>
  <si>
    <t>Mombaça</t>
  </si>
  <si>
    <t>Monsenhor Tabosa</t>
  </si>
  <si>
    <t>Morada Nova</t>
  </si>
  <si>
    <t>Moraújo</t>
  </si>
  <si>
    <t>Morrinhos</t>
  </si>
  <si>
    <t>Mucambo</t>
  </si>
  <si>
    <t>Mulungu</t>
  </si>
  <si>
    <t>Nova Russas</t>
  </si>
  <si>
    <t>Novo Oriente</t>
  </si>
  <si>
    <t>Ocara</t>
  </si>
  <si>
    <t>Orós</t>
  </si>
  <si>
    <t>Pacajus</t>
  </si>
  <si>
    <t>Pacatuba</t>
  </si>
  <si>
    <t>Pacoti</t>
  </si>
  <si>
    <t>Pacujá</t>
  </si>
  <si>
    <t>Palhano</t>
  </si>
  <si>
    <t>Palmácia</t>
  </si>
  <si>
    <t>Paracuru</t>
  </si>
  <si>
    <t>Paraipaba</t>
  </si>
  <si>
    <t>Parambu</t>
  </si>
  <si>
    <t>Paramoti</t>
  </si>
  <si>
    <t>Pedra Branca</t>
  </si>
  <si>
    <t>Penaforte</t>
  </si>
  <si>
    <t>Pentecoste</t>
  </si>
  <si>
    <t>Pereiro</t>
  </si>
  <si>
    <t>Pindoretama</t>
  </si>
  <si>
    <t>Piquet Carneiro</t>
  </si>
  <si>
    <t>Pires Ferreira</t>
  </si>
  <si>
    <t>Poranga</t>
  </si>
  <si>
    <t>Porteiras</t>
  </si>
  <si>
    <t>Potengi</t>
  </si>
  <si>
    <t>Potiretama</t>
  </si>
  <si>
    <t>Quiterianópolis</t>
  </si>
  <si>
    <t>Quixadá</t>
  </si>
  <si>
    <t>Quixelô</t>
  </si>
  <si>
    <t>Quixeramobim</t>
  </si>
  <si>
    <t>Quixeré</t>
  </si>
  <si>
    <t>Reriutaba</t>
  </si>
  <si>
    <t>Russas</t>
  </si>
  <si>
    <t>Saboeiro</t>
  </si>
  <si>
    <t>Salitre</t>
  </si>
  <si>
    <t>Santana do Acaraú</t>
  </si>
  <si>
    <t>Santana do Cariri</t>
  </si>
  <si>
    <t>Santa Quitéria</t>
  </si>
  <si>
    <t>São Benedito</t>
  </si>
  <si>
    <t>São Gonçalo do Amarante</t>
  </si>
  <si>
    <t>São João do Jaguaribe</t>
  </si>
  <si>
    <t>São Luís do Curu</t>
  </si>
  <si>
    <t>Senador Pompeu</t>
  </si>
  <si>
    <t>Senador Sá</t>
  </si>
  <si>
    <t>Sobral</t>
  </si>
  <si>
    <t>Solonópole</t>
  </si>
  <si>
    <t>Tabuleiro do Norte</t>
  </si>
  <si>
    <t>Tamboril</t>
  </si>
  <si>
    <t>Tarrafas</t>
  </si>
  <si>
    <t>Tauá</t>
  </si>
  <si>
    <t>Tejuçuoca</t>
  </si>
  <si>
    <t>Tianguá</t>
  </si>
  <si>
    <t>Trairi</t>
  </si>
  <si>
    <t>Tururu</t>
  </si>
  <si>
    <t>Ubajara</t>
  </si>
  <si>
    <t>Umari</t>
  </si>
  <si>
    <t>Umirim</t>
  </si>
  <si>
    <t>Uruburetama</t>
  </si>
  <si>
    <t>Uruoca</t>
  </si>
  <si>
    <t>Varjota</t>
  </si>
  <si>
    <t>Várzea Alegre</t>
  </si>
  <si>
    <t>Viçosa do Ceará</t>
  </si>
  <si>
    <t>Acari</t>
  </si>
  <si>
    <t>Açu</t>
  </si>
  <si>
    <t>Afonso Bezerra</t>
  </si>
  <si>
    <t>Água Nova</t>
  </si>
  <si>
    <t>Alexandria</t>
  </si>
  <si>
    <t>Almino Afonso</t>
  </si>
  <si>
    <t>Alto do Rodrigues</t>
  </si>
  <si>
    <t>Angicos</t>
  </si>
  <si>
    <t>Antônio Martins</t>
  </si>
  <si>
    <t>Apodi</t>
  </si>
  <si>
    <t>Areia Branca</t>
  </si>
  <si>
    <t>Arês</t>
  </si>
  <si>
    <t>Augusto Severo</t>
  </si>
  <si>
    <t>Baía Formosa</t>
  </si>
  <si>
    <t>Baraúna</t>
  </si>
  <si>
    <t>Barcelona</t>
  </si>
  <si>
    <t>Bento Fernandes</t>
  </si>
  <si>
    <t>Bodó</t>
  </si>
  <si>
    <t>Brejinho</t>
  </si>
  <si>
    <t>Caiçara do Norte</t>
  </si>
  <si>
    <t>Caiçara do Rio do Vento</t>
  </si>
  <si>
    <t>Caicó</t>
  </si>
  <si>
    <t>Campo Redondo</t>
  </si>
  <si>
    <t>Canguaretama</t>
  </si>
  <si>
    <t>Caraúbas</t>
  </si>
  <si>
    <t>Carnaúba dos dantas</t>
  </si>
  <si>
    <t>Carnaubais</t>
  </si>
  <si>
    <t>Ceará-Mirim</t>
  </si>
  <si>
    <t>Cerro Corá</t>
  </si>
  <si>
    <t>Coronel Ezequiel</t>
  </si>
  <si>
    <t>Coronel João Pessoa</t>
  </si>
  <si>
    <t>Cruzeta</t>
  </si>
  <si>
    <t>Currais Novos</t>
  </si>
  <si>
    <t>doutor Severiano</t>
  </si>
  <si>
    <t>Parnamirim</t>
  </si>
  <si>
    <t>Encanto</t>
  </si>
  <si>
    <t>Equador</t>
  </si>
  <si>
    <t>Espírito Santo</t>
  </si>
  <si>
    <t>Extremoz</t>
  </si>
  <si>
    <t>Felipe Guerra</t>
  </si>
  <si>
    <t>Fernando Pedroza</t>
  </si>
  <si>
    <t>Florânia</t>
  </si>
  <si>
    <t>Francisco dantas</t>
  </si>
  <si>
    <t>Frutuoso Gomes</t>
  </si>
  <si>
    <t>Galinhos</t>
  </si>
  <si>
    <t>Goianinha</t>
  </si>
  <si>
    <t>Governador Dix-Sept Rosado</t>
  </si>
  <si>
    <t>Grossos</t>
  </si>
  <si>
    <t>Guamaré</t>
  </si>
  <si>
    <t>Ielmo Marinho</t>
  </si>
  <si>
    <t>Ipanguaçu</t>
  </si>
  <si>
    <t>Ipueira</t>
  </si>
  <si>
    <t>Itajá</t>
  </si>
  <si>
    <t>Itaú</t>
  </si>
  <si>
    <t>Jaçanã</t>
  </si>
  <si>
    <t>Jandaíra</t>
  </si>
  <si>
    <t>Janduís</t>
  </si>
  <si>
    <t>Januário Cicco</t>
  </si>
  <si>
    <t>Japi</t>
  </si>
  <si>
    <t>Jardim de Angicos</t>
  </si>
  <si>
    <t>Jardim de Piranhas</t>
  </si>
  <si>
    <t>Jardim do Seridó</t>
  </si>
  <si>
    <t>João Câmara</t>
  </si>
  <si>
    <t>João Dias</t>
  </si>
  <si>
    <t>José da Penha</t>
  </si>
  <si>
    <t>Jucurutu</t>
  </si>
  <si>
    <t>Jundiá</t>
  </si>
  <si>
    <t>Lagoa D'anta</t>
  </si>
  <si>
    <t>Lagoa de Pedras</t>
  </si>
  <si>
    <t>Lagoa de Velhos</t>
  </si>
  <si>
    <t>Lagoa Nova</t>
  </si>
  <si>
    <t>Lagoa Salgada</t>
  </si>
  <si>
    <t>Lajes</t>
  </si>
  <si>
    <t>Lajes Pintadas</t>
  </si>
  <si>
    <t>Lucrécia</t>
  </si>
  <si>
    <t>Luís Gomes</t>
  </si>
  <si>
    <t>Macaíba</t>
  </si>
  <si>
    <t>Macau</t>
  </si>
  <si>
    <t>Major Sales</t>
  </si>
  <si>
    <t>Marcelino Vieira</t>
  </si>
  <si>
    <t>Martins</t>
  </si>
  <si>
    <t>Maxaranguape</t>
  </si>
  <si>
    <t>Messias Targino</t>
  </si>
  <si>
    <t>Montanhas</t>
  </si>
  <si>
    <t>Monte das Gameleiras</t>
  </si>
  <si>
    <t>Mossoró</t>
  </si>
  <si>
    <t>Natal</t>
  </si>
  <si>
    <t>Nísia Floresta</t>
  </si>
  <si>
    <t>Nova Cruz</t>
  </si>
  <si>
    <t>Olho-D'água do Borges</t>
  </si>
  <si>
    <t>Ouro Branco</t>
  </si>
  <si>
    <t>Paraná</t>
  </si>
  <si>
    <t>Paraú</t>
  </si>
  <si>
    <t>Parazinho</t>
  </si>
  <si>
    <t>Parelhas</t>
  </si>
  <si>
    <t>Rio do Fogo</t>
  </si>
  <si>
    <t>Passa E Fica</t>
  </si>
  <si>
    <t>Passagem</t>
  </si>
  <si>
    <t>Patu</t>
  </si>
  <si>
    <t>Santa Maria</t>
  </si>
  <si>
    <t>Pau dos Ferros</t>
  </si>
  <si>
    <t>Pedra Grande</t>
  </si>
  <si>
    <t>Pedra Preta</t>
  </si>
  <si>
    <t>Pedro Avelino</t>
  </si>
  <si>
    <t>Pedro Velho</t>
  </si>
  <si>
    <t>Pendências</t>
  </si>
  <si>
    <t>Pilões</t>
  </si>
  <si>
    <t>Poço Branco</t>
  </si>
  <si>
    <t>Portalegre</t>
  </si>
  <si>
    <t>Porto do Mangue</t>
  </si>
  <si>
    <t>Serra Caiada</t>
  </si>
  <si>
    <t>Pureza</t>
  </si>
  <si>
    <t>Rafael Fernandes</t>
  </si>
  <si>
    <t>Rafael Godeiro</t>
  </si>
  <si>
    <t>Riacho da Cruz</t>
  </si>
  <si>
    <t>Riacho de Santana</t>
  </si>
  <si>
    <t>Riachuelo</t>
  </si>
  <si>
    <t>Rodolfo Fernandes</t>
  </si>
  <si>
    <t>Tibau</t>
  </si>
  <si>
    <t>Ruy Barbosa</t>
  </si>
  <si>
    <t>Santa Cruz</t>
  </si>
  <si>
    <t>Santana do Matos</t>
  </si>
  <si>
    <t>Santana do Seridó</t>
  </si>
  <si>
    <t>Santo Antônio</t>
  </si>
  <si>
    <t>São Bento do Norte</t>
  </si>
  <si>
    <t>São Bento do Trairí</t>
  </si>
  <si>
    <t>São Fernando</t>
  </si>
  <si>
    <t>São Francisco do Oeste</t>
  </si>
  <si>
    <t>São João do Sabugi</t>
  </si>
  <si>
    <t>São José de Mipibu</t>
  </si>
  <si>
    <t>São José do Campestre</t>
  </si>
  <si>
    <t>São José do Seridó</t>
  </si>
  <si>
    <t>São Miguel</t>
  </si>
  <si>
    <t>São Miguel do Gostoso</t>
  </si>
  <si>
    <t>São Paulo do Potengi</t>
  </si>
  <si>
    <t>São Pedro</t>
  </si>
  <si>
    <t>São Rafael</t>
  </si>
  <si>
    <t>São Tomé</t>
  </si>
  <si>
    <t>São Vicente</t>
  </si>
  <si>
    <t>Senador Elói de Souza</t>
  </si>
  <si>
    <t>Senador Georgino Avelino</t>
  </si>
  <si>
    <t>Serra de São Bento</t>
  </si>
  <si>
    <t>Serra do Mel</t>
  </si>
  <si>
    <t>Serra Negra do Norte</t>
  </si>
  <si>
    <t>Serrinha</t>
  </si>
  <si>
    <t>Serrinha dos Pintos</t>
  </si>
  <si>
    <t>Severiano Melo</t>
  </si>
  <si>
    <t>Taboleiro Grande</t>
  </si>
  <si>
    <t>Taipu</t>
  </si>
  <si>
    <t>Tangará</t>
  </si>
  <si>
    <t>Tenente Ananias</t>
  </si>
  <si>
    <t>Tenente Laurentino Cruz</t>
  </si>
  <si>
    <t>Tibau do Sul</t>
  </si>
  <si>
    <t>Timbaúba dos Batistas</t>
  </si>
  <si>
    <t>Touros</t>
  </si>
  <si>
    <t>Triunfo Potiguar</t>
  </si>
  <si>
    <t>Umarizal</t>
  </si>
  <si>
    <t>Upanema</t>
  </si>
  <si>
    <t>Várzea</t>
  </si>
  <si>
    <t>Venha-Ver</t>
  </si>
  <si>
    <t>Vera Cruz</t>
  </si>
  <si>
    <t>Viçosa</t>
  </si>
  <si>
    <t>Vila Flor</t>
  </si>
  <si>
    <t>Aguiar</t>
  </si>
  <si>
    <t>Alagoa Grande</t>
  </si>
  <si>
    <t>Alagoa Nova</t>
  </si>
  <si>
    <t>Alagoinha</t>
  </si>
  <si>
    <t>Alcantil</t>
  </si>
  <si>
    <t>Algodão de Jandaíra</t>
  </si>
  <si>
    <t>Alhandra</t>
  </si>
  <si>
    <t>São João do Rio do Peixe</t>
  </si>
  <si>
    <t>Amparo</t>
  </si>
  <si>
    <t>Aparecida</t>
  </si>
  <si>
    <t>Araçagi</t>
  </si>
  <si>
    <t>Arara</t>
  </si>
  <si>
    <t>Araruna</t>
  </si>
  <si>
    <t>Areia</t>
  </si>
  <si>
    <t>Areia de Baraúnas</t>
  </si>
  <si>
    <t>Areial</t>
  </si>
  <si>
    <t>Aroeiras</t>
  </si>
  <si>
    <t>Assunção</t>
  </si>
  <si>
    <t>Baía da Traição</t>
  </si>
  <si>
    <t>Bananeiras</t>
  </si>
  <si>
    <t>Barra de Santana</t>
  </si>
  <si>
    <t>Barra de Santa Rosa</t>
  </si>
  <si>
    <t>Barra de São Miguel</t>
  </si>
  <si>
    <t>Bayeux</t>
  </si>
  <si>
    <t>Belém do Brejo do Cruz</t>
  </si>
  <si>
    <t>Bernardino Batista</t>
  </si>
  <si>
    <t>Boa Ventura</t>
  </si>
  <si>
    <t>Bom Sucesso</t>
  </si>
  <si>
    <t>Bonito de Santa Fé</t>
  </si>
  <si>
    <t>Boqueirão</t>
  </si>
  <si>
    <t>Igaracy</t>
  </si>
  <si>
    <t>Borborema</t>
  </si>
  <si>
    <t>Brejo do Cruz</t>
  </si>
  <si>
    <t>Brejo dos Santos</t>
  </si>
  <si>
    <t>Caaporã</t>
  </si>
  <si>
    <t>Cabaceiras</t>
  </si>
  <si>
    <t>Cabedelo</t>
  </si>
  <si>
    <t>Cachoeira dos Índios</t>
  </si>
  <si>
    <t>Cacimba de Areia</t>
  </si>
  <si>
    <t>Cacimba de dentro</t>
  </si>
  <si>
    <t>Cacimbas</t>
  </si>
  <si>
    <t>Caiçara</t>
  </si>
  <si>
    <t>Cajazeiras</t>
  </si>
  <si>
    <t>Cajazeirinhas</t>
  </si>
  <si>
    <t>Caldas Brandão</t>
  </si>
  <si>
    <t>Camalaú</t>
  </si>
  <si>
    <t>Campina Grande</t>
  </si>
  <si>
    <t>Capim</t>
  </si>
  <si>
    <t>Carrapateira</t>
  </si>
  <si>
    <t>Casserengue</t>
  </si>
  <si>
    <t>Catingueira</t>
  </si>
  <si>
    <t>Catolé do Rocha</t>
  </si>
  <si>
    <t>Caturité</t>
  </si>
  <si>
    <t>Conceição</t>
  </si>
  <si>
    <t>Condado</t>
  </si>
  <si>
    <t>Conde</t>
  </si>
  <si>
    <t>Congo</t>
  </si>
  <si>
    <t>Coremas</t>
  </si>
  <si>
    <t>Coxixola</t>
  </si>
  <si>
    <t>Cruz do Espírito Santo</t>
  </si>
  <si>
    <t>Cubati</t>
  </si>
  <si>
    <t>Cuité</t>
  </si>
  <si>
    <t>Cuitegi</t>
  </si>
  <si>
    <t>Cuité de Mamanguape</t>
  </si>
  <si>
    <t>Curral de Cima</t>
  </si>
  <si>
    <t>Curral Velho</t>
  </si>
  <si>
    <t>damião</t>
  </si>
  <si>
    <t>desterro</t>
  </si>
  <si>
    <t>Vista Serrana</t>
  </si>
  <si>
    <t>Diamante</t>
  </si>
  <si>
    <t>dona Inês</t>
  </si>
  <si>
    <t>Duas Estradas</t>
  </si>
  <si>
    <t>Emas</t>
  </si>
  <si>
    <t>Esperança</t>
  </si>
  <si>
    <t>Fagundes</t>
  </si>
  <si>
    <t>Frei Martinho</t>
  </si>
  <si>
    <t>Gado Bravo</t>
  </si>
  <si>
    <t>Guarabira</t>
  </si>
  <si>
    <t>Gurinhém</t>
  </si>
  <si>
    <t>Gurjão</t>
  </si>
  <si>
    <t>Ibiara</t>
  </si>
  <si>
    <t>Imaculada</t>
  </si>
  <si>
    <t>Ingá</t>
  </si>
  <si>
    <t>Itabaiana</t>
  </si>
  <si>
    <t>Itaporanga</t>
  </si>
  <si>
    <t>Itapororoca</t>
  </si>
  <si>
    <t>Itatuba</t>
  </si>
  <si>
    <t>Jacaraú</t>
  </si>
  <si>
    <t>Jericó</t>
  </si>
  <si>
    <t>João Pessoa</t>
  </si>
  <si>
    <t>Juarez Távora</t>
  </si>
  <si>
    <t>Juazeirinho</t>
  </si>
  <si>
    <t>Junco do Seridó</t>
  </si>
  <si>
    <t>Juripiranga</t>
  </si>
  <si>
    <t>Juru</t>
  </si>
  <si>
    <t>Lagoa</t>
  </si>
  <si>
    <t>Lagoa de dentro</t>
  </si>
  <si>
    <t>Lagoa Seca</t>
  </si>
  <si>
    <t>Lastro</t>
  </si>
  <si>
    <t>Livramento</t>
  </si>
  <si>
    <t>Logradouro</t>
  </si>
  <si>
    <t>Lucena</t>
  </si>
  <si>
    <t>Mãe D'água</t>
  </si>
  <si>
    <t>Malta</t>
  </si>
  <si>
    <t>Mamanguape</t>
  </si>
  <si>
    <t>Manaíra</t>
  </si>
  <si>
    <t>Marcação</t>
  </si>
  <si>
    <t>Mari</t>
  </si>
  <si>
    <t>Marizópolis</t>
  </si>
  <si>
    <t>Massaranduba</t>
  </si>
  <si>
    <t>Mataraca</t>
  </si>
  <si>
    <t>Matinhas</t>
  </si>
  <si>
    <t>Mato Grosso</t>
  </si>
  <si>
    <t>Maturéia</t>
  </si>
  <si>
    <t>Mogeiro</t>
  </si>
  <si>
    <t>Montadas</t>
  </si>
  <si>
    <t>Monte Horebe</t>
  </si>
  <si>
    <t>Monteiro</t>
  </si>
  <si>
    <t>Natuba</t>
  </si>
  <si>
    <t>Nazarezinho</t>
  </si>
  <si>
    <t>Nova Floresta</t>
  </si>
  <si>
    <t>Nova Palmeira</t>
  </si>
  <si>
    <t>Olho D'água</t>
  </si>
  <si>
    <t>Olivedos</t>
  </si>
  <si>
    <t>Ouro Velho</t>
  </si>
  <si>
    <t>Parari</t>
  </si>
  <si>
    <t>Patos</t>
  </si>
  <si>
    <t>Paulista</t>
  </si>
  <si>
    <t>Pedra Lavrada</t>
  </si>
  <si>
    <t>Pedras de Fogo</t>
  </si>
  <si>
    <t>Piancó</t>
  </si>
  <si>
    <t>Picuí</t>
  </si>
  <si>
    <t>Pilar</t>
  </si>
  <si>
    <t>Pilõezinhos</t>
  </si>
  <si>
    <t>Pirpirituba</t>
  </si>
  <si>
    <t>Pitimbu</t>
  </si>
  <si>
    <t>Pocinhos</t>
  </si>
  <si>
    <t>Poço dantas</t>
  </si>
  <si>
    <t>Poço de José de Moura</t>
  </si>
  <si>
    <t>Pombal</t>
  </si>
  <si>
    <t>Prata</t>
  </si>
  <si>
    <t>Princesa Isabel</t>
  </si>
  <si>
    <t>Puxinanã</t>
  </si>
  <si>
    <t>Queimadas</t>
  </si>
  <si>
    <t>Quixaba</t>
  </si>
  <si>
    <t>Remígio</t>
  </si>
  <si>
    <t>Pedro Régis</t>
  </si>
  <si>
    <t>Riachão do Bacamarte</t>
  </si>
  <si>
    <t>Riachão do Poço</t>
  </si>
  <si>
    <t>Riacho de Santo Antônio</t>
  </si>
  <si>
    <t>Riacho dos Cavalos</t>
  </si>
  <si>
    <t>Rio Tinto</t>
  </si>
  <si>
    <t>Salgadinho</t>
  </si>
  <si>
    <t>Salgado de São Félix</t>
  </si>
  <si>
    <t>Santa Cecília</t>
  </si>
  <si>
    <t>Santana de Mangueira</t>
  </si>
  <si>
    <t>Santana dos Garrotes</t>
  </si>
  <si>
    <t>Joca Claudino</t>
  </si>
  <si>
    <t>Santa Teresinha</t>
  </si>
  <si>
    <t>Santo André</t>
  </si>
  <si>
    <t>São Bentinho</t>
  </si>
  <si>
    <t>São domingos do Cariri</t>
  </si>
  <si>
    <t>São domingos</t>
  </si>
  <si>
    <t>São Francisco</t>
  </si>
  <si>
    <t>São João do Cariri</t>
  </si>
  <si>
    <t>São João do Tigre</t>
  </si>
  <si>
    <t>São José da Lagoa Tapada</t>
  </si>
  <si>
    <t>São José de Caiana</t>
  </si>
  <si>
    <t>São José de Espinharas</t>
  </si>
  <si>
    <t>São José dos Ramos</t>
  </si>
  <si>
    <t>São José de Piranhas</t>
  </si>
  <si>
    <t>São José de Princesa</t>
  </si>
  <si>
    <t>São José do Bonfim</t>
  </si>
  <si>
    <t>São José do Brejo do Cruz</t>
  </si>
  <si>
    <t>São José do Sabugi</t>
  </si>
  <si>
    <t>São José dos Cordeiros</t>
  </si>
  <si>
    <t>São Mamede</t>
  </si>
  <si>
    <t>São Miguel de Taipu</t>
  </si>
  <si>
    <t>São Sebastião de Lagoa de Roça</t>
  </si>
  <si>
    <t>São Sebastião do Umbuzeiro</t>
  </si>
  <si>
    <t>Sapé</t>
  </si>
  <si>
    <t>São Vicente do Seridó</t>
  </si>
  <si>
    <t>Serra Branca</t>
  </si>
  <si>
    <t>Serra da Raiz</t>
  </si>
  <si>
    <t>Serra Grande</t>
  </si>
  <si>
    <t>Serra Redonda</t>
  </si>
  <si>
    <t>Serraria</t>
  </si>
  <si>
    <t>Sertãozinho</t>
  </si>
  <si>
    <t>Sobrado</t>
  </si>
  <si>
    <t>Solânea</t>
  </si>
  <si>
    <t>Soledade</t>
  </si>
  <si>
    <t>Sossêgo</t>
  </si>
  <si>
    <t>Sousa</t>
  </si>
  <si>
    <t>Sumé</t>
  </si>
  <si>
    <t>Tacima</t>
  </si>
  <si>
    <t>Taperoá</t>
  </si>
  <si>
    <t>Tavares</t>
  </si>
  <si>
    <t>Teixeira</t>
  </si>
  <si>
    <t>Tenório</t>
  </si>
  <si>
    <t>Triunfo</t>
  </si>
  <si>
    <t>Uiraúna</t>
  </si>
  <si>
    <t>Umbuzeiro</t>
  </si>
  <si>
    <t>Vieirópolis</t>
  </si>
  <si>
    <t>Zabelê</t>
  </si>
  <si>
    <t>Abreu E Lima</t>
  </si>
  <si>
    <t>Afogados da Ingazeira</t>
  </si>
  <si>
    <t>Afrânio</t>
  </si>
  <si>
    <t>Agrestina</t>
  </si>
  <si>
    <t>Água Preta</t>
  </si>
  <si>
    <t>Águas Belas</t>
  </si>
  <si>
    <t>Aliança</t>
  </si>
  <si>
    <t>Altinho</t>
  </si>
  <si>
    <t>Amaraji</t>
  </si>
  <si>
    <t>Angelim</t>
  </si>
  <si>
    <t>Araçoiaba</t>
  </si>
  <si>
    <t>Araripina</t>
  </si>
  <si>
    <t>Arcoverde</t>
  </si>
  <si>
    <t>Barra de Guabiraba</t>
  </si>
  <si>
    <t>Barreiros</t>
  </si>
  <si>
    <t>Belém de Maria</t>
  </si>
  <si>
    <t>Belém do São Francisco</t>
  </si>
  <si>
    <t>Belo Jardim</t>
  </si>
  <si>
    <t>Betânia</t>
  </si>
  <si>
    <t>Bezerros</t>
  </si>
  <si>
    <t>Bodocó</t>
  </si>
  <si>
    <t>Bom Conselho</t>
  </si>
  <si>
    <t>Brejão</t>
  </si>
  <si>
    <t>Brejo da Madre de deus</t>
  </si>
  <si>
    <t>Buenos Aires</t>
  </si>
  <si>
    <t>Buíque</t>
  </si>
  <si>
    <t>Cabo de Santo Agostinho</t>
  </si>
  <si>
    <t>Cabrobó</t>
  </si>
  <si>
    <t>Caetés</t>
  </si>
  <si>
    <t>Calçado</t>
  </si>
  <si>
    <t>Calumbi</t>
  </si>
  <si>
    <t>Camaragibe</t>
  </si>
  <si>
    <t>Camocim de São Félix</t>
  </si>
  <si>
    <t>Camutanga</t>
  </si>
  <si>
    <t>Canhotinho</t>
  </si>
  <si>
    <t>Capoeiras</t>
  </si>
  <si>
    <t>Carnaíba</t>
  </si>
  <si>
    <t>Carnaubeira da Penha</t>
  </si>
  <si>
    <t>Carpina</t>
  </si>
  <si>
    <t>Caruaru</t>
  </si>
  <si>
    <t>Casinhas</t>
  </si>
  <si>
    <t>Catende</t>
  </si>
  <si>
    <t>Chã de Alegria</t>
  </si>
  <si>
    <t>Chã Grande</t>
  </si>
  <si>
    <t>Correntes</t>
  </si>
  <si>
    <t>Cortês</t>
  </si>
  <si>
    <t>Cumaru</t>
  </si>
  <si>
    <t>Cupira</t>
  </si>
  <si>
    <t>Custódia</t>
  </si>
  <si>
    <t>dormentes</t>
  </si>
  <si>
    <t>Escada</t>
  </si>
  <si>
    <t>Exu</t>
  </si>
  <si>
    <t>Feira Nova</t>
  </si>
  <si>
    <t>Fernando de Noronha</t>
  </si>
  <si>
    <t>Ferreiros</t>
  </si>
  <si>
    <t>Flores</t>
  </si>
  <si>
    <t>Floresta</t>
  </si>
  <si>
    <t>Frei Miguelinho</t>
  </si>
  <si>
    <t>Gameleira</t>
  </si>
  <si>
    <t>Garanhuns</t>
  </si>
  <si>
    <t>Glória do Goitá</t>
  </si>
  <si>
    <t>Goiana</t>
  </si>
  <si>
    <t>Granito</t>
  </si>
  <si>
    <t>Gravatá</t>
  </si>
  <si>
    <t>Iati</t>
  </si>
  <si>
    <t>Ibimirim</t>
  </si>
  <si>
    <t>Ibirajuba</t>
  </si>
  <si>
    <t>Igarassu</t>
  </si>
  <si>
    <t>Iguaracy</t>
  </si>
  <si>
    <t>Inajá</t>
  </si>
  <si>
    <t>Ingazeira</t>
  </si>
  <si>
    <t>Ipojuca</t>
  </si>
  <si>
    <t>Ipubi</t>
  </si>
  <si>
    <t>Itacuruba</t>
  </si>
  <si>
    <t>Itaíba</t>
  </si>
  <si>
    <t>Ilha de Itamaracá</t>
  </si>
  <si>
    <t>Itambé</t>
  </si>
  <si>
    <t>Itapetim</t>
  </si>
  <si>
    <t>Itapissuma</t>
  </si>
  <si>
    <t>Itaquitinga</t>
  </si>
  <si>
    <t>Jaboatão dos Guararapes</t>
  </si>
  <si>
    <t>Jaqueira</t>
  </si>
  <si>
    <t>Jataúba</t>
  </si>
  <si>
    <t>João Alfredo</t>
  </si>
  <si>
    <t>Joaquim Nabuco</t>
  </si>
  <si>
    <t>Jucati</t>
  </si>
  <si>
    <t>Jupi</t>
  </si>
  <si>
    <t>Lagoa do Carro</t>
  </si>
  <si>
    <t>Lagoa de Itaenga</t>
  </si>
  <si>
    <t>Lagoa do Ouro</t>
  </si>
  <si>
    <t>Lagoa dos Gatos</t>
  </si>
  <si>
    <t>Lagoa Grande</t>
  </si>
  <si>
    <t>Lajedo</t>
  </si>
  <si>
    <t>Limoeiro</t>
  </si>
  <si>
    <t>Macaparana</t>
  </si>
  <si>
    <t>Machados</t>
  </si>
  <si>
    <t>Manari</t>
  </si>
  <si>
    <t>Maraial</t>
  </si>
  <si>
    <t>Mirandiba</t>
  </si>
  <si>
    <t>Moreno</t>
  </si>
  <si>
    <t>Nazaré da Mata</t>
  </si>
  <si>
    <t>Olinda</t>
  </si>
  <si>
    <t>Orobó</t>
  </si>
  <si>
    <t>Orocó</t>
  </si>
  <si>
    <t>Ouricuri</t>
  </si>
  <si>
    <t>Palmares</t>
  </si>
  <si>
    <t>Palmeirina</t>
  </si>
  <si>
    <t>Panelas</t>
  </si>
  <si>
    <t>Paranatama</t>
  </si>
  <si>
    <t>Passira</t>
  </si>
  <si>
    <t>Paudalho</t>
  </si>
  <si>
    <t>Pedra</t>
  </si>
  <si>
    <t>Pesqueira</t>
  </si>
  <si>
    <t>Petrolândia</t>
  </si>
  <si>
    <t>Petrolina</t>
  </si>
  <si>
    <t>Poção</t>
  </si>
  <si>
    <t>Pombos</t>
  </si>
  <si>
    <t>Quipapá</t>
  </si>
  <si>
    <t>Recife</t>
  </si>
  <si>
    <t>Riacho das Almas</t>
  </si>
  <si>
    <t>Ribeirão</t>
  </si>
  <si>
    <t>Rio Formoso</t>
  </si>
  <si>
    <t>Sairé</t>
  </si>
  <si>
    <t>Salgueiro</t>
  </si>
  <si>
    <t>Saloá</t>
  </si>
  <si>
    <t>Sanharó</t>
  </si>
  <si>
    <t>Santa Cruz da Baixa Verde</t>
  </si>
  <si>
    <t>Santa Cruz do Capibaribe</t>
  </si>
  <si>
    <t>Santa Maria da Boa Vista</t>
  </si>
  <si>
    <t>Santa Maria do Cambucá</t>
  </si>
  <si>
    <t>Santa Terezinha</t>
  </si>
  <si>
    <t>São Benedito do Sul</t>
  </si>
  <si>
    <t>São Bento do Una</t>
  </si>
  <si>
    <t>São Caitano</t>
  </si>
  <si>
    <t>São João</t>
  </si>
  <si>
    <t>São Joaquim do Monte</t>
  </si>
  <si>
    <t>São José da Coroa Grande</t>
  </si>
  <si>
    <t>São José do Belmonte</t>
  </si>
  <si>
    <t>São José do Egito</t>
  </si>
  <si>
    <t>São Lourenço da Mata</t>
  </si>
  <si>
    <t>Serra Talhada</t>
  </si>
  <si>
    <t>Serrita</t>
  </si>
  <si>
    <t>Sertânia</t>
  </si>
  <si>
    <t>Sirinhaém</t>
  </si>
  <si>
    <t>Moreilândia</t>
  </si>
  <si>
    <t>Solidão</t>
  </si>
  <si>
    <t>Surubim</t>
  </si>
  <si>
    <t>Tabira</t>
  </si>
  <si>
    <t>Tacaimbó</t>
  </si>
  <si>
    <t>Tacaratu</t>
  </si>
  <si>
    <t>Tamandaré</t>
  </si>
  <si>
    <t>Taquaritinga do Norte</t>
  </si>
  <si>
    <t>Terezinha</t>
  </si>
  <si>
    <t>Terra Nova</t>
  </si>
  <si>
    <t>Timbaúba</t>
  </si>
  <si>
    <t>Toritama</t>
  </si>
  <si>
    <t>Tracunhaém</t>
  </si>
  <si>
    <t>Trindade</t>
  </si>
  <si>
    <t>Tupanatinga</t>
  </si>
  <si>
    <t>Tuparetama</t>
  </si>
  <si>
    <t>Venturosa</t>
  </si>
  <si>
    <t>Verdejante</t>
  </si>
  <si>
    <t>Vertente do Lério</t>
  </si>
  <si>
    <t>Vertentes</t>
  </si>
  <si>
    <t>Vicência</t>
  </si>
  <si>
    <t>Vitória de Santo Antão</t>
  </si>
  <si>
    <t>Xexéu</t>
  </si>
  <si>
    <t>Anadia</t>
  </si>
  <si>
    <t>Arapiraca</t>
  </si>
  <si>
    <t>Atalaia</t>
  </si>
  <si>
    <t>Barra de Santo Antônio</t>
  </si>
  <si>
    <t>Belo Monte</t>
  </si>
  <si>
    <t>Boca da Mata</t>
  </si>
  <si>
    <t>Branquinha</t>
  </si>
  <si>
    <t>Cacimbinhas</t>
  </si>
  <si>
    <t>Cajueiro</t>
  </si>
  <si>
    <t>Campestre</t>
  </si>
  <si>
    <t>Campo Alegre</t>
  </si>
  <si>
    <t>Campo Grande</t>
  </si>
  <si>
    <t>Canapi</t>
  </si>
  <si>
    <t>Capela</t>
  </si>
  <si>
    <t>Carneiros</t>
  </si>
  <si>
    <t>Chã Preta</t>
  </si>
  <si>
    <t>Coité do Nóia</t>
  </si>
  <si>
    <t>Colônia Leopoldina</t>
  </si>
  <si>
    <t>Coqueiro Seco</t>
  </si>
  <si>
    <t>Coruripe</t>
  </si>
  <si>
    <t>Craíbas</t>
  </si>
  <si>
    <t>delmiro Gouveia</t>
  </si>
  <si>
    <t>dois Riachos</t>
  </si>
  <si>
    <t>Estrela de Alagoas</t>
  </si>
  <si>
    <t>Feira Grande</t>
  </si>
  <si>
    <t>Feliz deserto</t>
  </si>
  <si>
    <t>Flexeiras</t>
  </si>
  <si>
    <t>Girau do Ponciano</t>
  </si>
  <si>
    <t>Ibateguara</t>
  </si>
  <si>
    <t>Igaci</t>
  </si>
  <si>
    <t>Igreja Nova</t>
  </si>
  <si>
    <t>Inhapi</t>
  </si>
  <si>
    <t>Jacaré dos Homens</t>
  </si>
  <si>
    <t>Jacuípe</t>
  </si>
  <si>
    <t>Japaratinga</t>
  </si>
  <si>
    <t>Jaramataia</t>
  </si>
  <si>
    <t>Jequiá da Praia</t>
  </si>
  <si>
    <t>Joaquim Gomes</t>
  </si>
  <si>
    <t>Junqueiro</t>
  </si>
  <si>
    <t>Lagoa da Canoa</t>
  </si>
  <si>
    <t>Limoeiro de Anadia</t>
  </si>
  <si>
    <t>Maceió</t>
  </si>
  <si>
    <t>Major Isidoro</t>
  </si>
  <si>
    <t>Maragogi</t>
  </si>
  <si>
    <t>Maravilha</t>
  </si>
  <si>
    <t>Marechal deodoro</t>
  </si>
  <si>
    <t>Maribondo</t>
  </si>
  <si>
    <t>Mar Vermelho</t>
  </si>
  <si>
    <t>Mata Grande</t>
  </si>
  <si>
    <t>Matriz de Camaragibe</t>
  </si>
  <si>
    <t>Messias</t>
  </si>
  <si>
    <t>Minador do Negrão</t>
  </si>
  <si>
    <t>Monteirópolis</t>
  </si>
  <si>
    <t>Murici</t>
  </si>
  <si>
    <t>Novo Lino</t>
  </si>
  <si>
    <t>Olho D'água das Flores</t>
  </si>
  <si>
    <t>Olho D'água do Casado</t>
  </si>
  <si>
    <t>Olho D'água Grande</t>
  </si>
  <si>
    <t>Olivença</t>
  </si>
  <si>
    <t>Palestina</t>
  </si>
  <si>
    <t>Palmeira dos Índios</t>
  </si>
  <si>
    <t>Pão de Açúcar</t>
  </si>
  <si>
    <t>Pariconha</t>
  </si>
  <si>
    <t>Paripueira</t>
  </si>
  <si>
    <t>Passo de Camaragibe</t>
  </si>
  <si>
    <t>Paulo Jacinto</t>
  </si>
  <si>
    <t>Penedo</t>
  </si>
  <si>
    <t>Piaçabuçu</t>
  </si>
  <si>
    <t>Pindoba</t>
  </si>
  <si>
    <t>Piranhas</t>
  </si>
  <si>
    <t>Poço das Trincheiras</t>
  </si>
  <si>
    <t>Porto Calvo</t>
  </si>
  <si>
    <t>Porto de Pedras</t>
  </si>
  <si>
    <t>Porto Real do Colégio</t>
  </si>
  <si>
    <t>Quebrangulo</t>
  </si>
  <si>
    <t>Rio Largo</t>
  </si>
  <si>
    <t>Roteiro</t>
  </si>
  <si>
    <t>Santa Luzia do Norte</t>
  </si>
  <si>
    <t>Santana do Ipanema</t>
  </si>
  <si>
    <t>Santana do Mundaú</t>
  </si>
  <si>
    <t>São Brás</t>
  </si>
  <si>
    <t>São José da Laje</t>
  </si>
  <si>
    <t>São José da Tapera</t>
  </si>
  <si>
    <t>São Luís do Quitunde</t>
  </si>
  <si>
    <t>São Miguel dos Campos</t>
  </si>
  <si>
    <t>São Miguel dos Milagres</t>
  </si>
  <si>
    <t>São Sebastião</t>
  </si>
  <si>
    <t>Satuba</t>
  </si>
  <si>
    <t>Senador Rui Palmeira</t>
  </si>
  <si>
    <t>Tanque D'arca</t>
  </si>
  <si>
    <t>Taquarana</t>
  </si>
  <si>
    <t>Teotônio Vilela</t>
  </si>
  <si>
    <t>Traipu</t>
  </si>
  <si>
    <t>União dos Palmares</t>
  </si>
  <si>
    <t>Amparo de São Francisco</t>
  </si>
  <si>
    <t>Aquidabã</t>
  </si>
  <si>
    <t>Aracaju</t>
  </si>
  <si>
    <t>Arauá</t>
  </si>
  <si>
    <t>Barra dos Coqueiros</t>
  </si>
  <si>
    <t>Boquim</t>
  </si>
  <si>
    <t>Brejo Grande</t>
  </si>
  <si>
    <t>Campo do Brito</t>
  </si>
  <si>
    <t>Canhoba</t>
  </si>
  <si>
    <t>Canindé de São Francisco</t>
  </si>
  <si>
    <t>Carira</t>
  </si>
  <si>
    <t>Carmópolis</t>
  </si>
  <si>
    <t>Cedro de São João</t>
  </si>
  <si>
    <t>Cristinápolis</t>
  </si>
  <si>
    <t>Cumbe</t>
  </si>
  <si>
    <t>Divina Pastora</t>
  </si>
  <si>
    <t>Estância</t>
  </si>
  <si>
    <t>Frei Paulo</t>
  </si>
  <si>
    <t>Gararu</t>
  </si>
  <si>
    <t>General Maynard</t>
  </si>
  <si>
    <t>Gracho Cardoso</t>
  </si>
  <si>
    <t>Ilha das Flores</t>
  </si>
  <si>
    <t>Indiaroba</t>
  </si>
  <si>
    <t>Itabaianinha</t>
  </si>
  <si>
    <t>Itabi</t>
  </si>
  <si>
    <t>Itaporanga D'ajuda</t>
  </si>
  <si>
    <t>Japaratuba</t>
  </si>
  <si>
    <t>Japoatã</t>
  </si>
  <si>
    <t>Lagarto</t>
  </si>
  <si>
    <t>Laranjeiras</t>
  </si>
  <si>
    <t>Macambira</t>
  </si>
  <si>
    <t>Malhada dos Bois</t>
  </si>
  <si>
    <t>Malhador</t>
  </si>
  <si>
    <t>Maruim</t>
  </si>
  <si>
    <t>Moita Bonita</t>
  </si>
  <si>
    <t>Monte Alegre de Sergipe</t>
  </si>
  <si>
    <t>Muribeca</t>
  </si>
  <si>
    <t>Neópolis</t>
  </si>
  <si>
    <t>Nossa Senhora Aparecida</t>
  </si>
  <si>
    <t>Nossa Senhora da Glória</t>
  </si>
  <si>
    <t>Nossa Senhora das dores</t>
  </si>
  <si>
    <t>Nossa Senhora de Lourdes</t>
  </si>
  <si>
    <t>Nossa Senhora do Socorro</t>
  </si>
  <si>
    <t>Pedra Mole</t>
  </si>
  <si>
    <t>Pedrinhas</t>
  </si>
  <si>
    <t>Pinhão</t>
  </si>
  <si>
    <t>Pirambu</t>
  </si>
  <si>
    <t>Poço Redondo</t>
  </si>
  <si>
    <t>Poço Verde</t>
  </si>
  <si>
    <t>Porto da Folha</t>
  </si>
  <si>
    <t>Propriá</t>
  </si>
  <si>
    <t>Riachão do dantas</t>
  </si>
  <si>
    <t>Ribeirópolis</t>
  </si>
  <si>
    <t>Rosário do Catete</t>
  </si>
  <si>
    <t>Salgado</t>
  </si>
  <si>
    <t>Santa Luzia do Itanhy</t>
  </si>
  <si>
    <t>Santana do São Francisco</t>
  </si>
  <si>
    <t>Santa Rosa de Lima</t>
  </si>
  <si>
    <t>Santo Amaro das Brotas</t>
  </si>
  <si>
    <t>São Cristóvão</t>
  </si>
  <si>
    <t>São Miguel do Aleixo</t>
  </si>
  <si>
    <t>Simão Dias</t>
  </si>
  <si>
    <t>Siriri</t>
  </si>
  <si>
    <t>Telha</t>
  </si>
  <si>
    <t>Tobias Barreto</t>
  </si>
  <si>
    <t>Tomar do Geru</t>
  </si>
  <si>
    <t>Umbaúba</t>
  </si>
  <si>
    <t>Abaíra</t>
  </si>
  <si>
    <t>Abaré</t>
  </si>
  <si>
    <t>Acajutiba</t>
  </si>
  <si>
    <t>Adustina</t>
  </si>
  <si>
    <t>Água Fria</t>
  </si>
  <si>
    <t>Érico Cardoso</t>
  </si>
  <si>
    <t>Aiquara</t>
  </si>
  <si>
    <t>Alagoinhas</t>
  </si>
  <si>
    <t>Alcobaça</t>
  </si>
  <si>
    <t>Almadina</t>
  </si>
  <si>
    <t>Amargosa</t>
  </si>
  <si>
    <t>Amélia Rodrigues</t>
  </si>
  <si>
    <t>América dourada</t>
  </si>
  <si>
    <t>Anagé</t>
  </si>
  <si>
    <t>Andaraí</t>
  </si>
  <si>
    <t>Andorinha</t>
  </si>
  <si>
    <t>Angical</t>
  </si>
  <si>
    <t>Anguera</t>
  </si>
  <si>
    <t>Antas</t>
  </si>
  <si>
    <t>Antônio Cardoso</t>
  </si>
  <si>
    <t>Antônio Gonçalves</t>
  </si>
  <si>
    <t>Aporá</t>
  </si>
  <si>
    <t>Apuarema</t>
  </si>
  <si>
    <t>Aracatu</t>
  </si>
  <si>
    <t>Araças</t>
  </si>
  <si>
    <t>Araci</t>
  </si>
  <si>
    <t>Aramari</t>
  </si>
  <si>
    <t>Arataca</t>
  </si>
  <si>
    <t>Aratuípe</t>
  </si>
  <si>
    <t>Aurelino Leal</t>
  </si>
  <si>
    <t>Baianópolis</t>
  </si>
  <si>
    <t>Baixa Grande</t>
  </si>
  <si>
    <t>Banzaê</t>
  </si>
  <si>
    <t>Barra</t>
  </si>
  <si>
    <t>Barra da Estiva</t>
  </si>
  <si>
    <t>Barra do Choça</t>
  </si>
  <si>
    <t>Barra do Mendes</t>
  </si>
  <si>
    <t>Barra do Rocha</t>
  </si>
  <si>
    <t>Barreiras</t>
  </si>
  <si>
    <t>Barro Alto</t>
  </si>
  <si>
    <t>Barrocas</t>
  </si>
  <si>
    <t>Barro Preto</t>
  </si>
  <si>
    <t>Belmonte</t>
  </si>
  <si>
    <t>Belo Campo</t>
  </si>
  <si>
    <t>Biritinga</t>
  </si>
  <si>
    <t>Boa Nova</t>
  </si>
  <si>
    <t>Boa Vista do Tupim</t>
  </si>
  <si>
    <t>Bom Jesus da Lapa</t>
  </si>
  <si>
    <t>Bom Jesus da Serra</t>
  </si>
  <si>
    <t>Boninal</t>
  </si>
  <si>
    <t>Boquira</t>
  </si>
  <si>
    <t>Botuporã</t>
  </si>
  <si>
    <t>Brejões</t>
  </si>
  <si>
    <t>Brejolândia</t>
  </si>
  <si>
    <t>Brotas de Macaúbas</t>
  </si>
  <si>
    <t>Brumado</t>
  </si>
  <si>
    <t>Buerarema</t>
  </si>
  <si>
    <t>Buritirama</t>
  </si>
  <si>
    <t>Caatiba</t>
  </si>
  <si>
    <t>Cabaceiras do Paraguaçu</t>
  </si>
  <si>
    <t>Cachoeira</t>
  </si>
  <si>
    <t>Caculé</t>
  </si>
  <si>
    <t>Caém</t>
  </si>
  <si>
    <t>Caetanos</t>
  </si>
  <si>
    <t>Caetité</t>
  </si>
  <si>
    <t>Cafarnaum</t>
  </si>
  <si>
    <t>Cairu</t>
  </si>
  <si>
    <t>Caldeirão Grande</t>
  </si>
  <si>
    <t>Camacan</t>
  </si>
  <si>
    <t>Camaçari</t>
  </si>
  <si>
    <t>Camamu</t>
  </si>
  <si>
    <t>Campo Alegre de Lourdes</t>
  </si>
  <si>
    <t>Campo Formoso</t>
  </si>
  <si>
    <t>Canápolis</t>
  </si>
  <si>
    <t>Canarana</t>
  </si>
  <si>
    <t>Canavieiras</t>
  </si>
  <si>
    <t>Candeal</t>
  </si>
  <si>
    <t>Candeias</t>
  </si>
  <si>
    <t>Candiba</t>
  </si>
  <si>
    <t>Cândido Sales</t>
  </si>
  <si>
    <t>Cansanção</t>
  </si>
  <si>
    <t>Canudos</t>
  </si>
  <si>
    <t>Capela do Alto Alegre</t>
  </si>
  <si>
    <t>Capim Grosso</t>
  </si>
  <si>
    <t>Caraíbas</t>
  </si>
  <si>
    <t>Caravelas</t>
  </si>
  <si>
    <t>Cardeal da Silva</t>
  </si>
  <si>
    <t>Carinhanha</t>
  </si>
  <si>
    <t>Casa Nova</t>
  </si>
  <si>
    <t>Castro Alves</t>
  </si>
  <si>
    <t>Catolândia</t>
  </si>
  <si>
    <t>Catu</t>
  </si>
  <si>
    <t>Caturama</t>
  </si>
  <si>
    <t>Central</t>
  </si>
  <si>
    <t>Chorrochó</t>
  </si>
  <si>
    <t>Cícero dantas</t>
  </si>
  <si>
    <t>Cipó</t>
  </si>
  <si>
    <t>Coaraci</t>
  </si>
  <si>
    <t>Cocos</t>
  </si>
  <si>
    <t>Conceição da Feira</t>
  </si>
  <si>
    <t>Conceição do Almeida</t>
  </si>
  <si>
    <t>Conceição do Coité</t>
  </si>
  <si>
    <t>Conceição do Jacuípe</t>
  </si>
  <si>
    <t>Condeúba</t>
  </si>
  <si>
    <t>Contendas do Sincorá</t>
  </si>
  <si>
    <t>Coração de Maria</t>
  </si>
  <si>
    <t>Cordeiros</t>
  </si>
  <si>
    <t>Coribe</t>
  </si>
  <si>
    <t>Coronel João Sá</t>
  </si>
  <si>
    <t>Correntina</t>
  </si>
  <si>
    <t>Cotegipe</t>
  </si>
  <si>
    <t>Cravolândia</t>
  </si>
  <si>
    <t>Crisópolis</t>
  </si>
  <si>
    <t>Cristópolis</t>
  </si>
  <si>
    <t>Cruz das Almas</t>
  </si>
  <si>
    <t>Curaçá</t>
  </si>
  <si>
    <t>Dário Meira</t>
  </si>
  <si>
    <t>Dias D'ávila</t>
  </si>
  <si>
    <t>dom Basílio</t>
  </si>
  <si>
    <t>dom Macedo Costa</t>
  </si>
  <si>
    <t>Elísio Medrado</t>
  </si>
  <si>
    <t>Encruzilhada</t>
  </si>
  <si>
    <t>Entre Rios</t>
  </si>
  <si>
    <t>Esplanada</t>
  </si>
  <si>
    <t>Euclides da Cunha</t>
  </si>
  <si>
    <t>Eunápolis</t>
  </si>
  <si>
    <t>Feira da Mata</t>
  </si>
  <si>
    <t>Feira de Santana</t>
  </si>
  <si>
    <t>Firmino Alves</t>
  </si>
  <si>
    <t>Floresta Azul</t>
  </si>
  <si>
    <t>Formosa do Rio Preto</t>
  </si>
  <si>
    <t>Gandu</t>
  </si>
  <si>
    <t>Gavião</t>
  </si>
  <si>
    <t>Gentio do Ouro</t>
  </si>
  <si>
    <t>Glória</t>
  </si>
  <si>
    <t>Gongogi</t>
  </si>
  <si>
    <t>Governador Mangabeira</t>
  </si>
  <si>
    <t>Guajeru</t>
  </si>
  <si>
    <t>Guanambi</t>
  </si>
  <si>
    <t>Guaratinga</t>
  </si>
  <si>
    <t>Heliópolis</t>
  </si>
  <si>
    <t>Iaçu</t>
  </si>
  <si>
    <t>Ibiassucê</t>
  </si>
  <si>
    <t>Ibicaraí</t>
  </si>
  <si>
    <t>Ibicoara</t>
  </si>
  <si>
    <t>Ibicuí</t>
  </si>
  <si>
    <t>Ibipeba</t>
  </si>
  <si>
    <t>Ibipitanga</t>
  </si>
  <si>
    <t>Ibiquera</t>
  </si>
  <si>
    <t>Ibirapitanga</t>
  </si>
  <si>
    <t>Ibirapuã</t>
  </si>
  <si>
    <t>Ibirataia</t>
  </si>
  <si>
    <t>Ibitiara</t>
  </si>
  <si>
    <t>Ibititá</t>
  </si>
  <si>
    <t>Ibotirama</t>
  </si>
  <si>
    <t>Ichu</t>
  </si>
  <si>
    <t>Igaporã</t>
  </si>
  <si>
    <t>Igrapiúna</t>
  </si>
  <si>
    <t>Iguaí</t>
  </si>
  <si>
    <t>Ilhéus</t>
  </si>
  <si>
    <t>Inhambupe</t>
  </si>
  <si>
    <t>Ipecaetá</t>
  </si>
  <si>
    <t>Ipiaú</t>
  </si>
  <si>
    <t>Ipirá</t>
  </si>
  <si>
    <t>Ipupiara</t>
  </si>
  <si>
    <t>Irajuba</t>
  </si>
  <si>
    <t>Iramaia</t>
  </si>
  <si>
    <t>Iraquara</t>
  </si>
  <si>
    <t>Irará</t>
  </si>
  <si>
    <t>Irecê</t>
  </si>
  <si>
    <t>Itabela</t>
  </si>
  <si>
    <t>Itaberaba</t>
  </si>
  <si>
    <t>Itabuna</t>
  </si>
  <si>
    <t>Itacaré</t>
  </si>
  <si>
    <t>Itaeté</t>
  </si>
  <si>
    <t>Itagi</t>
  </si>
  <si>
    <t>Itagibá</t>
  </si>
  <si>
    <t>Itagimirim</t>
  </si>
  <si>
    <t>Itaguaçu da Bahia</t>
  </si>
  <si>
    <t>Itaju do Colônia</t>
  </si>
  <si>
    <t>Itajuípe</t>
  </si>
  <si>
    <t>Itamaraju</t>
  </si>
  <si>
    <t>Itamari</t>
  </si>
  <si>
    <t>Itanagra</t>
  </si>
  <si>
    <t>Itanhém</t>
  </si>
  <si>
    <t>Itaparica</t>
  </si>
  <si>
    <t>Itapé</t>
  </si>
  <si>
    <t>Itapebi</t>
  </si>
  <si>
    <t>Itapetinga</t>
  </si>
  <si>
    <t>Itapicuru</t>
  </si>
  <si>
    <t>Itapitanga</t>
  </si>
  <si>
    <t>Itaquara</t>
  </si>
  <si>
    <t>Itarantim</t>
  </si>
  <si>
    <t>Itatim</t>
  </si>
  <si>
    <t>Itiruçu</t>
  </si>
  <si>
    <t>Itiúba</t>
  </si>
  <si>
    <t>Itororó</t>
  </si>
  <si>
    <t>Ituaçu</t>
  </si>
  <si>
    <t>Ituberá</t>
  </si>
  <si>
    <t>Iuiú</t>
  </si>
  <si>
    <t>Jaborandi</t>
  </si>
  <si>
    <t>Jacaraci</t>
  </si>
  <si>
    <t>Jacobina</t>
  </si>
  <si>
    <t>Jaguaquara</t>
  </si>
  <si>
    <t>Jaguarari</t>
  </si>
  <si>
    <t>Jaguaripe</t>
  </si>
  <si>
    <t>Jequié</t>
  </si>
  <si>
    <t>Jeremoabo</t>
  </si>
  <si>
    <t>Jiquiriçá</t>
  </si>
  <si>
    <t>Jitaúna</t>
  </si>
  <si>
    <t>João dourado</t>
  </si>
  <si>
    <t>Juazeiro</t>
  </si>
  <si>
    <t>Jucuruçu</t>
  </si>
  <si>
    <t>Jussara</t>
  </si>
  <si>
    <t>Jussari</t>
  </si>
  <si>
    <t>Jussiape</t>
  </si>
  <si>
    <t>Lafaiete Coutinho</t>
  </si>
  <si>
    <t>Lagoa Real</t>
  </si>
  <si>
    <t>Laje</t>
  </si>
  <si>
    <t>Lajedão</t>
  </si>
  <si>
    <t>Lajedinho</t>
  </si>
  <si>
    <t>Lajedo do Tabocal</t>
  </si>
  <si>
    <t>Lamarão</t>
  </si>
  <si>
    <t>Lapão</t>
  </si>
  <si>
    <t>Lauro de Freitas</t>
  </si>
  <si>
    <t>Lençóis</t>
  </si>
  <si>
    <t>Licínio de Almeida</t>
  </si>
  <si>
    <t>Livramento de Nossa Senhora</t>
  </si>
  <si>
    <t>Luís Eduardo Magalhães</t>
  </si>
  <si>
    <t>Macajuba</t>
  </si>
  <si>
    <t>Macarani</t>
  </si>
  <si>
    <t>Macaúbas</t>
  </si>
  <si>
    <t>Macururé</t>
  </si>
  <si>
    <t>Madre de deus</t>
  </si>
  <si>
    <t>Maetinga</t>
  </si>
  <si>
    <t>Maiquinique</t>
  </si>
  <si>
    <t>Mairi</t>
  </si>
  <si>
    <t>Malhada</t>
  </si>
  <si>
    <t>Malhada de Pedras</t>
  </si>
  <si>
    <t>Manoel Vitorino</t>
  </si>
  <si>
    <t>Mansidão</t>
  </si>
  <si>
    <t>Maracás</t>
  </si>
  <si>
    <t>Maragogipe</t>
  </si>
  <si>
    <t>Maraú</t>
  </si>
  <si>
    <t>Marcionílio Souza</t>
  </si>
  <si>
    <t>Mascote</t>
  </si>
  <si>
    <t>Mata de São João</t>
  </si>
  <si>
    <t>Matina</t>
  </si>
  <si>
    <t>Medeiros Neto</t>
  </si>
  <si>
    <t>Miguel Calmon</t>
  </si>
  <si>
    <t>Mirangaba</t>
  </si>
  <si>
    <t>Mirante</t>
  </si>
  <si>
    <t>Monte Santo</t>
  </si>
  <si>
    <t>Morpará</t>
  </si>
  <si>
    <t>Morro do Chapéu</t>
  </si>
  <si>
    <t>Mortugaba</t>
  </si>
  <si>
    <t>Mucugê</t>
  </si>
  <si>
    <t>Mucuri</t>
  </si>
  <si>
    <t>Mulungu do Morro</t>
  </si>
  <si>
    <t>Mundo Novo</t>
  </si>
  <si>
    <t>Muniz Ferreira</t>
  </si>
  <si>
    <t>Muquém de São Francisco</t>
  </si>
  <si>
    <t>Muritiba</t>
  </si>
  <si>
    <t>Mutuípe</t>
  </si>
  <si>
    <t>Nilo Peçanha</t>
  </si>
  <si>
    <t>Nordestina</t>
  </si>
  <si>
    <t>Nova Canaã</t>
  </si>
  <si>
    <t>Nova Fátima</t>
  </si>
  <si>
    <t>Nova Ibiá</t>
  </si>
  <si>
    <t>Nova Itarana</t>
  </si>
  <si>
    <t>Nova Redenção</t>
  </si>
  <si>
    <t>Nova Soure</t>
  </si>
  <si>
    <t>Nova Viçosa</t>
  </si>
  <si>
    <t>Novo Horizonte</t>
  </si>
  <si>
    <t>Novo Triunfo</t>
  </si>
  <si>
    <t>Olindina</t>
  </si>
  <si>
    <t>Oliveira dos Brejinhos</t>
  </si>
  <si>
    <t>Ouriçangas</t>
  </si>
  <si>
    <t>Ourolândia</t>
  </si>
  <si>
    <t>Palmas de Monte Alto</t>
  </si>
  <si>
    <t>Palmeiras</t>
  </si>
  <si>
    <t>Paramirim</t>
  </si>
  <si>
    <t>Paratinga</t>
  </si>
  <si>
    <t>Paripiranga</t>
  </si>
  <si>
    <t>Pau Brasil</t>
  </si>
  <si>
    <t>Paulo Afonso</t>
  </si>
  <si>
    <t>Pé de Serra</t>
  </si>
  <si>
    <t>Pedrão</t>
  </si>
  <si>
    <t>Pedro Alexandre</t>
  </si>
  <si>
    <t>Piatã</t>
  </si>
  <si>
    <t>Pilão Arcado</t>
  </si>
  <si>
    <t>Pindaí</t>
  </si>
  <si>
    <t>Pindobaçu</t>
  </si>
  <si>
    <t>Pintadas</t>
  </si>
  <si>
    <t>Piraí do Norte</t>
  </si>
  <si>
    <t>Piripá</t>
  </si>
  <si>
    <t>Piritiba</t>
  </si>
  <si>
    <t>Planaltino</t>
  </si>
  <si>
    <t>Planalto</t>
  </si>
  <si>
    <t>Poções</t>
  </si>
  <si>
    <t>Pojuca</t>
  </si>
  <si>
    <t>Ponto Novo</t>
  </si>
  <si>
    <t>Porto Seguro</t>
  </si>
  <si>
    <t>Potiraguá</t>
  </si>
  <si>
    <t>Prado</t>
  </si>
  <si>
    <t>Presidente Jânio Quadros</t>
  </si>
  <si>
    <t>Presidente Tancredo Neves</t>
  </si>
  <si>
    <t>Quijingue</t>
  </si>
  <si>
    <t>Quixabeira</t>
  </si>
  <si>
    <t>Rafael Jambeiro</t>
  </si>
  <si>
    <t>Remanso</t>
  </si>
  <si>
    <t>Retirolândia</t>
  </si>
  <si>
    <t>Riachão das Neves</t>
  </si>
  <si>
    <t>Riachão do Jacuípe</t>
  </si>
  <si>
    <t>Ribeira do Amparo</t>
  </si>
  <si>
    <t>Ribeira do Pombal</t>
  </si>
  <si>
    <t>Ribeirão do Largo</t>
  </si>
  <si>
    <t>Rio de Contas</t>
  </si>
  <si>
    <t>Rio do Antônio</t>
  </si>
  <si>
    <t>Rio do Pires</t>
  </si>
  <si>
    <t>Rio Real</t>
  </si>
  <si>
    <t>Rodelas</t>
  </si>
  <si>
    <t>Salinas da Margarida</t>
  </si>
  <si>
    <t>Salvador</t>
  </si>
  <si>
    <t>Santa Bárbara</t>
  </si>
  <si>
    <t>Santa Brígida</t>
  </si>
  <si>
    <t>Santa Cruz Cabrália</t>
  </si>
  <si>
    <t>Santa Cruz da Vitória</t>
  </si>
  <si>
    <t>Santaluz</t>
  </si>
  <si>
    <t>Santa Maria da Vitória</t>
  </si>
  <si>
    <t>Santanópolis</t>
  </si>
  <si>
    <t>Santa Rita de Cássia</t>
  </si>
  <si>
    <t>Santo Amaro</t>
  </si>
  <si>
    <t>Santo Antônio de Jesus</t>
  </si>
  <si>
    <t>Santo Estêvão</t>
  </si>
  <si>
    <t>São desidério</t>
  </si>
  <si>
    <t>São Félix</t>
  </si>
  <si>
    <t>São Félix do Coribe</t>
  </si>
  <si>
    <t>São Felipe</t>
  </si>
  <si>
    <t>São Francisco do Conde</t>
  </si>
  <si>
    <t>São Gabriel</t>
  </si>
  <si>
    <t>São Gonçalo dos Campos</t>
  </si>
  <si>
    <t>São José da Vitória</t>
  </si>
  <si>
    <t>São José do Jacuípe</t>
  </si>
  <si>
    <t>São Miguel das Matas</t>
  </si>
  <si>
    <t>São Sebastião do Passé</t>
  </si>
  <si>
    <t>Sapeaçu</t>
  </si>
  <si>
    <t>Sátiro Dias</t>
  </si>
  <si>
    <t>Saubara</t>
  </si>
  <si>
    <t>Saúde</t>
  </si>
  <si>
    <t>Seabra</t>
  </si>
  <si>
    <t>Sebastião Laranjeiras</t>
  </si>
  <si>
    <t>Senhor do Bonfim</t>
  </si>
  <si>
    <t>Serra do Ramalho</t>
  </si>
  <si>
    <t>Sento Sé</t>
  </si>
  <si>
    <t>Serra dourada</t>
  </si>
  <si>
    <t>Serra Preta</t>
  </si>
  <si>
    <t>Serrolândia</t>
  </si>
  <si>
    <t>Simões Filho</t>
  </si>
  <si>
    <t>Sítio do Mato</t>
  </si>
  <si>
    <t>Sítio do Quinto</t>
  </si>
  <si>
    <t>Sobradinho</t>
  </si>
  <si>
    <t>Souto Soares</t>
  </si>
  <si>
    <t>Tabocas do Brejo Velho</t>
  </si>
  <si>
    <t>Tanhaçu</t>
  </si>
  <si>
    <t>Tanque Novo</t>
  </si>
  <si>
    <t>Tanquinho</t>
  </si>
  <si>
    <t>Tapiramutá</t>
  </si>
  <si>
    <t>Teixeira de Freitas</t>
  </si>
  <si>
    <t>Teodoro Sampaio</t>
  </si>
  <si>
    <t>Teofilândia</t>
  </si>
  <si>
    <t>Teolândia</t>
  </si>
  <si>
    <t>Tremedal</t>
  </si>
  <si>
    <t>Tucano</t>
  </si>
  <si>
    <t>Uauá</t>
  </si>
  <si>
    <t>Ubaíra</t>
  </si>
  <si>
    <t>Ubaitaba</t>
  </si>
  <si>
    <t>Ubatã</t>
  </si>
  <si>
    <t>Uibaí</t>
  </si>
  <si>
    <t>Umburanas</t>
  </si>
  <si>
    <t>Una</t>
  </si>
  <si>
    <t>Urandi</t>
  </si>
  <si>
    <t>Uruçuca</t>
  </si>
  <si>
    <t>Utinga</t>
  </si>
  <si>
    <t>Valença</t>
  </si>
  <si>
    <t>Valente</t>
  </si>
  <si>
    <t>Várzea da Roça</t>
  </si>
  <si>
    <t>Várzea do Poço</t>
  </si>
  <si>
    <t>Várzea Nova</t>
  </si>
  <si>
    <t>Varzedo</t>
  </si>
  <si>
    <t>Vereda</t>
  </si>
  <si>
    <t>Vitória da Conquista</t>
  </si>
  <si>
    <t>Wagner</t>
  </si>
  <si>
    <t>Wanderley</t>
  </si>
  <si>
    <t>Wenceslau Guimarães</t>
  </si>
  <si>
    <t>Xique-Xique</t>
  </si>
  <si>
    <t>Abadia dos dourados</t>
  </si>
  <si>
    <t>Abaeté</t>
  </si>
  <si>
    <t>Abre Campo</t>
  </si>
  <si>
    <t>Acaiaca</t>
  </si>
  <si>
    <t>Açucena</t>
  </si>
  <si>
    <t>Água Boa</t>
  </si>
  <si>
    <t>Água Comprida</t>
  </si>
  <si>
    <t>Aguanil</t>
  </si>
  <si>
    <t>Águas Formosas</t>
  </si>
  <si>
    <t>Águas Vermelhas</t>
  </si>
  <si>
    <t>Aimorés</t>
  </si>
  <si>
    <t>Aiuruoca</t>
  </si>
  <si>
    <t>Alagoa</t>
  </si>
  <si>
    <t>Albertina</t>
  </si>
  <si>
    <t>Além Paraíba</t>
  </si>
  <si>
    <t>Alfenas</t>
  </si>
  <si>
    <t>Alfredo Vasconcelos</t>
  </si>
  <si>
    <t>Almenara</t>
  </si>
  <si>
    <t>Alpercata</t>
  </si>
  <si>
    <t>Alpinópolis</t>
  </si>
  <si>
    <t>Alterosa</t>
  </si>
  <si>
    <t>Alto Caparaó</t>
  </si>
  <si>
    <t>Alto Rio doce</t>
  </si>
  <si>
    <t>Alvarenga</t>
  </si>
  <si>
    <t>Alvinópolis</t>
  </si>
  <si>
    <t>Alvorada de Minas</t>
  </si>
  <si>
    <t>Amparo do Serra</t>
  </si>
  <si>
    <t>Andradas</t>
  </si>
  <si>
    <t>Cachoeira de Pajeú</t>
  </si>
  <si>
    <t>Andrelândia</t>
  </si>
  <si>
    <t>Angelândia</t>
  </si>
  <si>
    <t>Antônio Carlos</t>
  </si>
  <si>
    <t>Antônio Dias</t>
  </si>
  <si>
    <t>Antônio Prado de Minas</t>
  </si>
  <si>
    <t>Araçaí</t>
  </si>
  <si>
    <t>Aracitaba</t>
  </si>
  <si>
    <t>Araçuaí</t>
  </si>
  <si>
    <t>Araguari</t>
  </si>
  <si>
    <t>Arantina</t>
  </si>
  <si>
    <t>Araponga</t>
  </si>
  <si>
    <t>Araporã</t>
  </si>
  <si>
    <t>Arapuá</t>
  </si>
  <si>
    <t>Araújos</t>
  </si>
  <si>
    <t>Araxá</t>
  </si>
  <si>
    <t>Arceburgo</t>
  </si>
  <si>
    <t>Arcos</t>
  </si>
  <si>
    <t>Areado</t>
  </si>
  <si>
    <t>Argirita</t>
  </si>
  <si>
    <t>Aricanduva</t>
  </si>
  <si>
    <t>Arinos</t>
  </si>
  <si>
    <t>Astolfo Dutra</t>
  </si>
  <si>
    <t>Ataléia</t>
  </si>
  <si>
    <t>Augusto de Lima</t>
  </si>
  <si>
    <t>Baependi</t>
  </si>
  <si>
    <t>Baldim</t>
  </si>
  <si>
    <t>Bambuí</t>
  </si>
  <si>
    <t>Bandeira</t>
  </si>
  <si>
    <t>Bandeira do Sul</t>
  </si>
  <si>
    <t>Barão de Cocais</t>
  </si>
  <si>
    <t>Barão de Monte Alto</t>
  </si>
  <si>
    <t>Barbacena</t>
  </si>
  <si>
    <t>Barra Longa</t>
  </si>
  <si>
    <t>Barroso</t>
  </si>
  <si>
    <t>Bela Vista de Minas</t>
  </si>
  <si>
    <t>Belmiro Braga</t>
  </si>
  <si>
    <t>Belo Horizonte</t>
  </si>
  <si>
    <t>Belo Oriente</t>
  </si>
  <si>
    <t>Belo Vale</t>
  </si>
  <si>
    <t>Berilo</t>
  </si>
  <si>
    <t>Bertópolis</t>
  </si>
  <si>
    <t>Berizal</t>
  </si>
  <si>
    <t>Betim</t>
  </si>
  <si>
    <t>Bias Fortes</t>
  </si>
  <si>
    <t>Bicas</t>
  </si>
  <si>
    <t>Biquinhas</t>
  </si>
  <si>
    <t>Boa Esperança</t>
  </si>
  <si>
    <t>Bocaina de Minas</t>
  </si>
  <si>
    <t>Bocaiúva</t>
  </si>
  <si>
    <t>Bom despacho</t>
  </si>
  <si>
    <t>Bom Jardim de Minas</t>
  </si>
  <si>
    <t>Bom Jesus da Penha</t>
  </si>
  <si>
    <t>Bom Jesus do Amparo</t>
  </si>
  <si>
    <t>Bom Jesus do Galho</t>
  </si>
  <si>
    <t>Bom Repouso</t>
  </si>
  <si>
    <t>Bonfinópolis de Minas</t>
  </si>
  <si>
    <t>Bonito de Minas</t>
  </si>
  <si>
    <t>Borda da Mata</t>
  </si>
  <si>
    <t>Botelhos</t>
  </si>
  <si>
    <t>Botumirim</t>
  </si>
  <si>
    <t>Brasilândia de Minas</t>
  </si>
  <si>
    <t>Brasília de Minas</t>
  </si>
  <si>
    <t>Brás Pires</t>
  </si>
  <si>
    <t>Braúnas</t>
  </si>
  <si>
    <t>Brazópolis</t>
  </si>
  <si>
    <t>Brumadinho</t>
  </si>
  <si>
    <t>Bueno Brandão</t>
  </si>
  <si>
    <t>Buenópolis</t>
  </si>
  <si>
    <t>Bugre</t>
  </si>
  <si>
    <t>Buritizeiro</t>
  </si>
  <si>
    <t>Cabeceira Grande</t>
  </si>
  <si>
    <t>Cabo Verde</t>
  </si>
  <si>
    <t>Cachoeira da Prata</t>
  </si>
  <si>
    <t>Cachoeira de Minas</t>
  </si>
  <si>
    <t>Cachoeira dourada</t>
  </si>
  <si>
    <t>Caetanópolis</t>
  </si>
  <si>
    <t>Caeté</t>
  </si>
  <si>
    <t>Caiana</t>
  </si>
  <si>
    <t>Cajuri</t>
  </si>
  <si>
    <t>Caldas</t>
  </si>
  <si>
    <t>Camacho</t>
  </si>
  <si>
    <t>Camanducaia</t>
  </si>
  <si>
    <t>Cambuí</t>
  </si>
  <si>
    <t>Cambuquira</t>
  </si>
  <si>
    <t>Campanário</t>
  </si>
  <si>
    <t>Campanha</t>
  </si>
  <si>
    <t>Campina Verde</t>
  </si>
  <si>
    <t>Campo Azul</t>
  </si>
  <si>
    <t>Campo Belo</t>
  </si>
  <si>
    <t>Campo do Meio</t>
  </si>
  <si>
    <t>Campo Florido</t>
  </si>
  <si>
    <t>Campos Altos</t>
  </si>
  <si>
    <t>Campos Gerais</t>
  </si>
  <si>
    <t>Canaã</t>
  </si>
  <si>
    <t>Cana Verde</t>
  </si>
  <si>
    <t>Cantagalo</t>
  </si>
  <si>
    <t>Caparaó</t>
  </si>
  <si>
    <t>Capela Nova</t>
  </si>
  <si>
    <t>Capelinha</t>
  </si>
  <si>
    <t>Capetinga</t>
  </si>
  <si>
    <t>Capim Branco</t>
  </si>
  <si>
    <t>Capinópolis</t>
  </si>
  <si>
    <t>Capitão Andrade</t>
  </si>
  <si>
    <t>Capitão Enéas</t>
  </si>
  <si>
    <t>Capitólio</t>
  </si>
  <si>
    <t>Caputira</t>
  </si>
  <si>
    <t>Caraí</t>
  </si>
  <si>
    <t>Caranaíba</t>
  </si>
  <si>
    <t>Carandaí</t>
  </si>
  <si>
    <t>Carangola</t>
  </si>
  <si>
    <t>Caratinga</t>
  </si>
  <si>
    <t>Carbonita</t>
  </si>
  <si>
    <t>Careaçu</t>
  </si>
  <si>
    <t>Carlos Chagas</t>
  </si>
  <si>
    <t>Carmésia</t>
  </si>
  <si>
    <t>Carmo da Cachoeira</t>
  </si>
  <si>
    <t>Carmo da Mata</t>
  </si>
  <si>
    <t>Carmo de Minas</t>
  </si>
  <si>
    <t>Carmo do Cajuru</t>
  </si>
  <si>
    <t>Carmo do Paranaíba</t>
  </si>
  <si>
    <t>Carmo do Rio Claro</t>
  </si>
  <si>
    <t>Carmópolis de Minas</t>
  </si>
  <si>
    <t>Carneirinho</t>
  </si>
  <si>
    <t>Carrancas</t>
  </si>
  <si>
    <t>Carvalhópolis</t>
  </si>
  <si>
    <t>Carvalhos</t>
  </si>
  <si>
    <t>Casa Grande</t>
  </si>
  <si>
    <t>Cascalho Rico</t>
  </si>
  <si>
    <t>Cássia</t>
  </si>
  <si>
    <t>Conceição da Barra de Minas</t>
  </si>
  <si>
    <t>Cataguases</t>
  </si>
  <si>
    <t>Catas Altas</t>
  </si>
  <si>
    <t>Catas Altas da Noruega</t>
  </si>
  <si>
    <t>Catuji</t>
  </si>
  <si>
    <t>Catuti</t>
  </si>
  <si>
    <t>Caxambu</t>
  </si>
  <si>
    <t>Cedro do Abaeté</t>
  </si>
  <si>
    <t>Central de Minas</t>
  </si>
  <si>
    <t>Centralina</t>
  </si>
  <si>
    <t>Chácara</t>
  </si>
  <si>
    <t>Chalé</t>
  </si>
  <si>
    <t>Chapada do Norte</t>
  </si>
  <si>
    <t>Chapada Gaúcha</t>
  </si>
  <si>
    <t>Chiador</t>
  </si>
  <si>
    <t>Cipotânea</t>
  </si>
  <si>
    <t>Claraval</t>
  </si>
  <si>
    <t>Claro dos Poções</t>
  </si>
  <si>
    <t>Cláudio</t>
  </si>
  <si>
    <t>Coimbra</t>
  </si>
  <si>
    <t>Coluna</t>
  </si>
  <si>
    <t>Comendador Gomes</t>
  </si>
  <si>
    <t>Comercinho</t>
  </si>
  <si>
    <t>Conceição da Aparecida</t>
  </si>
  <si>
    <t>Conceição das Pedras</t>
  </si>
  <si>
    <t>Conceição das Alagoas</t>
  </si>
  <si>
    <t>Conceição de Ipanema</t>
  </si>
  <si>
    <t>Conceição do Mato dentro</t>
  </si>
  <si>
    <t>Conceição do Pará</t>
  </si>
  <si>
    <t>Conceição do Rio Verde</t>
  </si>
  <si>
    <t>Conceição dos Ouros</t>
  </si>
  <si>
    <t>Cônego Marinho</t>
  </si>
  <si>
    <t>Confins</t>
  </si>
  <si>
    <t>Congonhal</t>
  </si>
  <si>
    <t>Congonhas</t>
  </si>
  <si>
    <t>Congonhas do Norte</t>
  </si>
  <si>
    <t>Conquista</t>
  </si>
  <si>
    <t>Conselheiro Lafaiete</t>
  </si>
  <si>
    <t>Conselheiro Pena</t>
  </si>
  <si>
    <t>Consolação</t>
  </si>
  <si>
    <t>Contagem</t>
  </si>
  <si>
    <t>Coqueiral</t>
  </si>
  <si>
    <t>Coração de Jesus</t>
  </si>
  <si>
    <t>Cordisburgo</t>
  </si>
  <si>
    <t>Cordislândia</t>
  </si>
  <si>
    <t>Corinto</t>
  </si>
  <si>
    <t>Coroaci</t>
  </si>
  <si>
    <t>Coromandel</t>
  </si>
  <si>
    <t>Coronel Fabriciano</t>
  </si>
  <si>
    <t>Coronel Murta</t>
  </si>
  <si>
    <t>Coronel Pacheco</t>
  </si>
  <si>
    <t>Coronel Xavier Chaves</t>
  </si>
  <si>
    <t>Córrego danta</t>
  </si>
  <si>
    <t>Córrego do Bom Jesus</t>
  </si>
  <si>
    <t>Córrego Fundo</t>
  </si>
  <si>
    <t>Córrego Novo</t>
  </si>
  <si>
    <t>Couto de Magalhães de Minas</t>
  </si>
  <si>
    <t>Crisólita</t>
  </si>
  <si>
    <t>Cristais</t>
  </si>
  <si>
    <t>Cristália</t>
  </si>
  <si>
    <t>Cristiano Otoni</t>
  </si>
  <si>
    <t>Cristina</t>
  </si>
  <si>
    <t>Crucilândia</t>
  </si>
  <si>
    <t>Cruzeiro da Fortaleza</t>
  </si>
  <si>
    <t>Cruzília</t>
  </si>
  <si>
    <t>Cuparaque</t>
  </si>
  <si>
    <t>Curral de dentro</t>
  </si>
  <si>
    <t>Curvelo</t>
  </si>
  <si>
    <t>datas</t>
  </si>
  <si>
    <t>delfim Moreira</t>
  </si>
  <si>
    <t>delfinópolis</t>
  </si>
  <si>
    <t>delta</t>
  </si>
  <si>
    <t>descoberto</t>
  </si>
  <si>
    <t>desterro de Entre Rios</t>
  </si>
  <si>
    <t>desterro do Melo</t>
  </si>
  <si>
    <t>Diamantina</t>
  </si>
  <si>
    <t>Diogo de Vasconcelos</t>
  </si>
  <si>
    <t>Dionísio</t>
  </si>
  <si>
    <t>Divinésia</t>
  </si>
  <si>
    <t>Divino</t>
  </si>
  <si>
    <t>Divino das Laranjeiras</t>
  </si>
  <si>
    <t>Divinolândia de Minas</t>
  </si>
  <si>
    <t>Divinópolis</t>
  </si>
  <si>
    <t>Divisa Alegre</t>
  </si>
  <si>
    <t>Divisa Nova</t>
  </si>
  <si>
    <t>Divisópolis</t>
  </si>
  <si>
    <t>dom Bosco</t>
  </si>
  <si>
    <t>dom Cavati</t>
  </si>
  <si>
    <t>dom Joaquim</t>
  </si>
  <si>
    <t>dom Silvério</t>
  </si>
  <si>
    <t>dom Viçoso</t>
  </si>
  <si>
    <t>dona Eusébia</t>
  </si>
  <si>
    <t>dores de Campos</t>
  </si>
  <si>
    <t>dores de Guanhães</t>
  </si>
  <si>
    <t>dores do Indaiá</t>
  </si>
  <si>
    <t>dores do Turvo</t>
  </si>
  <si>
    <t>doresópolis</t>
  </si>
  <si>
    <t>douradoquara</t>
  </si>
  <si>
    <t>Durandé</t>
  </si>
  <si>
    <t>Elói Mendes</t>
  </si>
  <si>
    <t>Engenheiro Caldas</t>
  </si>
  <si>
    <t>Engenheiro Navarro</t>
  </si>
  <si>
    <t>Entre Folhas</t>
  </si>
  <si>
    <t>Entre Rios de Minas</t>
  </si>
  <si>
    <t>Ervália</t>
  </si>
  <si>
    <t>Esmeraldas</t>
  </si>
  <si>
    <t>Espera Feliz</t>
  </si>
  <si>
    <t>Espinosa</t>
  </si>
  <si>
    <t>Espírito Santo do dourado</t>
  </si>
  <si>
    <t>Estiva</t>
  </si>
  <si>
    <t>Estrela dalva</t>
  </si>
  <si>
    <t>Estrela do Indaiá</t>
  </si>
  <si>
    <t>Estrela do Sul</t>
  </si>
  <si>
    <t>Eugenópolis</t>
  </si>
  <si>
    <t>Ewbank da Câmara</t>
  </si>
  <si>
    <t>Extrema</t>
  </si>
  <si>
    <t>Fama</t>
  </si>
  <si>
    <t>Faria Lemos</t>
  </si>
  <si>
    <t>Felício dos Santos</t>
  </si>
  <si>
    <t>São Gonçalo do Rio Preto</t>
  </si>
  <si>
    <t>Felisburgo</t>
  </si>
  <si>
    <t>Felixlândia</t>
  </si>
  <si>
    <t>Fernandes Tourinho</t>
  </si>
  <si>
    <t>Ferros</t>
  </si>
  <si>
    <t>Fervedouro</t>
  </si>
  <si>
    <t>Florestal</t>
  </si>
  <si>
    <t>Formiga</t>
  </si>
  <si>
    <t>Formoso</t>
  </si>
  <si>
    <t>Fortaleza de Minas</t>
  </si>
  <si>
    <t>Fortuna de Minas</t>
  </si>
  <si>
    <t>Francisco Badaró</t>
  </si>
  <si>
    <t>Francisco Dumont</t>
  </si>
  <si>
    <t>Francisco Sá</t>
  </si>
  <si>
    <t>Franciscópolis</t>
  </si>
  <si>
    <t>Frei Gaspar</t>
  </si>
  <si>
    <t>Frei Inocêncio</t>
  </si>
  <si>
    <t>Frei Lagonegro</t>
  </si>
  <si>
    <t>Fronteira</t>
  </si>
  <si>
    <t>Fronteira dos Vales</t>
  </si>
  <si>
    <t>Fruta de Leite</t>
  </si>
  <si>
    <t>Frutal</t>
  </si>
  <si>
    <t>Funilândia</t>
  </si>
  <si>
    <t>Galiléia</t>
  </si>
  <si>
    <t>Gameleiras</t>
  </si>
  <si>
    <t>Glaucilândia</t>
  </si>
  <si>
    <t>Goiabeira</t>
  </si>
  <si>
    <t>Goianá</t>
  </si>
  <si>
    <t>Gonçalves</t>
  </si>
  <si>
    <t>Gonzaga</t>
  </si>
  <si>
    <t>Gouveia</t>
  </si>
  <si>
    <t>Governador Valadares</t>
  </si>
  <si>
    <t>Grão Mogol</t>
  </si>
  <si>
    <t>Grupiara</t>
  </si>
  <si>
    <t>Guanhães</t>
  </si>
  <si>
    <t>Guapé</t>
  </si>
  <si>
    <t>Guaraciaba</t>
  </si>
  <si>
    <t>Guaraciama</t>
  </si>
  <si>
    <t>Guaranésia</t>
  </si>
  <si>
    <t>Guarani</t>
  </si>
  <si>
    <t>Guarará</t>
  </si>
  <si>
    <t>Guarda-Mor</t>
  </si>
  <si>
    <t>Guaxupé</t>
  </si>
  <si>
    <t>Guidoval</t>
  </si>
  <si>
    <t>Guimarânia</t>
  </si>
  <si>
    <t>Guiricema</t>
  </si>
  <si>
    <t>Gurinhatã</t>
  </si>
  <si>
    <t>Heliodora</t>
  </si>
  <si>
    <t>Iapu</t>
  </si>
  <si>
    <t>Ibertioga</t>
  </si>
  <si>
    <t>Ibiá</t>
  </si>
  <si>
    <t>Ibiaí</t>
  </si>
  <si>
    <t>Ibiracatu</t>
  </si>
  <si>
    <t>Ibiraci</t>
  </si>
  <si>
    <t>Ibirité</t>
  </si>
  <si>
    <t>Ibitiúra de Minas</t>
  </si>
  <si>
    <t>Ibituruna</t>
  </si>
  <si>
    <t>Icaraí de Minas</t>
  </si>
  <si>
    <t>Igarapé</t>
  </si>
  <si>
    <t>Igaratinga</t>
  </si>
  <si>
    <t>Iguatama</t>
  </si>
  <si>
    <t>Ijaci</t>
  </si>
  <si>
    <t>Ilicínea</t>
  </si>
  <si>
    <t>Imbé de Minas</t>
  </si>
  <si>
    <t>Inconfidentes</t>
  </si>
  <si>
    <t>Indaiabira</t>
  </si>
  <si>
    <t>Indianópolis</t>
  </si>
  <si>
    <t>Ingaí</t>
  </si>
  <si>
    <t>Inhapim</t>
  </si>
  <si>
    <t>Inhaúma</t>
  </si>
  <si>
    <t>Inimutaba</t>
  </si>
  <si>
    <t>Ipaba</t>
  </si>
  <si>
    <t>Ipanema</t>
  </si>
  <si>
    <t>Ipatinga</t>
  </si>
  <si>
    <t>Ipiaçu</t>
  </si>
  <si>
    <t>Ipuiúna</t>
  </si>
  <si>
    <t>Iraí de Minas</t>
  </si>
  <si>
    <t>Itabira</t>
  </si>
  <si>
    <t>Itabirinha</t>
  </si>
  <si>
    <t>Itabirito</t>
  </si>
  <si>
    <t>Itacambira</t>
  </si>
  <si>
    <t>Itacarambi</t>
  </si>
  <si>
    <t>Itaguara</t>
  </si>
  <si>
    <t>Itaipé</t>
  </si>
  <si>
    <t>Itajubá</t>
  </si>
  <si>
    <t>Itamarandiba</t>
  </si>
  <si>
    <t>Itamarati de Minas</t>
  </si>
  <si>
    <t>Itambacuri</t>
  </si>
  <si>
    <t>Itambé do Mato dentro</t>
  </si>
  <si>
    <t>Itamogi</t>
  </si>
  <si>
    <t>Itamonte</t>
  </si>
  <si>
    <t>Itanhandu</t>
  </si>
  <si>
    <t>Itanhomi</t>
  </si>
  <si>
    <t>Itaobim</t>
  </si>
  <si>
    <t>Itapagipe</t>
  </si>
  <si>
    <t>Itapecerica</t>
  </si>
  <si>
    <t>Itapeva</t>
  </si>
  <si>
    <t>Itatiaiuçu</t>
  </si>
  <si>
    <t>Itaú de Minas</t>
  </si>
  <si>
    <t>Itaúna</t>
  </si>
  <si>
    <t>Itaverava</t>
  </si>
  <si>
    <t>Itinga</t>
  </si>
  <si>
    <t>Itueta</t>
  </si>
  <si>
    <t>Ituiutaba</t>
  </si>
  <si>
    <t>Itumirim</t>
  </si>
  <si>
    <t>Iturama</t>
  </si>
  <si>
    <t>Itutinga</t>
  </si>
  <si>
    <t>Jaboticatubas</t>
  </si>
  <si>
    <t>Jacinto</t>
  </si>
  <si>
    <t>Jacuí</t>
  </si>
  <si>
    <t>Jacutinga</t>
  </si>
  <si>
    <t>Jaguaraçu</t>
  </si>
  <si>
    <t>Jaíba</t>
  </si>
  <si>
    <t>Jampruca</t>
  </si>
  <si>
    <t>Janaúba</t>
  </si>
  <si>
    <t>Januária</t>
  </si>
  <si>
    <t>Japaraíba</t>
  </si>
  <si>
    <t>Japonvar</t>
  </si>
  <si>
    <t>Jeceaba</t>
  </si>
  <si>
    <t>Jenipapo de Minas</t>
  </si>
  <si>
    <t>Jequeri</t>
  </si>
  <si>
    <t>Jequitaí</t>
  </si>
  <si>
    <t>Jequitibá</t>
  </si>
  <si>
    <t>Jequitinhonha</t>
  </si>
  <si>
    <t>Jesuânia</t>
  </si>
  <si>
    <t>Joaíma</t>
  </si>
  <si>
    <t>Joanésia</t>
  </si>
  <si>
    <t>João Monlevade</t>
  </si>
  <si>
    <t>João Pinheiro</t>
  </si>
  <si>
    <t>Joaquim Felício</t>
  </si>
  <si>
    <t>Jordânia</t>
  </si>
  <si>
    <t>José Gonçalves de Minas</t>
  </si>
  <si>
    <t>José Raydan</t>
  </si>
  <si>
    <t>Josenópolis</t>
  </si>
  <si>
    <t>Juatuba</t>
  </si>
  <si>
    <t>Juiz de Fora</t>
  </si>
  <si>
    <t>Juramento</t>
  </si>
  <si>
    <t>Juruaia</t>
  </si>
  <si>
    <t>Juvenília</t>
  </si>
  <si>
    <t>Ladainha</t>
  </si>
  <si>
    <t>Lagamar</t>
  </si>
  <si>
    <t>Lagoa da Prata</t>
  </si>
  <si>
    <t>Lagoa dos Patos</t>
  </si>
  <si>
    <t>Lagoa dourada</t>
  </si>
  <si>
    <t>Lagoa Formosa</t>
  </si>
  <si>
    <t>Lagoa Santa</t>
  </si>
  <si>
    <t>Lajinha</t>
  </si>
  <si>
    <t>Lambari</t>
  </si>
  <si>
    <t>Lamim</t>
  </si>
  <si>
    <t>Laranjal</t>
  </si>
  <si>
    <t>Lassance</t>
  </si>
  <si>
    <t>Lavras</t>
  </si>
  <si>
    <t>Leandro Ferreira</t>
  </si>
  <si>
    <t>Leme do Prado</t>
  </si>
  <si>
    <t>Leopoldina</t>
  </si>
  <si>
    <t>Liberdade</t>
  </si>
  <si>
    <t>Lima Duarte</t>
  </si>
  <si>
    <t>Limeira do Oeste</t>
  </si>
  <si>
    <t>Lontra</t>
  </si>
  <si>
    <t>Luisburgo</t>
  </si>
  <si>
    <t>Luislândia</t>
  </si>
  <si>
    <t>Luminárias</t>
  </si>
  <si>
    <t>Luz</t>
  </si>
  <si>
    <t>Machacalis</t>
  </si>
  <si>
    <t>Machado</t>
  </si>
  <si>
    <t>Madre de deus de Minas</t>
  </si>
  <si>
    <t>Malacacheta</t>
  </si>
  <si>
    <t>Mamonas</t>
  </si>
  <si>
    <t>Manga</t>
  </si>
  <si>
    <t>Manhuaçu</t>
  </si>
  <si>
    <t>Manhumirim</t>
  </si>
  <si>
    <t>Mantena</t>
  </si>
  <si>
    <t>Maravilhas</t>
  </si>
  <si>
    <t>Mar de Espanha</t>
  </si>
  <si>
    <t>Maria da Fé</t>
  </si>
  <si>
    <t>Mariana</t>
  </si>
  <si>
    <t>Marilac</t>
  </si>
  <si>
    <t>Mário Campos</t>
  </si>
  <si>
    <t>Maripá de Minas</t>
  </si>
  <si>
    <t>Marliéria</t>
  </si>
  <si>
    <t>Marmelópolis</t>
  </si>
  <si>
    <t>Martinho Campos</t>
  </si>
  <si>
    <t>Martins Soares</t>
  </si>
  <si>
    <t>Mata Verde</t>
  </si>
  <si>
    <t>Materlândia</t>
  </si>
  <si>
    <t>Mateus Leme</t>
  </si>
  <si>
    <t>Matias Barbosa</t>
  </si>
  <si>
    <t>Matias Cardoso</t>
  </si>
  <si>
    <t>Matipó</t>
  </si>
  <si>
    <t>Mato Verde</t>
  </si>
  <si>
    <t>Matozinhos</t>
  </si>
  <si>
    <t>Matutina</t>
  </si>
  <si>
    <t>Medeiros</t>
  </si>
  <si>
    <t>Medina</t>
  </si>
  <si>
    <t>Mendes Pimentel</t>
  </si>
  <si>
    <t>Mercês</t>
  </si>
  <si>
    <t>Mesquita</t>
  </si>
  <si>
    <t>Minas Novas</t>
  </si>
  <si>
    <t>Minduri</t>
  </si>
  <si>
    <t>Mirabela</t>
  </si>
  <si>
    <t>Miradouro</t>
  </si>
  <si>
    <t>Miraí</t>
  </si>
  <si>
    <t>Miravânia</t>
  </si>
  <si>
    <t>Moeda</t>
  </si>
  <si>
    <t>Moema</t>
  </si>
  <si>
    <t>Monjolos</t>
  </si>
  <si>
    <t>Monsenhor Paulo</t>
  </si>
  <si>
    <t>Montalvânia</t>
  </si>
  <si>
    <t>Monte Alegre de Minas</t>
  </si>
  <si>
    <t>Monte Azul</t>
  </si>
  <si>
    <t>Monte Belo</t>
  </si>
  <si>
    <t>Monte Carmelo</t>
  </si>
  <si>
    <t>Monte Formoso</t>
  </si>
  <si>
    <t>Monte Santo de Minas</t>
  </si>
  <si>
    <t>Montes Claros</t>
  </si>
  <si>
    <t>Monte Sião</t>
  </si>
  <si>
    <t>Montezuma</t>
  </si>
  <si>
    <t>Morada Nova de Minas</t>
  </si>
  <si>
    <t>Morro da Garça</t>
  </si>
  <si>
    <t>Morro do Pilar</t>
  </si>
  <si>
    <t>Munhoz</t>
  </si>
  <si>
    <t>Muriaé</t>
  </si>
  <si>
    <t>Mutum</t>
  </si>
  <si>
    <t>Muzambinho</t>
  </si>
  <si>
    <t>Nacip Raydan</t>
  </si>
  <si>
    <t>Nanuque</t>
  </si>
  <si>
    <t>Naque</t>
  </si>
  <si>
    <t>Natalândia</t>
  </si>
  <si>
    <t>Natércia</t>
  </si>
  <si>
    <t>Nazareno</t>
  </si>
  <si>
    <t>Nepomuceno</t>
  </si>
  <si>
    <t>Ninheira</t>
  </si>
  <si>
    <t>Nova Belém</t>
  </si>
  <si>
    <t>Nova Era</t>
  </si>
  <si>
    <t>Nova Lima</t>
  </si>
  <si>
    <t>Nova Módica</t>
  </si>
  <si>
    <t>Nova Ponte</t>
  </si>
  <si>
    <t>Nova Porteirinha</t>
  </si>
  <si>
    <t>Nova Resende</t>
  </si>
  <si>
    <t>Nova Serrana</t>
  </si>
  <si>
    <t>Novo Cruzeiro</t>
  </si>
  <si>
    <t>Novo Oriente de Minas</t>
  </si>
  <si>
    <t>Novorizonte</t>
  </si>
  <si>
    <t>Olaria</t>
  </si>
  <si>
    <t>Olhos-D'água</t>
  </si>
  <si>
    <t>Olímpio Noronha</t>
  </si>
  <si>
    <t>Oliveira</t>
  </si>
  <si>
    <t>Oliveira Fortes</t>
  </si>
  <si>
    <t>Onça de Pitangui</t>
  </si>
  <si>
    <t>Oratórios</t>
  </si>
  <si>
    <t>Orizânia</t>
  </si>
  <si>
    <t>Ouro Fino</t>
  </si>
  <si>
    <t>Ouro Preto</t>
  </si>
  <si>
    <t>Ouro Verde de Minas</t>
  </si>
  <si>
    <t>Padre Carvalho</t>
  </si>
  <si>
    <t>Padre Paraíso</t>
  </si>
  <si>
    <t>Paineiras</t>
  </si>
  <si>
    <t>Pains</t>
  </si>
  <si>
    <t>Pai Pedro</t>
  </si>
  <si>
    <t>Paiva</t>
  </si>
  <si>
    <t>Palma</t>
  </si>
  <si>
    <t>Palmópolis</t>
  </si>
  <si>
    <t>Papagaios</t>
  </si>
  <si>
    <t>Paracatu</t>
  </si>
  <si>
    <t>Pará de Minas</t>
  </si>
  <si>
    <t>Paraguaçu</t>
  </si>
  <si>
    <t>Paraisópolis</t>
  </si>
  <si>
    <t>Paraopeba</t>
  </si>
  <si>
    <t>Passabém</t>
  </si>
  <si>
    <t>Passa Quatro</t>
  </si>
  <si>
    <t>Passa Tempo</t>
  </si>
  <si>
    <t>Passa-Vinte</t>
  </si>
  <si>
    <t>Passos</t>
  </si>
  <si>
    <t>Patis</t>
  </si>
  <si>
    <t>Patos de Minas</t>
  </si>
  <si>
    <t>Patrocínio</t>
  </si>
  <si>
    <t>Patrocínio do Muriaé</t>
  </si>
  <si>
    <t>Paula Cândido</t>
  </si>
  <si>
    <t>Paulistas</t>
  </si>
  <si>
    <t>Pavão</t>
  </si>
  <si>
    <t>Peçanha</t>
  </si>
  <si>
    <t>Pedra Azul</t>
  </si>
  <si>
    <t>Pedra Bonita</t>
  </si>
  <si>
    <t>Pedra do Anta</t>
  </si>
  <si>
    <t>Pedra do Indaiá</t>
  </si>
  <si>
    <t>Pedra dourada</t>
  </si>
  <si>
    <t>Pedralva</t>
  </si>
  <si>
    <t>Pedras de Maria da Cruz</t>
  </si>
  <si>
    <t>Pedrinópolis</t>
  </si>
  <si>
    <t>Pedro Leopoldo</t>
  </si>
  <si>
    <t>Pedro Teixeira</t>
  </si>
  <si>
    <t>Pequeri</t>
  </si>
  <si>
    <t>Pequi</t>
  </si>
  <si>
    <t>Perdigão</t>
  </si>
  <si>
    <t>Perdizes</t>
  </si>
  <si>
    <t>Perdões</t>
  </si>
  <si>
    <t>Periquito</t>
  </si>
  <si>
    <t>Pescador</t>
  </si>
  <si>
    <t>Piau</t>
  </si>
  <si>
    <t>Piedade de Caratinga</t>
  </si>
  <si>
    <t>Piedade de Ponte Nova</t>
  </si>
  <si>
    <t>Piedade do Rio Grande</t>
  </si>
  <si>
    <t>Piedade dos Gerais</t>
  </si>
  <si>
    <t>Pimenta</t>
  </si>
  <si>
    <t>Pingo-D'água</t>
  </si>
  <si>
    <t>Pintópolis</t>
  </si>
  <si>
    <t>Piracema</t>
  </si>
  <si>
    <t>Pirajuba</t>
  </si>
  <si>
    <t>Piranga</t>
  </si>
  <si>
    <t>Piranguçu</t>
  </si>
  <si>
    <t>Piranguinho</t>
  </si>
  <si>
    <t>Pirapetinga</t>
  </si>
  <si>
    <t>Pirapora</t>
  </si>
  <si>
    <t>Piraúba</t>
  </si>
  <si>
    <t>Pitangui</t>
  </si>
  <si>
    <t>Piumhi</t>
  </si>
  <si>
    <t>Planura</t>
  </si>
  <si>
    <t>Poço Fundo</t>
  </si>
  <si>
    <t>Poços de Caldas</t>
  </si>
  <si>
    <t>Pocrane</t>
  </si>
  <si>
    <t>Pompéu</t>
  </si>
  <si>
    <t>Ponte Nova</t>
  </si>
  <si>
    <t>Ponto Chique</t>
  </si>
  <si>
    <t>Ponto dos Volantes</t>
  </si>
  <si>
    <t>Porteirinha</t>
  </si>
  <si>
    <t>Porto Firme</t>
  </si>
  <si>
    <t>Poté</t>
  </si>
  <si>
    <t>Pouso Alegre</t>
  </si>
  <si>
    <t>Pouso Alto</t>
  </si>
  <si>
    <t>Prados</t>
  </si>
  <si>
    <t>Pratápolis</t>
  </si>
  <si>
    <t>Pratinha</t>
  </si>
  <si>
    <t>Presidente Bernardes</t>
  </si>
  <si>
    <t>Presidente Kubitschek</t>
  </si>
  <si>
    <t>Presidente Olegário</t>
  </si>
  <si>
    <t>Alto Jequitibá</t>
  </si>
  <si>
    <t>Prudente de Morais</t>
  </si>
  <si>
    <t>Quartel Geral</t>
  </si>
  <si>
    <t>Queluzito</t>
  </si>
  <si>
    <t>Raposos</t>
  </si>
  <si>
    <t>Raul Soares</t>
  </si>
  <si>
    <t>Recreio</t>
  </si>
  <si>
    <t>Reduto</t>
  </si>
  <si>
    <t>Resende Costa</t>
  </si>
  <si>
    <t>Resplendor</t>
  </si>
  <si>
    <t>Ressaquinha</t>
  </si>
  <si>
    <t>Riacho dos Machados</t>
  </si>
  <si>
    <t>Ribeirão das Neves</t>
  </si>
  <si>
    <t>Ribeirão Vermelho</t>
  </si>
  <si>
    <t>Rio Acima</t>
  </si>
  <si>
    <t>Rio Casca</t>
  </si>
  <si>
    <t>Rio doce</t>
  </si>
  <si>
    <t>Rio do Prado</t>
  </si>
  <si>
    <t>Rio Espera</t>
  </si>
  <si>
    <t>Rio Manso</t>
  </si>
  <si>
    <t>Rio Novo</t>
  </si>
  <si>
    <t>Rio Paranaíba</t>
  </si>
  <si>
    <t>Rio Pardo de Minas</t>
  </si>
  <si>
    <t>Rio Piracicaba</t>
  </si>
  <si>
    <t>Rio Pomba</t>
  </si>
  <si>
    <t>Rio Preto</t>
  </si>
  <si>
    <t>Rio Vermelho</t>
  </si>
  <si>
    <t>Ritápolis</t>
  </si>
  <si>
    <t>Rochedo de Minas</t>
  </si>
  <si>
    <t>Rodeiro</t>
  </si>
  <si>
    <t>Romaria</t>
  </si>
  <si>
    <t>Rosário da Limeira</t>
  </si>
  <si>
    <t>Rubelita</t>
  </si>
  <si>
    <t>Rubim</t>
  </si>
  <si>
    <t>Sabará</t>
  </si>
  <si>
    <t>Sabinópolis</t>
  </si>
  <si>
    <t>Sacramento</t>
  </si>
  <si>
    <t>Salinas</t>
  </si>
  <si>
    <t>Salto da Divisa</t>
  </si>
  <si>
    <t>Santa Bárbara do Leste</t>
  </si>
  <si>
    <t>Santa Bárbara do Monte Verde</t>
  </si>
  <si>
    <t>Santa Bárbara do Tugúrio</t>
  </si>
  <si>
    <t>Santa Cruz de Minas</t>
  </si>
  <si>
    <t>Santa Cruz de Salinas</t>
  </si>
  <si>
    <t>Santa Cruz do Escalvado</t>
  </si>
  <si>
    <t>Santa Efigênia de Minas</t>
  </si>
  <si>
    <t>Santa Fé de Minas</t>
  </si>
  <si>
    <t>Santa Helena de Minas</t>
  </si>
  <si>
    <t>Santa Juliana</t>
  </si>
  <si>
    <t>Santa Margarida</t>
  </si>
  <si>
    <t>Santa Maria de Itabira</t>
  </si>
  <si>
    <t>Santa Maria do Salto</t>
  </si>
  <si>
    <t>Santa Maria do Suaçuí</t>
  </si>
  <si>
    <t>Santana da Vargem</t>
  </si>
  <si>
    <t>Santana de Cataguases</t>
  </si>
  <si>
    <t>Santana de Pirapama</t>
  </si>
  <si>
    <t>Santana do deserto</t>
  </si>
  <si>
    <t>Santana do Garambéu</t>
  </si>
  <si>
    <t>Santana do Jacaré</t>
  </si>
  <si>
    <t>Santana do Manhuaçu</t>
  </si>
  <si>
    <t>Santana do Paraíso</t>
  </si>
  <si>
    <t>Santana do Riacho</t>
  </si>
  <si>
    <t>Santana dos Montes</t>
  </si>
  <si>
    <t>Santa Rita de Caldas</t>
  </si>
  <si>
    <t>Santa Rita de Jacutinga</t>
  </si>
  <si>
    <t>Santa Rita de Minas</t>
  </si>
  <si>
    <t>Santa Rita de Ibitipoca</t>
  </si>
  <si>
    <t>Santa Rita do Itueto</t>
  </si>
  <si>
    <t>Santa Rita do Sapucaí</t>
  </si>
  <si>
    <t>Santa Rosa da Serra</t>
  </si>
  <si>
    <t>Santa Vitória</t>
  </si>
  <si>
    <t>Santo Antônio do Amparo</t>
  </si>
  <si>
    <t>Santo Antônio do Aventureiro</t>
  </si>
  <si>
    <t>Santo Antônio do Grama</t>
  </si>
  <si>
    <t>Santo Antônio do Itambé</t>
  </si>
  <si>
    <t>Santo Antônio do Jacinto</t>
  </si>
  <si>
    <t>Santo Antônio do Monte</t>
  </si>
  <si>
    <t>Santo Antônio do Retiro</t>
  </si>
  <si>
    <t>Santo Antônio do Rio Abaixo</t>
  </si>
  <si>
    <t>Santo Hipólito</t>
  </si>
  <si>
    <t>Santos Dumont</t>
  </si>
  <si>
    <t>São Bento Abade</t>
  </si>
  <si>
    <t>São Brás do Suaçuí</t>
  </si>
  <si>
    <t>São domingos das dores</t>
  </si>
  <si>
    <t>São domingos do Prata</t>
  </si>
  <si>
    <t>São Félix de Minas</t>
  </si>
  <si>
    <t>São Francisco de Paula</t>
  </si>
  <si>
    <t>São Francisco de Sales</t>
  </si>
  <si>
    <t>São Francisco do Glória</t>
  </si>
  <si>
    <t>São Geraldo</t>
  </si>
  <si>
    <t>São Geraldo da Piedade</t>
  </si>
  <si>
    <t>São Geraldo do Baixio</t>
  </si>
  <si>
    <t>São Gonçalo do Abaeté</t>
  </si>
  <si>
    <t>São Gonçalo do Pará</t>
  </si>
  <si>
    <t>São Gonçalo do Rio Abaixo</t>
  </si>
  <si>
    <t>São Gonçalo do Sapucaí</t>
  </si>
  <si>
    <t>São Gotardo</t>
  </si>
  <si>
    <t>São João Batista do Glória</t>
  </si>
  <si>
    <t>São João da Lagoa</t>
  </si>
  <si>
    <t>São João da Mata</t>
  </si>
  <si>
    <t>São João da Ponte</t>
  </si>
  <si>
    <t>São João das Missões</t>
  </si>
  <si>
    <t>São João del Rei</t>
  </si>
  <si>
    <t>São João do Manhuaçu</t>
  </si>
  <si>
    <t>São João do Manteninha</t>
  </si>
  <si>
    <t>São João do Oriente</t>
  </si>
  <si>
    <t>São João do Pacuí</t>
  </si>
  <si>
    <t>São João Evangelista</t>
  </si>
  <si>
    <t>São João Nepomuceno</t>
  </si>
  <si>
    <t>São Joaquim de Bicas</t>
  </si>
  <si>
    <t>São José da Barra</t>
  </si>
  <si>
    <t>São José da Lapa</t>
  </si>
  <si>
    <t>São José da Safira</t>
  </si>
  <si>
    <t>São José da Varginha</t>
  </si>
  <si>
    <t>São José do Alegre</t>
  </si>
  <si>
    <t>São José do Goiabal</t>
  </si>
  <si>
    <t>São José do Jacuri</t>
  </si>
  <si>
    <t>São José do Mantimento</t>
  </si>
  <si>
    <t>São Lourenço</t>
  </si>
  <si>
    <t>São Miguel do Anta</t>
  </si>
  <si>
    <t>São Pedro da União</t>
  </si>
  <si>
    <t>São Pedro dos Ferros</t>
  </si>
  <si>
    <t>São Pedro do Suaçuí</t>
  </si>
  <si>
    <t>São Romão</t>
  </si>
  <si>
    <t>São Roque de Minas</t>
  </si>
  <si>
    <t>São Sebastião da Bela Vista</t>
  </si>
  <si>
    <t>São Sebastião da Vargem Alegre</t>
  </si>
  <si>
    <t>São Sebastião do Anta</t>
  </si>
  <si>
    <t>São Sebastião do Maranhão</t>
  </si>
  <si>
    <t>São Sebastião do Oeste</t>
  </si>
  <si>
    <t>São Sebastião do Paraíso</t>
  </si>
  <si>
    <t>São Sebastião do Rio Preto</t>
  </si>
  <si>
    <t>São Sebastião do Rio Verde</t>
  </si>
  <si>
    <t>São Tiago</t>
  </si>
  <si>
    <t>São Tomás de Aquino</t>
  </si>
  <si>
    <t>São Thomé das Letras</t>
  </si>
  <si>
    <t>São Vicente de Minas</t>
  </si>
  <si>
    <t>Sapucaí-Mirim</t>
  </si>
  <si>
    <t>Sardoá</t>
  </si>
  <si>
    <t>Sarzedo</t>
  </si>
  <si>
    <t>Setubinha</t>
  </si>
  <si>
    <t>Sem-Peixe</t>
  </si>
  <si>
    <t>Senador Amaral</t>
  </si>
  <si>
    <t>Senador Cortes</t>
  </si>
  <si>
    <t>Senador Firmino</t>
  </si>
  <si>
    <t>Senador José Bento</t>
  </si>
  <si>
    <t>Senador Modestino Gonçalves</t>
  </si>
  <si>
    <t>Senhora de Oliveira</t>
  </si>
  <si>
    <t>Senhora do Porto</t>
  </si>
  <si>
    <t>Senhora dos Remédios</t>
  </si>
  <si>
    <t>Sericita</t>
  </si>
  <si>
    <t>Seritinga</t>
  </si>
  <si>
    <t>Serra Azul de Minas</t>
  </si>
  <si>
    <t>Serra da Saudade</t>
  </si>
  <si>
    <t>Serra dos Aimorés</t>
  </si>
  <si>
    <t>Serra do Salitre</t>
  </si>
  <si>
    <t>Serrania</t>
  </si>
  <si>
    <t>Serranópolis de Minas</t>
  </si>
  <si>
    <t>Serranos</t>
  </si>
  <si>
    <t>Serro</t>
  </si>
  <si>
    <t>Sete Lagoas</t>
  </si>
  <si>
    <t>Silveirânia</t>
  </si>
  <si>
    <t>Silvianópolis</t>
  </si>
  <si>
    <t>Simão Pereira</t>
  </si>
  <si>
    <t>Simonésia</t>
  </si>
  <si>
    <t>Sobrália</t>
  </si>
  <si>
    <t>Soledade de Minas</t>
  </si>
  <si>
    <t>Tabuleiro</t>
  </si>
  <si>
    <t>Taiobeiras</t>
  </si>
  <si>
    <t>Taparuba</t>
  </si>
  <si>
    <t>Tapira</t>
  </si>
  <si>
    <t>Tapiraí</t>
  </si>
  <si>
    <t>Taquaraçu de Minas</t>
  </si>
  <si>
    <t>Tarumirim</t>
  </si>
  <si>
    <t>Teixeiras</t>
  </si>
  <si>
    <t>Teófilo Otoni</t>
  </si>
  <si>
    <t>Timóteo</t>
  </si>
  <si>
    <t>Tiradentes</t>
  </si>
  <si>
    <t>Tiros</t>
  </si>
  <si>
    <t>Tocantins</t>
  </si>
  <si>
    <t>Tocos do Moji</t>
  </si>
  <si>
    <t>Toledo</t>
  </si>
  <si>
    <t>Tombos</t>
  </si>
  <si>
    <t>Três Corações</t>
  </si>
  <si>
    <t>Três Marias</t>
  </si>
  <si>
    <t>Três Pontas</t>
  </si>
  <si>
    <t>Tumiritinga</t>
  </si>
  <si>
    <t>Tupaciguara</t>
  </si>
  <si>
    <t>Turmalina</t>
  </si>
  <si>
    <t>Turvolândia</t>
  </si>
  <si>
    <t>Ubá</t>
  </si>
  <si>
    <t>Ubaí</t>
  </si>
  <si>
    <t>Ubaporanga</t>
  </si>
  <si>
    <t>Uberaba</t>
  </si>
  <si>
    <t>Uberlândia</t>
  </si>
  <si>
    <t>Umburatiba</t>
  </si>
  <si>
    <t>Unaí</t>
  </si>
  <si>
    <t>União de Minas</t>
  </si>
  <si>
    <t>Uruana de Minas</t>
  </si>
  <si>
    <t>Urucânia</t>
  </si>
  <si>
    <t>Urucuia</t>
  </si>
  <si>
    <t>Vargem Alegre</t>
  </si>
  <si>
    <t>Vargem Bonita</t>
  </si>
  <si>
    <t>Vargem Grande do Rio Pardo</t>
  </si>
  <si>
    <t>Varginha</t>
  </si>
  <si>
    <t>Varjão de Minas</t>
  </si>
  <si>
    <t>Várzea da Palma</t>
  </si>
  <si>
    <t>Varzelândia</t>
  </si>
  <si>
    <t>Vazante</t>
  </si>
  <si>
    <t>Verdelândia</t>
  </si>
  <si>
    <t>Veredinha</t>
  </si>
  <si>
    <t>Veríssimo</t>
  </si>
  <si>
    <t>Vermelho Novo</t>
  </si>
  <si>
    <t>Vespasiano</t>
  </si>
  <si>
    <t>Vieiras</t>
  </si>
  <si>
    <t>Mathias Lobato</t>
  </si>
  <si>
    <t>Virgem da Lapa</t>
  </si>
  <si>
    <t>Virgínia</t>
  </si>
  <si>
    <t>Virginópolis</t>
  </si>
  <si>
    <t>Virgolândia</t>
  </si>
  <si>
    <t>Visconde do Rio Branco</t>
  </si>
  <si>
    <t>Volta Grande</t>
  </si>
  <si>
    <t>Wenceslau Braz</t>
  </si>
  <si>
    <t>Afonso Cláudio</t>
  </si>
  <si>
    <t>Águia Branca</t>
  </si>
  <si>
    <t>Água doce do Norte</t>
  </si>
  <si>
    <t>Alegre</t>
  </si>
  <si>
    <t>Alfredo Chaves</t>
  </si>
  <si>
    <t>Alto Rio Novo</t>
  </si>
  <si>
    <t>Anchieta</t>
  </si>
  <si>
    <t>Apiacá</t>
  </si>
  <si>
    <t>Aracruz</t>
  </si>
  <si>
    <t>Atilio Vivacqua</t>
  </si>
  <si>
    <t>Baixo Guandu</t>
  </si>
  <si>
    <t>Barra de São Francisco</t>
  </si>
  <si>
    <t>Bom Jesus do Norte</t>
  </si>
  <si>
    <t>Brejetuba</t>
  </si>
  <si>
    <t>Cachoeiro de Itapemirim</t>
  </si>
  <si>
    <t>Cariacica</t>
  </si>
  <si>
    <t>Castelo</t>
  </si>
  <si>
    <t>Colatina</t>
  </si>
  <si>
    <t>Conceição da Barra</t>
  </si>
  <si>
    <t>Conceição do Castelo</t>
  </si>
  <si>
    <t>Divino de São Lourenço</t>
  </si>
  <si>
    <t>domingos Martins</t>
  </si>
  <si>
    <t>dores do Rio Preto</t>
  </si>
  <si>
    <t>Ecoporanga</t>
  </si>
  <si>
    <t>Fundão</t>
  </si>
  <si>
    <t>Governador Lindenberg</t>
  </si>
  <si>
    <t>Guaçuí</t>
  </si>
  <si>
    <t>Guarapari</t>
  </si>
  <si>
    <t>Ibatiba</t>
  </si>
  <si>
    <t>Ibiraçu</t>
  </si>
  <si>
    <t>Ibitirama</t>
  </si>
  <si>
    <t>Iconha</t>
  </si>
  <si>
    <t>Irupi</t>
  </si>
  <si>
    <t>Itaguaçu</t>
  </si>
  <si>
    <t>Itapemirim</t>
  </si>
  <si>
    <t>Itarana</t>
  </si>
  <si>
    <t>Iúna</t>
  </si>
  <si>
    <t>Jaguaré</t>
  </si>
  <si>
    <t>Jerônimo Monteiro</t>
  </si>
  <si>
    <t>João Neiva</t>
  </si>
  <si>
    <t>Laranja da Terra</t>
  </si>
  <si>
    <t>Linhares</t>
  </si>
  <si>
    <t>Mantenópolis</t>
  </si>
  <si>
    <t>Marataízes</t>
  </si>
  <si>
    <t>Marechal Floriano</t>
  </si>
  <si>
    <t>Marilândia</t>
  </si>
  <si>
    <t>Mimoso do Sul</t>
  </si>
  <si>
    <t>Montanha</t>
  </si>
  <si>
    <t>Mucurici</t>
  </si>
  <si>
    <t>Muniz Freire</t>
  </si>
  <si>
    <t>Muqui</t>
  </si>
  <si>
    <t>Nova Venécia</t>
  </si>
  <si>
    <t>Pancas</t>
  </si>
  <si>
    <t>Pedro Canário</t>
  </si>
  <si>
    <t>Pinheiros</t>
  </si>
  <si>
    <t>Piúma</t>
  </si>
  <si>
    <t>Ponto Belo</t>
  </si>
  <si>
    <t>Rio Bananal</t>
  </si>
  <si>
    <t>Rio Novo do Sul</t>
  </si>
  <si>
    <t>Santa Leopoldina</t>
  </si>
  <si>
    <t>Santa Maria de Jetibá</t>
  </si>
  <si>
    <t>Santa Teresa</t>
  </si>
  <si>
    <t>São domingos do Norte</t>
  </si>
  <si>
    <t>São Gabriel da Palha</t>
  </si>
  <si>
    <t>São José do Calçado</t>
  </si>
  <si>
    <t>São Mateus</t>
  </si>
  <si>
    <t>São Roque do Canaã</t>
  </si>
  <si>
    <t>Serra</t>
  </si>
  <si>
    <t>Sooretama</t>
  </si>
  <si>
    <t>Vargem Alta</t>
  </si>
  <si>
    <t>Venda Nova do Imigrante</t>
  </si>
  <si>
    <t>Vila Pavão</t>
  </si>
  <si>
    <t>Vila Valério</t>
  </si>
  <si>
    <t>Vila Velha</t>
  </si>
  <si>
    <t>Vitória</t>
  </si>
  <si>
    <t>Angra dos Reis</t>
  </si>
  <si>
    <t>Aperibé</t>
  </si>
  <si>
    <t>Araruama</t>
  </si>
  <si>
    <t>Areal</t>
  </si>
  <si>
    <t>Armação dos Búzios</t>
  </si>
  <si>
    <t>Arraial do Cabo</t>
  </si>
  <si>
    <t>Barra do Piraí</t>
  </si>
  <si>
    <t>Barra Mansa</t>
  </si>
  <si>
    <t>Belford Roxo</t>
  </si>
  <si>
    <t>Bom Jesus do Itabapoana</t>
  </si>
  <si>
    <t>Cabo Frio</t>
  </si>
  <si>
    <t>Cachoeiras de Macacu</t>
  </si>
  <si>
    <t>Cambuci</t>
  </si>
  <si>
    <t>Carapebus</t>
  </si>
  <si>
    <t>Comendador Levy Gasparian</t>
  </si>
  <si>
    <t>Campos dos Goytacazes</t>
  </si>
  <si>
    <t>Cardoso Moreira</t>
  </si>
  <si>
    <t>Carmo</t>
  </si>
  <si>
    <t>Casimiro de Abreu</t>
  </si>
  <si>
    <t>Conceição de Macabu</t>
  </si>
  <si>
    <t>Cordeiro</t>
  </si>
  <si>
    <t>Duas Barras</t>
  </si>
  <si>
    <t>Duque de Caxias</t>
  </si>
  <si>
    <t>Engenheiro Paulo de Frontin</t>
  </si>
  <si>
    <t>Guapimirim</t>
  </si>
  <si>
    <t>Iguaba Grande</t>
  </si>
  <si>
    <t>Itaboraí</t>
  </si>
  <si>
    <t>Itaguaí</t>
  </si>
  <si>
    <t>Italva</t>
  </si>
  <si>
    <t>Itaocara</t>
  </si>
  <si>
    <t>Itaperuna</t>
  </si>
  <si>
    <t>Itatiaia</t>
  </si>
  <si>
    <t>Japeri</t>
  </si>
  <si>
    <t>Laje do Muriaé</t>
  </si>
  <si>
    <t>Macaé</t>
  </si>
  <si>
    <t>Macuco</t>
  </si>
  <si>
    <t>Magé</t>
  </si>
  <si>
    <t>Mangaratiba</t>
  </si>
  <si>
    <t>Maricá</t>
  </si>
  <si>
    <t>Mendes</t>
  </si>
  <si>
    <t>Miguel Pereira</t>
  </si>
  <si>
    <t>Miracema</t>
  </si>
  <si>
    <t>Nilópolis</t>
  </si>
  <si>
    <t>Niterói</t>
  </si>
  <si>
    <t>Nova Friburgo</t>
  </si>
  <si>
    <t>Nova Iguaçu</t>
  </si>
  <si>
    <t>Paracambi</t>
  </si>
  <si>
    <t>Paraíba do Sul</t>
  </si>
  <si>
    <t>Paraty</t>
  </si>
  <si>
    <t>Paty do Alferes</t>
  </si>
  <si>
    <t>Petrópolis</t>
  </si>
  <si>
    <t>Pinheiral</t>
  </si>
  <si>
    <t>Piraí</t>
  </si>
  <si>
    <t>Porciúncula</t>
  </si>
  <si>
    <t>Porto Real</t>
  </si>
  <si>
    <t>Quatis</t>
  </si>
  <si>
    <t>Queimados</t>
  </si>
  <si>
    <t>Quissamã</t>
  </si>
  <si>
    <t>Resende</t>
  </si>
  <si>
    <t>Rio Bonito</t>
  </si>
  <si>
    <t>Rio Claro</t>
  </si>
  <si>
    <t>Rio das Flores</t>
  </si>
  <si>
    <t>Rio das Ostras</t>
  </si>
  <si>
    <t>Rio de Janeiro</t>
  </si>
  <si>
    <t>Santa Maria Madalena</t>
  </si>
  <si>
    <t>Santo Antônio de Pádua</t>
  </si>
  <si>
    <t>São Francisco de Itabapoana</t>
  </si>
  <si>
    <t>São Fidélis</t>
  </si>
  <si>
    <t>São Gonçalo</t>
  </si>
  <si>
    <t>São João da Barra</t>
  </si>
  <si>
    <t>São João de Meriti</t>
  </si>
  <si>
    <t>São José de Ubá</t>
  </si>
  <si>
    <t>São José do Vale do Rio Preto</t>
  </si>
  <si>
    <t>São Pedro da Aldeia</t>
  </si>
  <si>
    <t>São Sebastião do Alto</t>
  </si>
  <si>
    <t>Saquarema</t>
  </si>
  <si>
    <t>Seropédica</t>
  </si>
  <si>
    <t>Silva Jardim</t>
  </si>
  <si>
    <t>Sumidouro</t>
  </si>
  <si>
    <t>Tanguá</t>
  </si>
  <si>
    <t>Teresópolis</t>
  </si>
  <si>
    <t>Trajano de Moraes</t>
  </si>
  <si>
    <t>Três Rios</t>
  </si>
  <si>
    <t>Varre-Sai</t>
  </si>
  <si>
    <t>Vassouras</t>
  </si>
  <si>
    <t>Volta Redonda</t>
  </si>
  <si>
    <t>Adamantina</t>
  </si>
  <si>
    <t>Adolfo</t>
  </si>
  <si>
    <t>Aguaí</t>
  </si>
  <si>
    <t>Águas da Prata</t>
  </si>
  <si>
    <t>Águas de Lindóia</t>
  </si>
  <si>
    <t>Águas de Santa Bárbara</t>
  </si>
  <si>
    <t>Águas de São Pedro</t>
  </si>
  <si>
    <t>Agudos</t>
  </si>
  <si>
    <t>Alambari</t>
  </si>
  <si>
    <t>Alfredo Marcondes</t>
  </si>
  <si>
    <t>Altair</t>
  </si>
  <si>
    <t>Altinópolis</t>
  </si>
  <si>
    <t>Alumínio</t>
  </si>
  <si>
    <t>Álvares Florence</t>
  </si>
  <si>
    <t>Álvares Machado</t>
  </si>
  <si>
    <t>Álvaro de Carvalho</t>
  </si>
  <si>
    <t>Alvinlândia</t>
  </si>
  <si>
    <t>Americana</t>
  </si>
  <si>
    <t>Américo Brasiliense</t>
  </si>
  <si>
    <t>Américo de Campos</t>
  </si>
  <si>
    <t>Analândia</t>
  </si>
  <si>
    <t>Andradina</t>
  </si>
  <si>
    <t>Angatuba</t>
  </si>
  <si>
    <t>Anhembi</t>
  </si>
  <si>
    <t>Anhumas</t>
  </si>
  <si>
    <t>Aparecida D'oeste</t>
  </si>
  <si>
    <t>Apiaí</t>
  </si>
  <si>
    <t>Araçariguama</t>
  </si>
  <si>
    <t>Araçatuba</t>
  </si>
  <si>
    <t>Araçoiaba da Serra</t>
  </si>
  <si>
    <t>Aramina</t>
  </si>
  <si>
    <t>Arandu</t>
  </si>
  <si>
    <t>Arapeí</t>
  </si>
  <si>
    <t>Araraquara</t>
  </si>
  <si>
    <t>Araras</t>
  </si>
  <si>
    <t>Arco-Íris</t>
  </si>
  <si>
    <t>Arealva</t>
  </si>
  <si>
    <t>Areias</t>
  </si>
  <si>
    <t>Areiópolis</t>
  </si>
  <si>
    <t>Ariranha</t>
  </si>
  <si>
    <t>Artur Nogueira</t>
  </si>
  <si>
    <t>Arujá</t>
  </si>
  <si>
    <t>Aspásia</t>
  </si>
  <si>
    <t>Assis</t>
  </si>
  <si>
    <t>Atibaia</t>
  </si>
  <si>
    <t>Auriflama</t>
  </si>
  <si>
    <t>Avaí</t>
  </si>
  <si>
    <t>Avanhandava</t>
  </si>
  <si>
    <t>Avaré</t>
  </si>
  <si>
    <t>Bady Bassitt</t>
  </si>
  <si>
    <t>Balbinos</t>
  </si>
  <si>
    <t>Bálsamo</t>
  </si>
  <si>
    <t>Bananal</t>
  </si>
  <si>
    <t>Barão de Antonina</t>
  </si>
  <si>
    <t>Barbosa</t>
  </si>
  <si>
    <t>Bariri</t>
  </si>
  <si>
    <t>Barra Bonita</t>
  </si>
  <si>
    <t>Barra do Chapéu</t>
  </si>
  <si>
    <t>Barra do Turvo</t>
  </si>
  <si>
    <t>Barretos</t>
  </si>
  <si>
    <t>Barrinha</t>
  </si>
  <si>
    <t>Barueri</t>
  </si>
  <si>
    <t>Bastos</t>
  </si>
  <si>
    <t>Batatais</t>
  </si>
  <si>
    <t>Bauru</t>
  </si>
  <si>
    <t>Bebedouro</t>
  </si>
  <si>
    <t>Bento de Abreu</t>
  </si>
  <si>
    <t>Bernardino de Campos</t>
  </si>
  <si>
    <t>Bertioga</t>
  </si>
  <si>
    <t>Bilac</t>
  </si>
  <si>
    <t>Birigui</t>
  </si>
  <si>
    <t>Biritiba-Mirim</t>
  </si>
  <si>
    <t>Boa Esperança do Sul</t>
  </si>
  <si>
    <t>Bofete</t>
  </si>
  <si>
    <t>Boituva</t>
  </si>
  <si>
    <t>Bom Jesus dos Perdões</t>
  </si>
  <si>
    <t>Bom Sucesso de Itararé</t>
  </si>
  <si>
    <t>Borá</t>
  </si>
  <si>
    <t>Boracéia</t>
  </si>
  <si>
    <t>Borebi</t>
  </si>
  <si>
    <t>Botucatu</t>
  </si>
  <si>
    <t>Bragança Paulista</t>
  </si>
  <si>
    <t>Braúna</t>
  </si>
  <si>
    <t>Brejo Alegre</t>
  </si>
  <si>
    <t>Brodowski</t>
  </si>
  <si>
    <t>Brotas</t>
  </si>
  <si>
    <t>Buri</t>
  </si>
  <si>
    <t>Buritama</t>
  </si>
  <si>
    <t>Buritizal</t>
  </si>
  <si>
    <t>Cabrália Paulista</t>
  </si>
  <si>
    <t>Cabreúva</t>
  </si>
  <si>
    <t>Caçapava</t>
  </si>
  <si>
    <t>Cachoeira Paulista</t>
  </si>
  <si>
    <t>Caconde</t>
  </si>
  <si>
    <t>Cafelândia</t>
  </si>
  <si>
    <t>Caiabu</t>
  </si>
  <si>
    <t>Caieiras</t>
  </si>
  <si>
    <t>Caiuá</t>
  </si>
  <si>
    <t>Cajamar</t>
  </si>
  <si>
    <t>Cajati</t>
  </si>
  <si>
    <t>Cajobi</t>
  </si>
  <si>
    <t>Cajuru</t>
  </si>
  <si>
    <t>Campina do Monte Alegre</t>
  </si>
  <si>
    <t>Campinas</t>
  </si>
  <si>
    <t>Campo Limpo Paulista</t>
  </si>
  <si>
    <t>Campos do Jordão</t>
  </si>
  <si>
    <t>Campos Novos Paulista</t>
  </si>
  <si>
    <t>Cananéia</t>
  </si>
  <si>
    <t>Canas</t>
  </si>
  <si>
    <t>Cândido Mota</t>
  </si>
  <si>
    <t>Cândido Rodrigues</t>
  </si>
  <si>
    <t>Canitar</t>
  </si>
  <si>
    <t>Capão Bonito</t>
  </si>
  <si>
    <t>Capela do Alto</t>
  </si>
  <si>
    <t>Capivari</t>
  </si>
  <si>
    <t>Caraguatatuba</t>
  </si>
  <si>
    <t>Carapicuíba</t>
  </si>
  <si>
    <t>Cardoso</t>
  </si>
  <si>
    <t>Casa Branca</t>
  </si>
  <si>
    <t>Cássia dos Coqueiros</t>
  </si>
  <si>
    <t>Castilho</t>
  </si>
  <si>
    <t>Catanduva</t>
  </si>
  <si>
    <t>Catiguá</t>
  </si>
  <si>
    <t>Cerqueira César</t>
  </si>
  <si>
    <t>Cerquilho</t>
  </si>
  <si>
    <t>Cesário Lange</t>
  </si>
  <si>
    <t>Charqueada</t>
  </si>
  <si>
    <t>Clementina</t>
  </si>
  <si>
    <t>Colina</t>
  </si>
  <si>
    <t>Colômbia</t>
  </si>
  <si>
    <t>Conchal</t>
  </si>
  <si>
    <t>Conchas</t>
  </si>
  <si>
    <t>Cordeirópolis</t>
  </si>
  <si>
    <t>Coroados</t>
  </si>
  <si>
    <t>Coronel Macedo</t>
  </si>
  <si>
    <t>Corumbataí</t>
  </si>
  <si>
    <t>Cosmópolis</t>
  </si>
  <si>
    <t>Cosmorama</t>
  </si>
  <si>
    <t>Cotia</t>
  </si>
  <si>
    <t>Cravinhos</t>
  </si>
  <si>
    <t>Cristais Paulista</t>
  </si>
  <si>
    <t>Cruzália</t>
  </si>
  <si>
    <t>Cruzeiro</t>
  </si>
  <si>
    <t>Cubatão</t>
  </si>
  <si>
    <t>Cunha</t>
  </si>
  <si>
    <t>descalvado</t>
  </si>
  <si>
    <t>Diadema</t>
  </si>
  <si>
    <t>Dirce Reis</t>
  </si>
  <si>
    <t>Divinolândia</t>
  </si>
  <si>
    <t>dobrada</t>
  </si>
  <si>
    <t>dois Córregos</t>
  </si>
  <si>
    <t>dolcinópolis</t>
  </si>
  <si>
    <t>dourado</t>
  </si>
  <si>
    <t>Dracena</t>
  </si>
  <si>
    <t>Duartina</t>
  </si>
  <si>
    <t>Dumont</t>
  </si>
  <si>
    <t>Echaporã</t>
  </si>
  <si>
    <t>Eldorado</t>
  </si>
  <si>
    <t>Elias Fausto</t>
  </si>
  <si>
    <t>Elisiário</t>
  </si>
  <si>
    <t>Embaúba</t>
  </si>
  <si>
    <t>Embu das Artes</t>
  </si>
  <si>
    <t>Embu-Guaçu</t>
  </si>
  <si>
    <t>Emilianópolis</t>
  </si>
  <si>
    <t>Engenheiro Coelho</t>
  </si>
  <si>
    <t>Espírito Santo do Pinhal</t>
  </si>
  <si>
    <t>Espírito Santo do Turvo</t>
  </si>
  <si>
    <t>Estrela D'oeste</t>
  </si>
  <si>
    <t>Estrela do Norte</t>
  </si>
  <si>
    <t>Euclides da Cunha Paulista</t>
  </si>
  <si>
    <t>Fartura</t>
  </si>
  <si>
    <t>Fernandópolis</t>
  </si>
  <si>
    <t>Fernando Prestes</t>
  </si>
  <si>
    <t>Fernão</t>
  </si>
  <si>
    <t>Ferraz de Vasconcelos</t>
  </si>
  <si>
    <t>Flora Rica</t>
  </si>
  <si>
    <t>Floreal</t>
  </si>
  <si>
    <t>Flórida Paulista</t>
  </si>
  <si>
    <t>Florínia</t>
  </si>
  <si>
    <t>Franca</t>
  </si>
  <si>
    <t>Francisco Morato</t>
  </si>
  <si>
    <t>Franco da Rocha</t>
  </si>
  <si>
    <t>Gabriel Monteiro</t>
  </si>
  <si>
    <t>Gália</t>
  </si>
  <si>
    <t>Garça</t>
  </si>
  <si>
    <t>Gastão Vidigal</t>
  </si>
  <si>
    <t>Gavião Peixoto</t>
  </si>
  <si>
    <t>General Salgado</t>
  </si>
  <si>
    <t>Getulina</t>
  </si>
  <si>
    <t>Glicério</t>
  </si>
  <si>
    <t>Guaiçara</t>
  </si>
  <si>
    <t>Guaimbê</t>
  </si>
  <si>
    <t>Guaíra</t>
  </si>
  <si>
    <t>Guapiaçu</t>
  </si>
  <si>
    <t>Guapiara</t>
  </si>
  <si>
    <t>Guará</t>
  </si>
  <si>
    <t>Guaraçaí</t>
  </si>
  <si>
    <t>Guaraci</t>
  </si>
  <si>
    <t>Guarani D'oeste</t>
  </si>
  <si>
    <t>Guarantã</t>
  </si>
  <si>
    <t>Guararapes</t>
  </si>
  <si>
    <t>Guararema</t>
  </si>
  <si>
    <t>Guaratinguetá</t>
  </si>
  <si>
    <t>Guareí</t>
  </si>
  <si>
    <t>Guariba</t>
  </si>
  <si>
    <t>Guarujá</t>
  </si>
  <si>
    <t>Guarulhos</t>
  </si>
  <si>
    <t>Guatapará</t>
  </si>
  <si>
    <t>Guzolândia</t>
  </si>
  <si>
    <t>Herculândia</t>
  </si>
  <si>
    <t>Holambra</t>
  </si>
  <si>
    <t>Hortolândia</t>
  </si>
  <si>
    <t>Iacanga</t>
  </si>
  <si>
    <t>Iacri</t>
  </si>
  <si>
    <t>Iaras</t>
  </si>
  <si>
    <t>Ibaté</t>
  </si>
  <si>
    <t>Ibirá</t>
  </si>
  <si>
    <t>Ibirarema</t>
  </si>
  <si>
    <t>Ibitinga</t>
  </si>
  <si>
    <t>Ibiúna</t>
  </si>
  <si>
    <t>Icém</t>
  </si>
  <si>
    <t>Iepê</t>
  </si>
  <si>
    <t>Igaraçu do Tietê</t>
  </si>
  <si>
    <t>Igarapava</t>
  </si>
  <si>
    <t>Igaratá</t>
  </si>
  <si>
    <t>Iguape</t>
  </si>
  <si>
    <t>Ilhabela</t>
  </si>
  <si>
    <t>Ilha Comprida</t>
  </si>
  <si>
    <t>Ilha Solteira</t>
  </si>
  <si>
    <t>Indaiatuba</t>
  </si>
  <si>
    <t>Indiana</t>
  </si>
  <si>
    <t>Indiaporã</t>
  </si>
  <si>
    <t>Inúbia Paulista</t>
  </si>
  <si>
    <t>Ipaussu</t>
  </si>
  <si>
    <t>Iperó</t>
  </si>
  <si>
    <t>Ipeúna</t>
  </si>
  <si>
    <t>Ipiguá</t>
  </si>
  <si>
    <t>Iporanga</t>
  </si>
  <si>
    <t>Ipuã</t>
  </si>
  <si>
    <t>Iracemápolis</t>
  </si>
  <si>
    <t>Irapuã</t>
  </si>
  <si>
    <t>Irapuru</t>
  </si>
  <si>
    <t>Itaberá</t>
  </si>
  <si>
    <t>Itaí</t>
  </si>
  <si>
    <t>Itajobi</t>
  </si>
  <si>
    <t>Itaju</t>
  </si>
  <si>
    <t>Itanhaém</t>
  </si>
  <si>
    <t>Itaóca</t>
  </si>
  <si>
    <t>Itapecerica da Serra</t>
  </si>
  <si>
    <t>Itapetininga</t>
  </si>
  <si>
    <t>Itapevi</t>
  </si>
  <si>
    <t>Itapira</t>
  </si>
  <si>
    <t>Itapirapuã Paulista</t>
  </si>
  <si>
    <t>Itápolis</t>
  </si>
  <si>
    <t>Itapuí</t>
  </si>
  <si>
    <t>Itapura</t>
  </si>
  <si>
    <t>Itaquaquecetuba</t>
  </si>
  <si>
    <t>Itararé</t>
  </si>
  <si>
    <t>Itariri</t>
  </si>
  <si>
    <t>Itatiba</t>
  </si>
  <si>
    <t>Itatinga</t>
  </si>
  <si>
    <t>Itirapina</t>
  </si>
  <si>
    <t>Itirapuã</t>
  </si>
  <si>
    <t>Itobi</t>
  </si>
  <si>
    <t>Itu</t>
  </si>
  <si>
    <t>Itupeva</t>
  </si>
  <si>
    <t>Ituverava</t>
  </si>
  <si>
    <t>Jaboticabal</t>
  </si>
  <si>
    <t>Jacareí</t>
  </si>
  <si>
    <t>Jaci</t>
  </si>
  <si>
    <t>Jacupiranga</t>
  </si>
  <si>
    <t>Jaguariúna</t>
  </si>
  <si>
    <t>Jales</t>
  </si>
  <si>
    <t>Jambeiro</t>
  </si>
  <si>
    <t>Jandira</t>
  </si>
  <si>
    <t>Jardinópolis</t>
  </si>
  <si>
    <t>Jarinu</t>
  </si>
  <si>
    <t>Jaú</t>
  </si>
  <si>
    <t>Jeriquara</t>
  </si>
  <si>
    <t>Joanópolis</t>
  </si>
  <si>
    <t>João Ramalho</t>
  </si>
  <si>
    <t>José Bonifácio</t>
  </si>
  <si>
    <t>Júlio Mesquita</t>
  </si>
  <si>
    <t>Jumirim</t>
  </si>
  <si>
    <t>Jundiaí</t>
  </si>
  <si>
    <t>Junqueirópolis</t>
  </si>
  <si>
    <t>Juquiá</t>
  </si>
  <si>
    <t>Juquitiba</t>
  </si>
  <si>
    <t>Lagoinha</t>
  </si>
  <si>
    <t>Laranjal Paulista</t>
  </si>
  <si>
    <t>Lavínia</t>
  </si>
  <si>
    <t>Lavrinhas</t>
  </si>
  <si>
    <t>Leme</t>
  </si>
  <si>
    <t>Lençóis Paulista</t>
  </si>
  <si>
    <t>Limeira</t>
  </si>
  <si>
    <t>Lindóia</t>
  </si>
  <si>
    <t>Lins</t>
  </si>
  <si>
    <t>Lorena</t>
  </si>
  <si>
    <t>Lourdes</t>
  </si>
  <si>
    <t>Louveira</t>
  </si>
  <si>
    <t>Lucélia</t>
  </si>
  <si>
    <t>Lucianópolis</t>
  </si>
  <si>
    <t>Luís Antônio</t>
  </si>
  <si>
    <t>Luiziânia</t>
  </si>
  <si>
    <t>Lupércio</t>
  </si>
  <si>
    <t>Lutécia</t>
  </si>
  <si>
    <t>Macatuba</t>
  </si>
  <si>
    <t>Macaubal</t>
  </si>
  <si>
    <t>Macedônia</t>
  </si>
  <si>
    <t>Magda</t>
  </si>
  <si>
    <t>Mairinque</t>
  </si>
  <si>
    <t>Mairiporã</t>
  </si>
  <si>
    <t>Manduri</t>
  </si>
  <si>
    <t>Marabá Paulista</t>
  </si>
  <si>
    <t>Maracaí</t>
  </si>
  <si>
    <t>Marapoama</t>
  </si>
  <si>
    <t>Mariápolis</t>
  </si>
  <si>
    <t>Marília</t>
  </si>
  <si>
    <t>Marinópolis</t>
  </si>
  <si>
    <t>Martinópolis</t>
  </si>
  <si>
    <t>Matão</t>
  </si>
  <si>
    <t>Mauá</t>
  </si>
  <si>
    <t>Mendonça</t>
  </si>
  <si>
    <t>Meridiano</t>
  </si>
  <si>
    <t>Mesópolis</t>
  </si>
  <si>
    <t>Miguelópolis</t>
  </si>
  <si>
    <t>Mineiros do Tietê</t>
  </si>
  <si>
    <t>Miracatu</t>
  </si>
  <si>
    <t>Mira Estrela</t>
  </si>
  <si>
    <t>Mirandópolis</t>
  </si>
  <si>
    <t>Mirante do Paranapanema</t>
  </si>
  <si>
    <t>Mirassol</t>
  </si>
  <si>
    <t>Mirassolândia</t>
  </si>
  <si>
    <t>Mococa</t>
  </si>
  <si>
    <t>Mogi das Cruzes</t>
  </si>
  <si>
    <t>Mogi Guaçu</t>
  </si>
  <si>
    <t>Mogi Mirim</t>
  </si>
  <si>
    <t>Mombuca</t>
  </si>
  <si>
    <t>Monções</t>
  </si>
  <si>
    <t>Mongaguá</t>
  </si>
  <si>
    <t>Monte Alegre do Sul</t>
  </si>
  <si>
    <t>Monte Alto</t>
  </si>
  <si>
    <t>Monte Aprazível</t>
  </si>
  <si>
    <t>Monte Azul Paulista</t>
  </si>
  <si>
    <t>Monte Castelo</t>
  </si>
  <si>
    <t>Monteiro Lobato</t>
  </si>
  <si>
    <t>Monte Mor</t>
  </si>
  <si>
    <t>Morro Agudo</t>
  </si>
  <si>
    <t>Morungaba</t>
  </si>
  <si>
    <t>Motuca</t>
  </si>
  <si>
    <t>Murutinga do Sul</t>
  </si>
  <si>
    <t>Nantes</t>
  </si>
  <si>
    <t>Narandiba</t>
  </si>
  <si>
    <t>Natividade da Serra</t>
  </si>
  <si>
    <t>Nazaré Paulista</t>
  </si>
  <si>
    <t>Neves Paulista</t>
  </si>
  <si>
    <t>Nhandeara</t>
  </si>
  <si>
    <t>Nipoã</t>
  </si>
  <si>
    <t>Nova Aliança</t>
  </si>
  <si>
    <t>Nova Campina</t>
  </si>
  <si>
    <t>Nova Canaã Paulista</t>
  </si>
  <si>
    <t>Nova Castilho</t>
  </si>
  <si>
    <t>Nova Europa</t>
  </si>
  <si>
    <t>Nova Granada</t>
  </si>
  <si>
    <t>Nova Guataporanga</t>
  </si>
  <si>
    <t>Nova Independência</t>
  </si>
  <si>
    <t>Novais</t>
  </si>
  <si>
    <t>Nova Luzitânia</t>
  </si>
  <si>
    <t>Nova Odessa</t>
  </si>
  <si>
    <t>Nuporanga</t>
  </si>
  <si>
    <t>Ocauçu</t>
  </si>
  <si>
    <t>Óleo</t>
  </si>
  <si>
    <t>Olímpia</t>
  </si>
  <si>
    <t>Onda Verde</t>
  </si>
  <si>
    <t>Oriente</t>
  </si>
  <si>
    <t>Orindiúva</t>
  </si>
  <si>
    <t>Orlândia</t>
  </si>
  <si>
    <t>Osasco</t>
  </si>
  <si>
    <t>Oscar Bressane</t>
  </si>
  <si>
    <t>Osvaldo Cruz</t>
  </si>
  <si>
    <t>Ourinhos</t>
  </si>
  <si>
    <t>Ouroeste</t>
  </si>
  <si>
    <t>Ouro Verde</t>
  </si>
  <si>
    <t>Pacaembu</t>
  </si>
  <si>
    <t>Palmares Paulista</t>
  </si>
  <si>
    <t>Palmeira D'oeste</t>
  </si>
  <si>
    <t>Palmital</t>
  </si>
  <si>
    <t>Panorama</t>
  </si>
  <si>
    <t>Paraguaçu Paulista</t>
  </si>
  <si>
    <t>Paraibuna</t>
  </si>
  <si>
    <t>Paraíso</t>
  </si>
  <si>
    <t>Paranapanema</t>
  </si>
  <si>
    <t>Paranapuã</t>
  </si>
  <si>
    <t>Parapuã</t>
  </si>
  <si>
    <t>Pardinho</t>
  </si>
  <si>
    <t>Pariquera-Açu</t>
  </si>
  <si>
    <t>Parisi</t>
  </si>
  <si>
    <t>Patrocínio Paulista</t>
  </si>
  <si>
    <t>Paulicéia</t>
  </si>
  <si>
    <t>Paulínia</t>
  </si>
  <si>
    <t>Paulistânia</t>
  </si>
  <si>
    <t>Paulo de Faria</t>
  </si>
  <si>
    <t>Pederneiras</t>
  </si>
  <si>
    <t>Pedra Bela</t>
  </si>
  <si>
    <t>Pedranópolis</t>
  </si>
  <si>
    <t>Pedregulho</t>
  </si>
  <si>
    <t>Pedreira</t>
  </si>
  <si>
    <t>Pedrinhas Paulista</t>
  </si>
  <si>
    <t>Pedro de Toledo</t>
  </si>
  <si>
    <t>Penápolis</t>
  </si>
  <si>
    <t>Pereira Barreto</t>
  </si>
  <si>
    <t>Pereiras</t>
  </si>
  <si>
    <t>Peruíbe</t>
  </si>
  <si>
    <t>Piacatu</t>
  </si>
  <si>
    <t>Piedade</t>
  </si>
  <si>
    <t>Pilar do Sul</t>
  </si>
  <si>
    <t>Pindamonhangaba</t>
  </si>
  <si>
    <t>Pindorama</t>
  </si>
  <si>
    <t>Pinhalzinho</t>
  </si>
  <si>
    <t>Piquerobi</t>
  </si>
  <si>
    <t>Piquete</t>
  </si>
  <si>
    <t>Piracaia</t>
  </si>
  <si>
    <t>Piracicaba</t>
  </si>
  <si>
    <t>Piraju</t>
  </si>
  <si>
    <t>Pirajuí</t>
  </si>
  <si>
    <t>Pirangi</t>
  </si>
  <si>
    <t>Pirapora do Bom Jesus</t>
  </si>
  <si>
    <t>Pirapozinho</t>
  </si>
  <si>
    <t>Pirassununga</t>
  </si>
  <si>
    <t>Piratininga</t>
  </si>
  <si>
    <t>Pitangueiras</t>
  </si>
  <si>
    <t>Platina</t>
  </si>
  <si>
    <t>Poá</t>
  </si>
  <si>
    <t>Poloni</t>
  </si>
  <si>
    <t>Pompéia</t>
  </si>
  <si>
    <t>Pongaí</t>
  </si>
  <si>
    <t>Pontal</t>
  </si>
  <si>
    <t>Pontalinda</t>
  </si>
  <si>
    <t>Pontes Gestal</t>
  </si>
  <si>
    <t>Populina</t>
  </si>
  <si>
    <t>Porangaba</t>
  </si>
  <si>
    <t>Porto Feliz</t>
  </si>
  <si>
    <t>Porto Ferreira</t>
  </si>
  <si>
    <t>Potim</t>
  </si>
  <si>
    <t>Potirendaba</t>
  </si>
  <si>
    <t>Pracinha</t>
  </si>
  <si>
    <t>Pradópolis</t>
  </si>
  <si>
    <t>Praia Grande</t>
  </si>
  <si>
    <t>Pratânia</t>
  </si>
  <si>
    <t>Presidente Alves</t>
  </si>
  <si>
    <t>Presidente Epitácio</t>
  </si>
  <si>
    <t>Presidente Prudente</t>
  </si>
  <si>
    <t>Presidente Venceslau</t>
  </si>
  <si>
    <t>Promissão</t>
  </si>
  <si>
    <t>Quadra</t>
  </si>
  <si>
    <t>Quatá</t>
  </si>
  <si>
    <t>Queiroz</t>
  </si>
  <si>
    <t>Queluz</t>
  </si>
  <si>
    <t>Quintana</t>
  </si>
  <si>
    <t>Rafard</t>
  </si>
  <si>
    <t>Rancharia</t>
  </si>
  <si>
    <t>Redenção da Serra</t>
  </si>
  <si>
    <t>Regente Feijó</t>
  </si>
  <si>
    <t>Reginópolis</t>
  </si>
  <si>
    <t>Registro</t>
  </si>
  <si>
    <t>Restinga</t>
  </si>
  <si>
    <t>Ribeira</t>
  </si>
  <si>
    <t>Ribeirão Bonito</t>
  </si>
  <si>
    <t>Ribeirão Branco</t>
  </si>
  <si>
    <t>Ribeirão Corrente</t>
  </si>
  <si>
    <t>Ribeirão do Sul</t>
  </si>
  <si>
    <t>Ribeirão dos Índios</t>
  </si>
  <si>
    <t>Ribeirão Grande</t>
  </si>
  <si>
    <t>Ribeirão Pires</t>
  </si>
  <si>
    <t>Ribeirão Preto</t>
  </si>
  <si>
    <t>Riversul</t>
  </si>
  <si>
    <t>Rifaina</t>
  </si>
  <si>
    <t>Rincão</t>
  </si>
  <si>
    <t>Rinópolis</t>
  </si>
  <si>
    <t>Rio das Pedras</t>
  </si>
  <si>
    <t>Rio Grande da Serra</t>
  </si>
  <si>
    <t>Riolândia</t>
  </si>
  <si>
    <t>Rosana</t>
  </si>
  <si>
    <t>Roseira</t>
  </si>
  <si>
    <t>Rubiácea</t>
  </si>
  <si>
    <t>Rubinéia</t>
  </si>
  <si>
    <t>Sabino</t>
  </si>
  <si>
    <t>Sagres</t>
  </si>
  <si>
    <t>Sales</t>
  </si>
  <si>
    <t>Sales Oliveira</t>
  </si>
  <si>
    <t>Salesópolis</t>
  </si>
  <si>
    <t>Salmourão</t>
  </si>
  <si>
    <t>Saltinho</t>
  </si>
  <si>
    <t>Salto</t>
  </si>
  <si>
    <t>Salto de Pirapora</t>
  </si>
  <si>
    <t>Salto Grande</t>
  </si>
  <si>
    <t>Sandovalina</t>
  </si>
  <si>
    <t>Santa Adélia</t>
  </si>
  <si>
    <t>Santa Albertina</t>
  </si>
  <si>
    <t>Santa Bárbara D'oeste</t>
  </si>
  <si>
    <t>Santa Branca</t>
  </si>
  <si>
    <t>Santa Clara D'oeste</t>
  </si>
  <si>
    <t>Santa Cruz da Conceição</t>
  </si>
  <si>
    <t>Santa Cruz da Esperança</t>
  </si>
  <si>
    <t>Santa Cruz das Palmeiras</t>
  </si>
  <si>
    <t>Santa Cruz do Rio Pardo</t>
  </si>
  <si>
    <t>Santa Ernestina</t>
  </si>
  <si>
    <t>Santa Fé do Sul</t>
  </si>
  <si>
    <t>Santa Gertrudes</t>
  </si>
  <si>
    <t>Santa Isabel</t>
  </si>
  <si>
    <t>Santa Lúcia</t>
  </si>
  <si>
    <t>Santa Maria da Serra</t>
  </si>
  <si>
    <t>Santa Mercedes</t>
  </si>
  <si>
    <t>Santana da Ponte Pensa</t>
  </si>
  <si>
    <t>Santana de Parnaíba</t>
  </si>
  <si>
    <t>Santa Rita D'oeste</t>
  </si>
  <si>
    <t>Santa Rita do Passa Quatro</t>
  </si>
  <si>
    <t>Santa Rosa de Viterbo</t>
  </si>
  <si>
    <t>Santa Salete</t>
  </si>
  <si>
    <t>Santo Anastácio</t>
  </si>
  <si>
    <t>Santo Antônio da Alegria</t>
  </si>
  <si>
    <t>Santo Antônio de Posse</t>
  </si>
  <si>
    <t>Santo Antônio do Aracanguá</t>
  </si>
  <si>
    <t>Santo Antônio do Jardim</t>
  </si>
  <si>
    <t>Santo Antônio do Pinhal</t>
  </si>
  <si>
    <t>Santo Expedito</t>
  </si>
  <si>
    <t>Santópolis do Aguapeí</t>
  </si>
  <si>
    <t>Santos</t>
  </si>
  <si>
    <t>São Bento do Sapucaí</t>
  </si>
  <si>
    <t>São Bernardo do Campo</t>
  </si>
  <si>
    <t>São Caetano do Sul</t>
  </si>
  <si>
    <t>São Carlos</t>
  </si>
  <si>
    <t>São João da Boa Vista</t>
  </si>
  <si>
    <t>São João das Duas Pontes</t>
  </si>
  <si>
    <t>São João de Iracema</t>
  </si>
  <si>
    <t>São João do Pau D'alho</t>
  </si>
  <si>
    <t>São Joaquim da Barra</t>
  </si>
  <si>
    <t>São José da Bela Vista</t>
  </si>
  <si>
    <t>São José do Barreiro</t>
  </si>
  <si>
    <t>São José do Rio Pardo</t>
  </si>
  <si>
    <t>São José do Rio Preto</t>
  </si>
  <si>
    <t>São José dos Campos</t>
  </si>
  <si>
    <t>São Lourenço da Serra</t>
  </si>
  <si>
    <t>São Luís do Paraitinga</t>
  </si>
  <si>
    <t>São Manuel</t>
  </si>
  <si>
    <t>São Miguel Arcanjo</t>
  </si>
  <si>
    <t>São Paulo</t>
  </si>
  <si>
    <t>São Pedro do Turvo</t>
  </si>
  <si>
    <t>São Roque</t>
  </si>
  <si>
    <t>São Sebastião da Grama</t>
  </si>
  <si>
    <t>São Simão</t>
  </si>
  <si>
    <t>Sarapuí</t>
  </si>
  <si>
    <t>Sarutaiá</t>
  </si>
  <si>
    <t>Sebastianópolis do Sul</t>
  </si>
  <si>
    <t>Serra Azul</t>
  </si>
  <si>
    <t>Serrana</t>
  </si>
  <si>
    <t>Serra Negra</t>
  </si>
  <si>
    <t>Sete Barras</t>
  </si>
  <si>
    <t>Severínia</t>
  </si>
  <si>
    <t>Silveiras</t>
  </si>
  <si>
    <t>Socorro</t>
  </si>
  <si>
    <t>Sorocaba</t>
  </si>
  <si>
    <t>Sud Mennucci</t>
  </si>
  <si>
    <t>Sumaré</t>
  </si>
  <si>
    <t>Suzano</t>
  </si>
  <si>
    <t>Suzanápolis</t>
  </si>
  <si>
    <t>Tabapuã</t>
  </si>
  <si>
    <t>Taboão da Serra</t>
  </si>
  <si>
    <t>Taciba</t>
  </si>
  <si>
    <t>Taguaí</t>
  </si>
  <si>
    <t>Taiaçu</t>
  </si>
  <si>
    <t>Taiúva</t>
  </si>
  <si>
    <t>Tambaú</t>
  </si>
  <si>
    <t>Tanabi</t>
  </si>
  <si>
    <t>Tapiratiba</t>
  </si>
  <si>
    <t>Taquaral</t>
  </si>
  <si>
    <t>Taquaritinga</t>
  </si>
  <si>
    <t>Taquarituba</t>
  </si>
  <si>
    <t>Taquarivaí</t>
  </si>
  <si>
    <t>Tarabai</t>
  </si>
  <si>
    <t>Tarumã</t>
  </si>
  <si>
    <t>Tatuí</t>
  </si>
  <si>
    <t>Taubaté</t>
  </si>
  <si>
    <t>Tejupá</t>
  </si>
  <si>
    <t>Terra Roxa</t>
  </si>
  <si>
    <t>Tietê</t>
  </si>
  <si>
    <t>Timburi</t>
  </si>
  <si>
    <t>Torre de Pedra</t>
  </si>
  <si>
    <t>Torrinha</t>
  </si>
  <si>
    <t>Trabiju</t>
  </si>
  <si>
    <t>Tremembé</t>
  </si>
  <si>
    <t>Três Fronteiras</t>
  </si>
  <si>
    <t>Tuiuti</t>
  </si>
  <si>
    <t>Tupã</t>
  </si>
  <si>
    <t>Tupi Paulista</t>
  </si>
  <si>
    <t>Turiúba</t>
  </si>
  <si>
    <t>Ubarana</t>
  </si>
  <si>
    <t>Ubatuba</t>
  </si>
  <si>
    <t>Ubirajara</t>
  </si>
  <si>
    <t>Uchoa</t>
  </si>
  <si>
    <t>União Paulista</t>
  </si>
  <si>
    <t>Urânia</t>
  </si>
  <si>
    <t>Uru</t>
  </si>
  <si>
    <t>Urupês</t>
  </si>
  <si>
    <t>Valentim Gentil</t>
  </si>
  <si>
    <t>Valinhos</t>
  </si>
  <si>
    <t>Valparaíso</t>
  </si>
  <si>
    <t>Vargem</t>
  </si>
  <si>
    <t>Vargem Grande do Sul</t>
  </si>
  <si>
    <t>Vargem Grande Paulista</t>
  </si>
  <si>
    <t>Várzea Paulista</t>
  </si>
  <si>
    <t>Vinhedo</t>
  </si>
  <si>
    <t>Viradouro</t>
  </si>
  <si>
    <t>Vista Alegre do Alto</t>
  </si>
  <si>
    <t>Vitória Brasil</t>
  </si>
  <si>
    <t>Votorantim</t>
  </si>
  <si>
    <t>Votuporanga</t>
  </si>
  <si>
    <t>Zacarias</t>
  </si>
  <si>
    <t>Chavantes</t>
  </si>
  <si>
    <t>Estiva Gerbi</t>
  </si>
  <si>
    <t>Abatiá</t>
  </si>
  <si>
    <t>Adrianópolis</t>
  </si>
  <si>
    <t>Agudos do Sul</t>
  </si>
  <si>
    <t>Almirante Tamandaré</t>
  </si>
  <si>
    <t>Altamira do Paraná</t>
  </si>
  <si>
    <t>Altônia</t>
  </si>
  <si>
    <t>Alto Paraná</t>
  </si>
  <si>
    <t>Alto Piquiri</t>
  </si>
  <si>
    <t>Alvorada do Sul</t>
  </si>
  <si>
    <t>Amaporã</t>
  </si>
  <si>
    <t>Ampére</t>
  </si>
  <si>
    <t>Anahy</t>
  </si>
  <si>
    <t>Andirá</t>
  </si>
  <si>
    <t>Ângulo</t>
  </si>
  <si>
    <t>Antonina</t>
  </si>
  <si>
    <t>Antônio Olinto</t>
  </si>
  <si>
    <t>Apucarana</t>
  </si>
  <si>
    <t>Arapongas</t>
  </si>
  <si>
    <t>Arapoti</t>
  </si>
  <si>
    <t>Arapuã</t>
  </si>
  <si>
    <t>Araucária</t>
  </si>
  <si>
    <t>Ariranha do Ivaí</t>
  </si>
  <si>
    <t>Assaí</t>
  </si>
  <si>
    <t>Assis Chateaubriand</t>
  </si>
  <si>
    <t>Astorga</t>
  </si>
  <si>
    <t>Balsa Nova</t>
  </si>
  <si>
    <t>Bandeirantes</t>
  </si>
  <si>
    <t>Barbosa Ferraz</t>
  </si>
  <si>
    <t>Barracão</t>
  </si>
  <si>
    <t>Barra do Jacaré</t>
  </si>
  <si>
    <t>Bela Vista da Caroba</t>
  </si>
  <si>
    <t>Bela Vista do Paraíso</t>
  </si>
  <si>
    <t>Bituruna</t>
  </si>
  <si>
    <t>Boa Esperança do Iguaçu</t>
  </si>
  <si>
    <t>Boa Ventura de São Roque</t>
  </si>
  <si>
    <t>Boa Vista da Aparecida</t>
  </si>
  <si>
    <t>Bocaiúva do Sul</t>
  </si>
  <si>
    <t>Bom Jesus do Sul</t>
  </si>
  <si>
    <t>Bom Sucesso do Sul</t>
  </si>
  <si>
    <t>Borrazópolis</t>
  </si>
  <si>
    <t>Braganey</t>
  </si>
  <si>
    <t>Brasilândia do Sul</t>
  </si>
  <si>
    <t>Cafeara</t>
  </si>
  <si>
    <t>Cafezal do Sul</t>
  </si>
  <si>
    <t>Califórnia</t>
  </si>
  <si>
    <t>Cambará</t>
  </si>
  <si>
    <t>Cambé</t>
  </si>
  <si>
    <t>Cambira</t>
  </si>
  <si>
    <t>Campina da Lagoa</t>
  </si>
  <si>
    <t>Campina do Simão</t>
  </si>
  <si>
    <t>Campina Grande do Sul</t>
  </si>
  <si>
    <t>Campo Bonito</t>
  </si>
  <si>
    <t>Campo do Tenente</t>
  </si>
  <si>
    <t>Campo Largo</t>
  </si>
  <si>
    <t>Campo Magro</t>
  </si>
  <si>
    <t>Campo Mourão</t>
  </si>
  <si>
    <t>Cândido de Abreu</t>
  </si>
  <si>
    <t>Candói</t>
  </si>
  <si>
    <t>Capitão Leônidas Marques</t>
  </si>
  <si>
    <t>Carambeí</t>
  </si>
  <si>
    <t>Carlópolis</t>
  </si>
  <si>
    <t>Castro</t>
  </si>
  <si>
    <t>Catanduvas</t>
  </si>
  <si>
    <t>Centenário do Sul</t>
  </si>
  <si>
    <t>Cerro Azul</t>
  </si>
  <si>
    <t>Céu Azul</t>
  </si>
  <si>
    <t>Chopinzinho</t>
  </si>
  <si>
    <t>Cianorte</t>
  </si>
  <si>
    <t>Cidade Gaúcha</t>
  </si>
  <si>
    <t>Clevelândia</t>
  </si>
  <si>
    <t>Colombo</t>
  </si>
  <si>
    <t>Colorado</t>
  </si>
  <si>
    <t>Congonhinhas</t>
  </si>
  <si>
    <t>Conselheiro Mairinck</t>
  </si>
  <si>
    <t>Contenda</t>
  </si>
  <si>
    <t>Corbélia</t>
  </si>
  <si>
    <t>Cornélio Procópio</t>
  </si>
  <si>
    <t>Coronel domingos Soares</t>
  </si>
  <si>
    <t>Coronel Vivida</t>
  </si>
  <si>
    <t>Corumbataí do Sul</t>
  </si>
  <si>
    <t>Cruzeiro do Iguaçu</t>
  </si>
  <si>
    <t>Cruzeiro do Oeste</t>
  </si>
  <si>
    <t>Cruz Machado</t>
  </si>
  <si>
    <t>Cruzmaltina</t>
  </si>
  <si>
    <t>Curitiba</t>
  </si>
  <si>
    <t>Curiúva</t>
  </si>
  <si>
    <t>Diamante do Norte</t>
  </si>
  <si>
    <t>Diamante do Sul</t>
  </si>
  <si>
    <t>Diamante D'oeste</t>
  </si>
  <si>
    <t>dois Vizinhos</t>
  </si>
  <si>
    <t>douradina</t>
  </si>
  <si>
    <t>doutor Camargo</t>
  </si>
  <si>
    <t>Enéas Marques</t>
  </si>
  <si>
    <t>Engenheiro Beltrão</t>
  </si>
  <si>
    <t>Esperança Nova</t>
  </si>
  <si>
    <t>Entre Rios do Oeste</t>
  </si>
  <si>
    <t>Espigão Alto do Iguaçu</t>
  </si>
  <si>
    <t>Farol</t>
  </si>
  <si>
    <t>Faxinal</t>
  </si>
  <si>
    <t>Fazenda Rio Grande</t>
  </si>
  <si>
    <t>Fênix</t>
  </si>
  <si>
    <t>Fernandes Pinheiro</t>
  </si>
  <si>
    <t>Figueira</t>
  </si>
  <si>
    <t>Floraí</t>
  </si>
  <si>
    <t>Flor da Serra do Sul</t>
  </si>
  <si>
    <t>Florestópolis</t>
  </si>
  <si>
    <t>Flórida</t>
  </si>
  <si>
    <t>Formosa do Oeste</t>
  </si>
  <si>
    <t>Foz do Iguaçu</t>
  </si>
  <si>
    <t>Francisco Alves</t>
  </si>
  <si>
    <t>Francisco Beltrão</t>
  </si>
  <si>
    <t>Foz do Jordão</t>
  </si>
  <si>
    <t>General Carneiro</t>
  </si>
  <si>
    <t>Godoy Moreira</t>
  </si>
  <si>
    <t>Goioerê</t>
  </si>
  <si>
    <t>Goioxim</t>
  </si>
  <si>
    <t>Grandes Rios</t>
  </si>
  <si>
    <t>Guairaçá</t>
  </si>
  <si>
    <t>Guamiranga</t>
  </si>
  <si>
    <t>Guapirama</t>
  </si>
  <si>
    <t>Guaporema</t>
  </si>
  <si>
    <t>Guaraniaçu</t>
  </si>
  <si>
    <t>Guarapuava</t>
  </si>
  <si>
    <t>Guaraqueçaba</t>
  </si>
  <si>
    <t>Guaratuba</t>
  </si>
  <si>
    <t>Honório Serpa</t>
  </si>
  <si>
    <t>Ibaiti</t>
  </si>
  <si>
    <t>Ibema</t>
  </si>
  <si>
    <t>Ibiporã</t>
  </si>
  <si>
    <t>Icaraíma</t>
  </si>
  <si>
    <t>Iguaraçu</t>
  </si>
  <si>
    <t>Imbaú</t>
  </si>
  <si>
    <t>Imbituva</t>
  </si>
  <si>
    <t>Inácio Martins</t>
  </si>
  <si>
    <t>Ipiranga</t>
  </si>
  <si>
    <t>Iporã</t>
  </si>
  <si>
    <t>Iracema do Oeste</t>
  </si>
  <si>
    <t>Irati</t>
  </si>
  <si>
    <t>Iretama</t>
  </si>
  <si>
    <t>Itaguajé</t>
  </si>
  <si>
    <t>Itaipulândia</t>
  </si>
  <si>
    <t>Itambaracá</t>
  </si>
  <si>
    <t>Itapejara D'oeste</t>
  </si>
  <si>
    <t>Itaperuçu</t>
  </si>
  <si>
    <t>Itaúna do Sul</t>
  </si>
  <si>
    <t>Ivaí</t>
  </si>
  <si>
    <t>Ivaiporã</t>
  </si>
  <si>
    <t>Ivaté</t>
  </si>
  <si>
    <t>Ivatuba</t>
  </si>
  <si>
    <t>Jaboti</t>
  </si>
  <si>
    <t>Jacarezinho</t>
  </si>
  <si>
    <t>Jaguapitã</t>
  </si>
  <si>
    <t>Jaguariaíva</t>
  </si>
  <si>
    <t>Jandaia do Sul</t>
  </si>
  <si>
    <t>Janiópolis</t>
  </si>
  <si>
    <t>Japira</t>
  </si>
  <si>
    <t>Jardim Alegre</t>
  </si>
  <si>
    <t>Jardim Olinda</t>
  </si>
  <si>
    <t>Jataizinho</t>
  </si>
  <si>
    <t>Jesuítas</t>
  </si>
  <si>
    <t>Joaquim Távora</t>
  </si>
  <si>
    <t>Jundiaí do Sul</t>
  </si>
  <si>
    <t>Juranda</t>
  </si>
  <si>
    <t>Kaloré</t>
  </si>
  <si>
    <t>Lapa</t>
  </si>
  <si>
    <t>Laranjeiras do Sul</t>
  </si>
  <si>
    <t>Leópolis</t>
  </si>
  <si>
    <t>Lidianópolis</t>
  </si>
  <si>
    <t>Lindoeste</t>
  </si>
  <si>
    <t>Loanda</t>
  </si>
  <si>
    <t>Lobato</t>
  </si>
  <si>
    <t>Londrina</t>
  </si>
  <si>
    <t>Luiziana</t>
  </si>
  <si>
    <t>Lunardelli</t>
  </si>
  <si>
    <t>Lupionópolis</t>
  </si>
  <si>
    <t>Mallet</t>
  </si>
  <si>
    <t>Mamborê</t>
  </si>
  <si>
    <t>Mandaguaçu</t>
  </si>
  <si>
    <t>Mandaguari</t>
  </si>
  <si>
    <t>Mandirituba</t>
  </si>
  <si>
    <t>Manfrinópolis</t>
  </si>
  <si>
    <t>Mangueirinha</t>
  </si>
  <si>
    <t>Manoel Ribas</t>
  </si>
  <si>
    <t>Marechal Cândido Rondon</t>
  </si>
  <si>
    <t>Maria Helena</t>
  </si>
  <si>
    <t>Marialva</t>
  </si>
  <si>
    <t>Marilândia do Sul</t>
  </si>
  <si>
    <t>Marilena</t>
  </si>
  <si>
    <t>Mariluz</t>
  </si>
  <si>
    <t>Maringá</t>
  </si>
  <si>
    <t>Mariópolis</t>
  </si>
  <si>
    <t>Maripá</t>
  </si>
  <si>
    <t>Marmeleiro</t>
  </si>
  <si>
    <t>Marquinho</t>
  </si>
  <si>
    <t>Marumbi</t>
  </si>
  <si>
    <t>Matelândia</t>
  </si>
  <si>
    <t>Matinhos</t>
  </si>
  <si>
    <t>Mato Rico</t>
  </si>
  <si>
    <t>Mauá da Serra</t>
  </si>
  <si>
    <t>Medianeira</t>
  </si>
  <si>
    <t>Mercedes</t>
  </si>
  <si>
    <t>Miraselva</t>
  </si>
  <si>
    <t>Missal</t>
  </si>
  <si>
    <t>Moreira Sales</t>
  </si>
  <si>
    <t>Morretes</t>
  </si>
  <si>
    <t>Munhoz de Melo</t>
  </si>
  <si>
    <t>Nossa Senhora das Graças</t>
  </si>
  <si>
    <t>Nova Aliança do Ivaí</t>
  </si>
  <si>
    <t>Nova América da Colina</t>
  </si>
  <si>
    <t>Nova Aurora</t>
  </si>
  <si>
    <t>Nova Cantu</t>
  </si>
  <si>
    <t>Nova Esperança</t>
  </si>
  <si>
    <t>Nova Esperança do Sudoeste</t>
  </si>
  <si>
    <t>Nova Laranjeiras</t>
  </si>
  <si>
    <t>Nova Londrina</t>
  </si>
  <si>
    <t>Nova Olímpia</t>
  </si>
  <si>
    <t>Nova Santa Bárbara</t>
  </si>
  <si>
    <t>Nova Santa Rosa</t>
  </si>
  <si>
    <t>Nova Prata do Iguaçu</t>
  </si>
  <si>
    <t>Nova Tebas</t>
  </si>
  <si>
    <t>Novo Itacolomi</t>
  </si>
  <si>
    <t>Ortigueira</t>
  </si>
  <si>
    <t>Ourizona</t>
  </si>
  <si>
    <t>Ouro Verde do Oeste</t>
  </si>
  <si>
    <t>Paiçandu</t>
  </si>
  <si>
    <t>Palmeira</t>
  </si>
  <si>
    <t>Palotina</t>
  </si>
  <si>
    <t>Paraíso do Norte</t>
  </si>
  <si>
    <t>Paranacity</t>
  </si>
  <si>
    <t>Paranaguá</t>
  </si>
  <si>
    <t>Paranapoema</t>
  </si>
  <si>
    <t>Paranavaí</t>
  </si>
  <si>
    <t>Pato Bragado</t>
  </si>
  <si>
    <t>Pato Branco</t>
  </si>
  <si>
    <t>Paula Freitas</t>
  </si>
  <si>
    <t>Paulo Frontin</t>
  </si>
  <si>
    <t>Peabiru</t>
  </si>
  <si>
    <t>Perobal</t>
  </si>
  <si>
    <t>Pérola</t>
  </si>
  <si>
    <t>Pérola D'oeste</t>
  </si>
  <si>
    <t>Piên</t>
  </si>
  <si>
    <t>Pinhais</t>
  </si>
  <si>
    <t>Pinhalão</t>
  </si>
  <si>
    <t>Pinhal de São Bento</t>
  </si>
  <si>
    <t>Piraí do Sul</t>
  </si>
  <si>
    <t>Piraquara</t>
  </si>
  <si>
    <t>Pitanga</t>
  </si>
  <si>
    <t>Planaltina do Paraná</t>
  </si>
  <si>
    <t>Ponta Grossa</t>
  </si>
  <si>
    <t>Pontal do Paraná</t>
  </si>
  <si>
    <t>Porecatu</t>
  </si>
  <si>
    <t>Porto Amazonas</t>
  </si>
  <si>
    <t>Porto Barreiro</t>
  </si>
  <si>
    <t>Porto Rico</t>
  </si>
  <si>
    <t>Porto Vitória</t>
  </si>
  <si>
    <t>Prado Ferreira</t>
  </si>
  <si>
    <t>Pranchita</t>
  </si>
  <si>
    <t>Presidente Castelo Branco</t>
  </si>
  <si>
    <t>Primeiro de Maio</t>
  </si>
  <si>
    <t>Prudentópolis</t>
  </si>
  <si>
    <t>Quarto Centenário</t>
  </si>
  <si>
    <t>Quatiguá</t>
  </si>
  <si>
    <t>Quatro Barras</t>
  </si>
  <si>
    <t>Quatro Pontes</t>
  </si>
  <si>
    <t>Quedas do Iguaçu</t>
  </si>
  <si>
    <t>Querência do Norte</t>
  </si>
  <si>
    <t>Quinta do Sol</t>
  </si>
  <si>
    <t>Quitandinha</t>
  </si>
  <si>
    <t>Ramilândia</t>
  </si>
  <si>
    <t>Rancho Alegre</t>
  </si>
  <si>
    <t>Rancho Alegre D'oeste</t>
  </si>
  <si>
    <t>Realeza</t>
  </si>
  <si>
    <t>Rebouças</t>
  </si>
  <si>
    <t>Renascença</t>
  </si>
  <si>
    <t>Reserva</t>
  </si>
  <si>
    <t>Reserva do Iguaçu</t>
  </si>
  <si>
    <t>Ribeirão Claro</t>
  </si>
  <si>
    <t>Ribeirão do Pinhal</t>
  </si>
  <si>
    <t>Rio Azul</t>
  </si>
  <si>
    <t>Rio Bom</t>
  </si>
  <si>
    <t>Rio Bonito do Iguaçu</t>
  </si>
  <si>
    <t>Rio Branco do Ivaí</t>
  </si>
  <si>
    <t>Rio Branco do Sul</t>
  </si>
  <si>
    <t>Rio Negro</t>
  </si>
  <si>
    <t>Rolândia</t>
  </si>
  <si>
    <t>Roncador</t>
  </si>
  <si>
    <t>Rondon</t>
  </si>
  <si>
    <t>Rosário do Ivaí</t>
  </si>
  <si>
    <t>Sabáudia</t>
  </si>
  <si>
    <t>Salgado Filho</t>
  </si>
  <si>
    <t>Salto do Itararé</t>
  </si>
  <si>
    <t>Salto do Lontra</t>
  </si>
  <si>
    <t>Santa Amélia</t>
  </si>
  <si>
    <t>Santa Cecília do Pavão</t>
  </si>
  <si>
    <t>Santa Cruz de Monte Castelo</t>
  </si>
  <si>
    <t>Santa Fé</t>
  </si>
  <si>
    <t>Santa Isabel do Ivaí</t>
  </si>
  <si>
    <t>Santa Izabel do Oeste</t>
  </si>
  <si>
    <t>Santa Maria do Oeste</t>
  </si>
  <si>
    <t>Santa Mariana</t>
  </si>
  <si>
    <t>Santa Mônica</t>
  </si>
  <si>
    <t>Santana do Itararé</t>
  </si>
  <si>
    <t>Santa Tereza do Oeste</t>
  </si>
  <si>
    <t>Santa Terezinha de Itaipu</t>
  </si>
  <si>
    <t>Santo Antônio da Platina</t>
  </si>
  <si>
    <t>Santo Antônio do Caiuá</t>
  </si>
  <si>
    <t>Santo Antônio do Paraíso</t>
  </si>
  <si>
    <t>Santo Antônio do Sudoeste</t>
  </si>
  <si>
    <t>Santo Inácio</t>
  </si>
  <si>
    <t>São Carlos do Ivaí</t>
  </si>
  <si>
    <t>São Jerônimo da Serra</t>
  </si>
  <si>
    <t>São João do Caiuá</t>
  </si>
  <si>
    <t>São João do Ivaí</t>
  </si>
  <si>
    <t>São João do Triunfo</t>
  </si>
  <si>
    <t>São Jorge D'oeste</t>
  </si>
  <si>
    <t>São Jorge do Ivaí</t>
  </si>
  <si>
    <t>São Jorge do Patrocínio</t>
  </si>
  <si>
    <t>São José da Boa Vista</t>
  </si>
  <si>
    <t>São José das Palmeiras</t>
  </si>
  <si>
    <t>São José dos Pinhais</t>
  </si>
  <si>
    <t>São Manoel do Paraná</t>
  </si>
  <si>
    <t>São Mateus do Sul</t>
  </si>
  <si>
    <t>São Miguel do Iguaçu</t>
  </si>
  <si>
    <t>São Pedro do Iguaçu</t>
  </si>
  <si>
    <t>São Pedro do Ivaí</t>
  </si>
  <si>
    <t>São Pedro do Paraná</t>
  </si>
  <si>
    <t>São Sebastião da Amoreira</t>
  </si>
  <si>
    <t>Sapopema</t>
  </si>
  <si>
    <t>Sarandi</t>
  </si>
  <si>
    <t>Saudade do Iguaçu</t>
  </si>
  <si>
    <t>Sengés</t>
  </si>
  <si>
    <t>Serranópolis do Iguaçu</t>
  </si>
  <si>
    <t>Sertaneja</t>
  </si>
  <si>
    <t>Sertanópolis</t>
  </si>
  <si>
    <t>Siqueira Campos</t>
  </si>
  <si>
    <t>Sulina</t>
  </si>
  <si>
    <t>Tamarana</t>
  </si>
  <si>
    <t>Tamboara</t>
  </si>
  <si>
    <t>Tapejara</t>
  </si>
  <si>
    <t>Teixeira Soares</t>
  </si>
  <si>
    <t>Telêmaco Borba</t>
  </si>
  <si>
    <t>Terra Boa</t>
  </si>
  <si>
    <t>Terra Rica</t>
  </si>
  <si>
    <t>Tibagi</t>
  </si>
  <si>
    <t>Tijucas do Sul</t>
  </si>
  <si>
    <t>Tomazina</t>
  </si>
  <si>
    <t>Três Barras do Paraná</t>
  </si>
  <si>
    <t>Tunas do Paraná</t>
  </si>
  <si>
    <t>Tuneiras do Oeste</t>
  </si>
  <si>
    <t>Tupãssi</t>
  </si>
  <si>
    <t>Turvo</t>
  </si>
  <si>
    <t>Ubiratã</t>
  </si>
  <si>
    <t>Umuarama</t>
  </si>
  <si>
    <t>União da Vitória</t>
  </si>
  <si>
    <t>Uniflor</t>
  </si>
  <si>
    <t>Uraí</t>
  </si>
  <si>
    <t>Ventania</t>
  </si>
  <si>
    <t>Vera Cruz do Oeste</t>
  </si>
  <si>
    <t>Verê</t>
  </si>
  <si>
    <t>doutor Ulysses</t>
  </si>
  <si>
    <t>Virmond</t>
  </si>
  <si>
    <t>Vitorino</t>
  </si>
  <si>
    <t>Xambrê</t>
  </si>
  <si>
    <t>Abdon Batista</t>
  </si>
  <si>
    <t>Abelardo Luz</t>
  </si>
  <si>
    <t>Agrolândia</t>
  </si>
  <si>
    <t>Agronômica</t>
  </si>
  <si>
    <t>Água doce</t>
  </si>
  <si>
    <t>Águas de Chapecó</t>
  </si>
  <si>
    <t>Águas Frias</t>
  </si>
  <si>
    <t>Águas Mornas</t>
  </si>
  <si>
    <t>Alfredo Wagner</t>
  </si>
  <si>
    <t>Alto Bela Vista</t>
  </si>
  <si>
    <t>Angelina</t>
  </si>
  <si>
    <t>Anita Garibaldi</t>
  </si>
  <si>
    <t>Anitápolis</t>
  </si>
  <si>
    <t>Apiúna</t>
  </si>
  <si>
    <t>Arabutã</t>
  </si>
  <si>
    <t>Araquari</t>
  </si>
  <si>
    <t>Araranguá</t>
  </si>
  <si>
    <t>Armazém</t>
  </si>
  <si>
    <t>Arroio Trinta</t>
  </si>
  <si>
    <t>Arvoredo</t>
  </si>
  <si>
    <t>Ascurra</t>
  </si>
  <si>
    <t>Atalanta</t>
  </si>
  <si>
    <t>Balneário Arroio do Silva</t>
  </si>
  <si>
    <t>Balneário Camboriú</t>
  </si>
  <si>
    <t>Balneário Barra do Sul</t>
  </si>
  <si>
    <t>Balneário Gaivota</t>
  </si>
  <si>
    <t>Bandeirante</t>
  </si>
  <si>
    <t>Barra Velha</t>
  </si>
  <si>
    <t>Bela Vista do Toldo</t>
  </si>
  <si>
    <t>Benedito Novo</t>
  </si>
  <si>
    <t>Biguaçu</t>
  </si>
  <si>
    <t>Blumenau</t>
  </si>
  <si>
    <t>Bocaina do Sul</t>
  </si>
  <si>
    <t>Bombinhas</t>
  </si>
  <si>
    <t>Bom Jardim da Serra</t>
  </si>
  <si>
    <t>Bom Jesus do Oeste</t>
  </si>
  <si>
    <t>Bom Retiro</t>
  </si>
  <si>
    <t>Botuverá</t>
  </si>
  <si>
    <t>Braço do Norte</t>
  </si>
  <si>
    <t>Braço do Trombudo</t>
  </si>
  <si>
    <t>Brunópolis</t>
  </si>
  <si>
    <t>Brusque</t>
  </si>
  <si>
    <t>Caçador</t>
  </si>
  <si>
    <t>Caibi</t>
  </si>
  <si>
    <t>Calmon</t>
  </si>
  <si>
    <t>Camboriú</t>
  </si>
  <si>
    <t>Capão Alto</t>
  </si>
  <si>
    <t>Campo Belo do Sul</t>
  </si>
  <si>
    <t>Campo Erê</t>
  </si>
  <si>
    <t>Campos Novos</t>
  </si>
  <si>
    <t>Canelinha</t>
  </si>
  <si>
    <t>Canoinhas</t>
  </si>
  <si>
    <t>Capinzal</t>
  </si>
  <si>
    <t>Capivari de Baixo</t>
  </si>
  <si>
    <t>Caxambu do Sul</t>
  </si>
  <si>
    <t>Celso Ramos</t>
  </si>
  <si>
    <t>Cerro Negro</t>
  </si>
  <si>
    <t>Chapadão do Lageado</t>
  </si>
  <si>
    <t>Chapecó</t>
  </si>
  <si>
    <t>Cocal do Sul</t>
  </si>
  <si>
    <t>Concórdia</t>
  </si>
  <si>
    <t>Cordilheira Alta</t>
  </si>
  <si>
    <t>Coronel Freitas</t>
  </si>
  <si>
    <t>Coronel Martins</t>
  </si>
  <si>
    <t>Corupá</t>
  </si>
  <si>
    <t>Correia Pinto</t>
  </si>
  <si>
    <t>Criciúma</t>
  </si>
  <si>
    <t>Cunha Porã</t>
  </si>
  <si>
    <t>Cunhataí</t>
  </si>
  <si>
    <t>Curitibanos</t>
  </si>
  <si>
    <t>descanso</t>
  </si>
  <si>
    <t>Dionísio Cerqueira</t>
  </si>
  <si>
    <t>dona Emma</t>
  </si>
  <si>
    <t>doutor Pedrinho</t>
  </si>
  <si>
    <t>Ermo</t>
  </si>
  <si>
    <t>Erval Velho</t>
  </si>
  <si>
    <t>Faxinal dos Guedes</t>
  </si>
  <si>
    <t>Flor do Sertão</t>
  </si>
  <si>
    <t>Florianópolis</t>
  </si>
  <si>
    <t>Formosa do Sul</t>
  </si>
  <si>
    <t>Forquilhinha</t>
  </si>
  <si>
    <t>Fraiburgo</t>
  </si>
  <si>
    <t>Frei Rogério</t>
  </si>
  <si>
    <t>Galvão</t>
  </si>
  <si>
    <t>Garopaba</t>
  </si>
  <si>
    <t>Garuva</t>
  </si>
  <si>
    <t>Gaspar</t>
  </si>
  <si>
    <t>Governador Celso Ramos</t>
  </si>
  <si>
    <t>Grão Pará</t>
  </si>
  <si>
    <t>Gravatal</t>
  </si>
  <si>
    <t>Guabiruba</t>
  </si>
  <si>
    <t>Guaramirim</t>
  </si>
  <si>
    <t>Guarujá do Sul</t>
  </si>
  <si>
    <t>Guatambú</t>
  </si>
  <si>
    <t>Herval D'oeste</t>
  </si>
  <si>
    <t>Ibiam</t>
  </si>
  <si>
    <t>Ibicaré</t>
  </si>
  <si>
    <t>Ibirama</t>
  </si>
  <si>
    <t>Içara</t>
  </si>
  <si>
    <t>Ilhota</t>
  </si>
  <si>
    <t>Imaruí</t>
  </si>
  <si>
    <t>Imbituba</t>
  </si>
  <si>
    <t>Imbuia</t>
  </si>
  <si>
    <t>Indaial</t>
  </si>
  <si>
    <t>Iomerê</t>
  </si>
  <si>
    <t>Ipira</t>
  </si>
  <si>
    <t>Iporã do Oeste</t>
  </si>
  <si>
    <t>Ipuaçu</t>
  </si>
  <si>
    <t>Ipumirim</t>
  </si>
  <si>
    <t>Iraceminha</t>
  </si>
  <si>
    <t>Irani</t>
  </si>
  <si>
    <t>Irineópolis</t>
  </si>
  <si>
    <t>Itá</t>
  </si>
  <si>
    <t>Itaiópolis</t>
  </si>
  <si>
    <t>Itajaí</t>
  </si>
  <si>
    <t>Itapema</t>
  </si>
  <si>
    <t>Itapoá</t>
  </si>
  <si>
    <t>Ituporanga</t>
  </si>
  <si>
    <t>Jaborá</t>
  </si>
  <si>
    <t>Jacinto Machado</t>
  </si>
  <si>
    <t>Jaguaruna</t>
  </si>
  <si>
    <t>Jaraguá do Sul</t>
  </si>
  <si>
    <t>Joaçaba</t>
  </si>
  <si>
    <t>Joinville</t>
  </si>
  <si>
    <t>José Boiteux</t>
  </si>
  <si>
    <t>Jupiá</t>
  </si>
  <si>
    <t>Lacerdópolis</t>
  </si>
  <si>
    <t>Lages</t>
  </si>
  <si>
    <t>Laguna</t>
  </si>
  <si>
    <t>Lajeado Grande</t>
  </si>
  <si>
    <t>Laurentino</t>
  </si>
  <si>
    <t>Lauro Muller</t>
  </si>
  <si>
    <t>Lebon Régis</t>
  </si>
  <si>
    <t>Leoberto Leal</t>
  </si>
  <si>
    <t>Lindóia do Sul</t>
  </si>
  <si>
    <t>Lontras</t>
  </si>
  <si>
    <t>Luiz Alves</t>
  </si>
  <si>
    <t>Luzerna</t>
  </si>
  <si>
    <t>Macieira</t>
  </si>
  <si>
    <t>Mafra</t>
  </si>
  <si>
    <t>Major Gercino</t>
  </si>
  <si>
    <t>Major Vieira</t>
  </si>
  <si>
    <t>Maracajá</t>
  </si>
  <si>
    <t>Marema</t>
  </si>
  <si>
    <t>Matos Costa</t>
  </si>
  <si>
    <t>Meleiro</t>
  </si>
  <si>
    <t>Mirim doce</t>
  </si>
  <si>
    <t>Modelo</t>
  </si>
  <si>
    <t>Mondaí</t>
  </si>
  <si>
    <t>Monte Carlo</t>
  </si>
  <si>
    <t>Morro da Fumaça</t>
  </si>
  <si>
    <t>Morro Grande</t>
  </si>
  <si>
    <t>Navegantes</t>
  </si>
  <si>
    <t>Nova Erechim</t>
  </si>
  <si>
    <t>Nova Itaberaba</t>
  </si>
  <si>
    <t>Nova Trento</t>
  </si>
  <si>
    <t>Nova Veneza</t>
  </si>
  <si>
    <t>Orleans</t>
  </si>
  <si>
    <t>Otacílio Costa</t>
  </si>
  <si>
    <t>Ouro</t>
  </si>
  <si>
    <t>Paial</t>
  </si>
  <si>
    <t>Painel</t>
  </si>
  <si>
    <t>Palhoça</t>
  </si>
  <si>
    <t>Palma Sola</t>
  </si>
  <si>
    <t>Palmitos</t>
  </si>
  <si>
    <t>Papanduva</t>
  </si>
  <si>
    <t>Passo de Torres</t>
  </si>
  <si>
    <t>Passos Maia</t>
  </si>
  <si>
    <t>Paulo Lopes</t>
  </si>
  <si>
    <t>Pedras Grandes</t>
  </si>
  <si>
    <t>Penha</t>
  </si>
  <si>
    <t>Peritiba</t>
  </si>
  <si>
    <t>Pescaria Brava</t>
  </si>
  <si>
    <t>Balneário Piçarras</t>
  </si>
  <si>
    <t>Pinheiro Preto</t>
  </si>
  <si>
    <t>Piratuba</t>
  </si>
  <si>
    <t>Planalto Alegre</t>
  </si>
  <si>
    <t>Pomerode</t>
  </si>
  <si>
    <t>Ponte Alta</t>
  </si>
  <si>
    <t>Ponte Alta do Norte</t>
  </si>
  <si>
    <t>Ponte Serrada</t>
  </si>
  <si>
    <t>Porto Belo</t>
  </si>
  <si>
    <t>Porto União</t>
  </si>
  <si>
    <t>Pouso Redondo</t>
  </si>
  <si>
    <t>Presidente Castello Branco</t>
  </si>
  <si>
    <t>Presidente Getúlio</t>
  </si>
  <si>
    <t>Presidente Nereu</t>
  </si>
  <si>
    <t>Princesa</t>
  </si>
  <si>
    <t>Quilombo</t>
  </si>
  <si>
    <t>Rancho Queimado</t>
  </si>
  <si>
    <t>Rio das Antas</t>
  </si>
  <si>
    <t>Rio do Campo</t>
  </si>
  <si>
    <t>Rio do Oeste</t>
  </si>
  <si>
    <t>Rio dos Cedros</t>
  </si>
  <si>
    <t>Rio do Sul</t>
  </si>
  <si>
    <t>Rio Fortuna</t>
  </si>
  <si>
    <t>Rio Negrinho</t>
  </si>
  <si>
    <t>Rio Rufino</t>
  </si>
  <si>
    <t>Riqueza</t>
  </si>
  <si>
    <t>Rodeio</t>
  </si>
  <si>
    <t>Romelândia</t>
  </si>
  <si>
    <t>Salete</t>
  </si>
  <si>
    <t>Salto Veloso</t>
  </si>
  <si>
    <t>Sangão</t>
  </si>
  <si>
    <t>Santa Rosa do Sul</t>
  </si>
  <si>
    <t>Santa Terezinha do Progresso</t>
  </si>
  <si>
    <t>Santiago do Sul</t>
  </si>
  <si>
    <t>Santo Amaro da Imperatriz</t>
  </si>
  <si>
    <t>São Bernardino</t>
  </si>
  <si>
    <t>São Bento do Sul</t>
  </si>
  <si>
    <t>São Bonifácio</t>
  </si>
  <si>
    <t>São Cristovão do Sul</t>
  </si>
  <si>
    <t>São Francisco do Sul</t>
  </si>
  <si>
    <t>São João do Oeste</t>
  </si>
  <si>
    <t>São João do Itaperiú</t>
  </si>
  <si>
    <t>São João do Sul</t>
  </si>
  <si>
    <t>São Joaquim</t>
  </si>
  <si>
    <t>São José</t>
  </si>
  <si>
    <t>São José do Cedro</t>
  </si>
  <si>
    <t>São José do Cerrito</t>
  </si>
  <si>
    <t>São Lourenço do Oeste</t>
  </si>
  <si>
    <t>São Ludgero</t>
  </si>
  <si>
    <t>São Martinho</t>
  </si>
  <si>
    <t>São Miguel da Boa Vista</t>
  </si>
  <si>
    <t>São Miguel do Oeste</t>
  </si>
  <si>
    <t>São Pedro de Alcântara</t>
  </si>
  <si>
    <t>Saudades</t>
  </si>
  <si>
    <t>Schroeder</t>
  </si>
  <si>
    <t>Seara</t>
  </si>
  <si>
    <t>Serra Alta</t>
  </si>
  <si>
    <t>Siderópolis</t>
  </si>
  <si>
    <t>Sombrio</t>
  </si>
  <si>
    <t>Sul Brasil</t>
  </si>
  <si>
    <t>Taió</t>
  </si>
  <si>
    <t>Tigrinhos</t>
  </si>
  <si>
    <t>Tijucas</t>
  </si>
  <si>
    <t>Timbé do Sul</t>
  </si>
  <si>
    <t>Timbó</t>
  </si>
  <si>
    <t>Timbó Grande</t>
  </si>
  <si>
    <t>Três Barras</t>
  </si>
  <si>
    <t>Treviso</t>
  </si>
  <si>
    <t>Treze de Maio</t>
  </si>
  <si>
    <t>Treze Tílias</t>
  </si>
  <si>
    <t>Trombudo Central</t>
  </si>
  <si>
    <t>Tubarão</t>
  </si>
  <si>
    <t>Tunápolis</t>
  </si>
  <si>
    <t>União do Oeste</t>
  </si>
  <si>
    <t>Urubici</t>
  </si>
  <si>
    <t>Urupema</t>
  </si>
  <si>
    <t>Urussanga</t>
  </si>
  <si>
    <t>Vargeão</t>
  </si>
  <si>
    <t>Vidal Ramos</t>
  </si>
  <si>
    <t>Videira</t>
  </si>
  <si>
    <t>Vitor Meireles</t>
  </si>
  <si>
    <t>Witmarsum</t>
  </si>
  <si>
    <t>Xanxerê</t>
  </si>
  <si>
    <t>Xavantina</t>
  </si>
  <si>
    <t>Xaxim</t>
  </si>
  <si>
    <t>Zortéa</t>
  </si>
  <si>
    <t>Balneário Rincão</t>
  </si>
  <si>
    <t>Aceguá</t>
  </si>
  <si>
    <t>Água Santa</t>
  </si>
  <si>
    <t>Agudo</t>
  </si>
  <si>
    <t>Ajuricaba</t>
  </si>
  <si>
    <t>Alecrim</t>
  </si>
  <si>
    <t>Alegrete</t>
  </si>
  <si>
    <t>Alegria</t>
  </si>
  <si>
    <t>Almirante Tamandaré do Sul</t>
  </si>
  <si>
    <t>Alpestre</t>
  </si>
  <si>
    <t>Alto Feliz</t>
  </si>
  <si>
    <t>Amaral Ferrador</t>
  </si>
  <si>
    <t>Ametista do Sul</t>
  </si>
  <si>
    <t>André da Rocha</t>
  </si>
  <si>
    <t>Anta Gorda</t>
  </si>
  <si>
    <t>Antônio Prado</t>
  </si>
  <si>
    <t>Arambaré</t>
  </si>
  <si>
    <t>Araricá</t>
  </si>
  <si>
    <t>Aratiba</t>
  </si>
  <si>
    <t>Arroio do Meio</t>
  </si>
  <si>
    <t>Arroio do Sal</t>
  </si>
  <si>
    <t>Arroio do Padre</t>
  </si>
  <si>
    <t>Arroio dos Ratos</t>
  </si>
  <si>
    <t>Arroio do Tigre</t>
  </si>
  <si>
    <t>Arroio Grande</t>
  </si>
  <si>
    <t>Arvorezinha</t>
  </si>
  <si>
    <t>Augusto Pestana</t>
  </si>
  <si>
    <t>Áurea</t>
  </si>
  <si>
    <t>Bagé</t>
  </si>
  <si>
    <t>Balneário Pinhal</t>
  </si>
  <si>
    <t>Barão</t>
  </si>
  <si>
    <t>Barão de Cotegipe</t>
  </si>
  <si>
    <t>Barão do Triunfo</t>
  </si>
  <si>
    <t>Barra do Guarita</t>
  </si>
  <si>
    <t>Barra do Quaraí</t>
  </si>
  <si>
    <t>Barra do Ribeiro</t>
  </si>
  <si>
    <t>Barra do Rio Azul</t>
  </si>
  <si>
    <t>Barra Funda</t>
  </si>
  <si>
    <t>Barros Cassal</t>
  </si>
  <si>
    <t>Benjamin Constant do Sul</t>
  </si>
  <si>
    <t>Bento Gonçalves</t>
  </si>
  <si>
    <t>Boa Vista das Missões</t>
  </si>
  <si>
    <t>Boa Vista do Buricá</t>
  </si>
  <si>
    <t>Boa Vista do Cadeado</t>
  </si>
  <si>
    <t>Boa Vista do Incra</t>
  </si>
  <si>
    <t>Boa Vista do Sul</t>
  </si>
  <si>
    <t>Bom Princípio</t>
  </si>
  <si>
    <t>Bom Progresso</t>
  </si>
  <si>
    <t>Bom Retiro do Sul</t>
  </si>
  <si>
    <t>Boqueirão do Leão</t>
  </si>
  <si>
    <t>Bossoroca</t>
  </si>
  <si>
    <t>Bozano</t>
  </si>
  <si>
    <t>Braga</t>
  </si>
  <si>
    <t>Brochier</t>
  </si>
  <si>
    <t>Butiá</t>
  </si>
  <si>
    <t>Caçapava do Sul</t>
  </si>
  <si>
    <t>Cacequi</t>
  </si>
  <si>
    <t>Cachoeira do Sul</t>
  </si>
  <si>
    <t>Cacique doble</t>
  </si>
  <si>
    <t>Caibaté</t>
  </si>
  <si>
    <t>Camaquã</t>
  </si>
  <si>
    <t>Camargo</t>
  </si>
  <si>
    <t>Cambará do Sul</t>
  </si>
  <si>
    <t>Campestre da Serra</t>
  </si>
  <si>
    <t>Campina das Missões</t>
  </si>
  <si>
    <t>Campinas do Sul</t>
  </si>
  <si>
    <t>Campo Bom</t>
  </si>
  <si>
    <t>Campo Novo</t>
  </si>
  <si>
    <t>Campos Borges</t>
  </si>
  <si>
    <t>Candelária</t>
  </si>
  <si>
    <t>Cândido Godói</t>
  </si>
  <si>
    <t>Candiota</t>
  </si>
  <si>
    <t>Canela</t>
  </si>
  <si>
    <t>Canguçu</t>
  </si>
  <si>
    <t>Canoas</t>
  </si>
  <si>
    <t>Canudos do Vale</t>
  </si>
  <si>
    <t>Capão Bonito do Sul</t>
  </si>
  <si>
    <t>Capão da Canoa</t>
  </si>
  <si>
    <t>Capão do Cipó</t>
  </si>
  <si>
    <t>Capão do Leão</t>
  </si>
  <si>
    <t>Capivari do Sul</t>
  </si>
  <si>
    <t>Capela de Santana</t>
  </si>
  <si>
    <t>Capitão</t>
  </si>
  <si>
    <t>Carazinho</t>
  </si>
  <si>
    <t>Caraá</t>
  </si>
  <si>
    <t>Carlos Barbosa</t>
  </si>
  <si>
    <t>Carlos Gomes</t>
  </si>
  <si>
    <t>Casca</t>
  </si>
  <si>
    <t>Caseiros</t>
  </si>
  <si>
    <t>Catuípe</t>
  </si>
  <si>
    <t>Caxias do Sul</t>
  </si>
  <si>
    <t>Cerrito</t>
  </si>
  <si>
    <t>Cerro Branco</t>
  </si>
  <si>
    <t>Cerro Grande</t>
  </si>
  <si>
    <t>Cerro Grande do Sul</t>
  </si>
  <si>
    <t>Cerro Largo</t>
  </si>
  <si>
    <t>Chapada</t>
  </si>
  <si>
    <t>Charqueadas</t>
  </si>
  <si>
    <t>Charrua</t>
  </si>
  <si>
    <t>Chiapetta</t>
  </si>
  <si>
    <t>Chuí</t>
  </si>
  <si>
    <t>Chuvisca</t>
  </si>
  <si>
    <t>Cidreira</t>
  </si>
  <si>
    <t>Ciríaco</t>
  </si>
  <si>
    <t>Condor</t>
  </si>
  <si>
    <t>Constantina</t>
  </si>
  <si>
    <t>Coqueiro Baixo</t>
  </si>
  <si>
    <t>Coqueiros do Sul</t>
  </si>
  <si>
    <t>Coronel Barros</t>
  </si>
  <si>
    <t>Coronel Bicaco</t>
  </si>
  <si>
    <t>Coronel Pilar</t>
  </si>
  <si>
    <t>Cotiporã</t>
  </si>
  <si>
    <t>Coxilha</t>
  </si>
  <si>
    <t>Crissiumal</t>
  </si>
  <si>
    <t>Cristal</t>
  </si>
  <si>
    <t>Cristal do Sul</t>
  </si>
  <si>
    <t>Cruz Alta</t>
  </si>
  <si>
    <t>Cruzaltense</t>
  </si>
  <si>
    <t>david Canabarro</t>
  </si>
  <si>
    <t>derrubadas</t>
  </si>
  <si>
    <t>dezesseis de Novembro</t>
  </si>
  <si>
    <t>Dilermando de Aguiar</t>
  </si>
  <si>
    <t>dois Irmãos</t>
  </si>
  <si>
    <t>dois Irmãos das Missões</t>
  </si>
  <si>
    <t>dois Lajeados</t>
  </si>
  <si>
    <t>dom Feliciano</t>
  </si>
  <si>
    <t>dom Pedro de Alcântara</t>
  </si>
  <si>
    <t>dom Pedrito</t>
  </si>
  <si>
    <t>dona Francisca</t>
  </si>
  <si>
    <t>doutor Maurício Cardoso</t>
  </si>
  <si>
    <t>doutor Ricardo</t>
  </si>
  <si>
    <t>Eldorado do Sul</t>
  </si>
  <si>
    <t>Encantado</t>
  </si>
  <si>
    <t>Encruzilhada do Sul</t>
  </si>
  <si>
    <t>Engenho Velho</t>
  </si>
  <si>
    <t>Entre-Ijuís</t>
  </si>
  <si>
    <t>Entre Rios do Sul</t>
  </si>
  <si>
    <t>Erebango</t>
  </si>
  <si>
    <t>Erechim</t>
  </si>
  <si>
    <t>Ernestina</t>
  </si>
  <si>
    <t>Herval</t>
  </si>
  <si>
    <t>Erval Grande</t>
  </si>
  <si>
    <t>Erval Seco</t>
  </si>
  <si>
    <t>Esmeralda</t>
  </si>
  <si>
    <t>Esperança do Sul</t>
  </si>
  <si>
    <t>Espumoso</t>
  </si>
  <si>
    <t>Estação</t>
  </si>
  <si>
    <t>Estância Velha</t>
  </si>
  <si>
    <t>Esteio</t>
  </si>
  <si>
    <t>Estrela</t>
  </si>
  <si>
    <t>Estrela Velha</t>
  </si>
  <si>
    <t>Eugênio de Castro</t>
  </si>
  <si>
    <t>Fagundes Varela</t>
  </si>
  <si>
    <t>Farroupilha</t>
  </si>
  <si>
    <t>Faxinal do Soturno</t>
  </si>
  <si>
    <t>Faxinalzinho</t>
  </si>
  <si>
    <t>Fazenda Vilanova</t>
  </si>
  <si>
    <t>Feliz</t>
  </si>
  <si>
    <t>Flores da Cunha</t>
  </si>
  <si>
    <t>Floriano Peixoto</t>
  </si>
  <si>
    <t>Fontoura Xavier</t>
  </si>
  <si>
    <t>Formigueiro</t>
  </si>
  <si>
    <t>Forquetinha</t>
  </si>
  <si>
    <t>Fortaleza dos Valos</t>
  </si>
  <si>
    <t>Frederico Westphalen</t>
  </si>
  <si>
    <t>Garibaldi</t>
  </si>
  <si>
    <t>Garruchos</t>
  </si>
  <si>
    <t>Gaurama</t>
  </si>
  <si>
    <t>General Câmara</t>
  </si>
  <si>
    <t>Gentil</t>
  </si>
  <si>
    <t>Getúlio Vargas</t>
  </si>
  <si>
    <t>Giruá</t>
  </si>
  <si>
    <t>Glorinha</t>
  </si>
  <si>
    <t>Gramado</t>
  </si>
  <si>
    <t>Gramado dos Loureiros</t>
  </si>
  <si>
    <t>Gramado Xavier</t>
  </si>
  <si>
    <t>Gravataí</t>
  </si>
  <si>
    <t>Guabiju</t>
  </si>
  <si>
    <t>Guaíba</t>
  </si>
  <si>
    <t>Guaporé</t>
  </si>
  <si>
    <t>Guarani das Missões</t>
  </si>
  <si>
    <t>Harmonia</t>
  </si>
  <si>
    <t>Herveiras</t>
  </si>
  <si>
    <t>Horizontina</t>
  </si>
  <si>
    <t>Hulha Negra</t>
  </si>
  <si>
    <t>Ibarama</t>
  </si>
  <si>
    <t>Ibiaçá</t>
  </si>
  <si>
    <t>Ibiraiaras</t>
  </si>
  <si>
    <t>Ibirapuitã</t>
  </si>
  <si>
    <t>Ibirubá</t>
  </si>
  <si>
    <t>Igrejinha</t>
  </si>
  <si>
    <t>Ijuí</t>
  </si>
  <si>
    <t>Ilópolis</t>
  </si>
  <si>
    <t>Imbé</t>
  </si>
  <si>
    <t>Imigrante</t>
  </si>
  <si>
    <t>Inhacorá</t>
  </si>
  <si>
    <t>Ipê</t>
  </si>
  <si>
    <t>Ipiranga do Sul</t>
  </si>
  <si>
    <t>Iraí</t>
  </si>
  <si>
    <t>Itaara</t>
  </si>
  <si>
    <t>Itacurubi</t>
  </si>
  <si>
    <t>Itapuca</t>
  </si>
  <si>
    <t>Itaqui</t>
  </si>
  <si>
    <t>Itati</t>
  </si>
  <si>
    <t>Itatiba do Sul</t>
  </si>
  <si>
    <t>Ivorá</t>
  </si>
  <si>
    <t>Ivoti</t>
  </si>
  <si>
    <t>Jaboticaba</t>
  </si>
  <si>
    <t>Jacuizinho</t>
  </si>
  <si>
    <t>Jaguarão</t>
  </si>
  <si>
    <t>Jaguari</t>
  </si>
  <si>
    <t>Jaquirana</t>
  </si>
  <si>
    <t>Jari</t>
  </si>
  <si>
    <t>Jóia</t>
  </si>
  <si>
    <t>Júlio de Castilhos</t>
  </si>
  <si>
    <t>Lagoa Bonita do Sul</t>
  </si>
  <si>
    <t>Lagoão</t>
  </si>
  <si>
    <t>Lagoa dos Três Cantos</t>
  </si>
  <si>
    <t>Lagoa Vermelha</t>
  </si>
  <si>
    <t>Lajeado do Bugre</t>
  </si>
  <si>
    <t>Lavras do Sul</t>
  </si>
  <si>
    <t>Liberato Salzano</t>
  </si>
  <si>
    <t>Lindolfo Collor</t>
  </si>
  <si>
    <t>Linha Nova</t>
  </si>
  <si>
    <t>Machadinho</t>
  </si>
  <si>
    <t>Maçambará</t>
  </si>
  <si>
    <t>Mampituba</t>
  </si>
  <si>
    <t>Manoel Viana</t>
  </si>
  <si>
    <t>Maquiné</t>
  </si>
  <si>
    <t>Maratá</t>
  </si>
  <si>
    <t>Marau</t>
  </si>
  <si>
    <t>Marcelino Ramos</t>
  </si>
  <si>
    <t>Mariana Pimentel</t>
  </si>
  <si>
    <t>Mariano Moro</t>
  </si>
  <si>
    <t>Marques de Souza</t>
  </si>
  <si>
    <t>Mata</t>
  </si>
  <si>
    <t>Mato Castelhano</t>
  </si>
  <si>
    <t>Mato Leitão</t>
  </si>
  <si>
    <t>Mato Queimado</t>
  </si>
  <si>
    <t>Maximiliano de Almeida</t>
  </si>
  <si>
    <t>Minas do Leão</t>
  </si>
  <si>
    <t>Miraguaí</t>
  </si>
  <si>
    <t>Montauri</t>
  </si>
  <si>
    <t>Monte Alegre dos Campos</t>
  </si>
  <si>
    <t>Monte Belo do Sul</t>
  </si>
  <si>
    <t>Montenegro</t>
  </si>
  <si>
    <t>Mormaço</t>
  </si>
  <si>
    <t>Morrinhos do Sul</t>
  </si>
  <si>
    <t>Morro Redondo</t>
  </si>
  <si>
    <t>Morro Reuter</t>
  </si>
  <si>
    <t>Mostardas</t>
  </si>
  <si>
    <t>Muçum</t>
  </si>
  <si>
    <t>Muitos Capões</t>
  </si>
  <si>
    <t>Muliterno</t>
  </si>
  <si>
    <t>Não-Me-Toque</t>
  </si>
  <si>
    <t>Nicolau Vergueiro</t>
  </si>
  <si>
    <t>Nonoai</t>
  </si>
  <si>
    <t>Nova Alvorada</t>
  </si>
  <si>
    <t>Nova Araçá</t>
  </si>
  <si>
    <t>Nova Bassano</t>
  </si>
  <si>
    <t>Nova Boa Vista</t>
  </si>
  <si>
    <t>Nova Bréscia</t>
  </si>
  <si>
    <t>Nova Candelária</t>
  </si>
  <si>
    <t>Nova Esperança do Sul</t>
  </si>
  <si>
    <t>Nova Hartz</t>
  </si>
  <si>
    <t>Nova Pádua</t>
  </si>
  <si>
    <t>Nova Palma</t>
  </si>
  <si>
    <t>Nova Petrópolis</t>
  </si>
  <si>
    <t>Nova Prata</t>
  </si>
  <si>
    <t>Nova Ramada</t>
  </si>
  <si>
    <t>Nova Roma do Sul</t>
  </si>
  <si>
    <t>Novo Cabrais</t>
  </si>
  <si>
    <t>Novo Hamburgo</t>
  </si>
  <si>
    <t>Novo Machado</t>
  </si>
  <si>
    <t>Novo Tiradentes</t>
  </si>
  <si>
    <t>Novo Xingu</t>
  </si>
  <si>
    <t>Novo Barreiro</t>
  </si>
  <si>
    <t>Osório</t>
  </si>
  <si>
    <t>Paim Filho</t>
  </si>
  <si>
    <t>Palmares do Sul</t>
  </si>
  <si>
    <t>Palmeira das Missões</t>
  </si>
  <si>
    <t>Palmitinho</t>
  </si>
  <si>
    <t>Panambi</t>
  </si>
  <si>
    <t>Pantano Grande</t>
  </si>
  <si>
    <t>Paraí</t>
  </si>
  <si>
    <t>Paraíso do Sul</t>
  </si>
  <si>
    <t>Pareci Novo</t>
  </si>
  <si>
    <t>Parobé</t>
  </si>
  <si>
    <t>Passa Sete</t>
  </si>
  <si>
    <t>Passo do Sobrado</t>
  </si>
  <si>
    <t>Passo Fundo</t>
  </si>
  <si>
    <t>Paulo Bento</t>
  </si>
  <si>
    <t>Paverama</t>
  </si>
  <si>
    <t>Pedras Altas</t>
  </si>
  <si>
    <t>Pedro Osório</t>
  </si>
  <si>
    <t>Pejuçara</t>
  </si>
  <si>
    <t>Pelotas</t>
  </si>
  <si>
    <t>Picada Café</t>
  </si>
  <si>
    <t>Pinhal</t>
  </si>
  <si>
    <t>Pinhal da Serra</t>
  </si>
  <si>
    <t>Pinhal Grande</t>
  </si>
  <si>
    <t>Pinheirinho do Vale</t>
  </si>
  <si>
    <t>Pinheiro Machado</t>
  </si>
  <si>
    <t>Pinto Bandeira</t>
  </si>
  <si>
    <t>Pirapó</t>
  </si>
  <si>
    <t>Piratini</t>
  </si>
  <si>
    <t>Poço das Antas</t>
  </si>
  <si>
    <t>Pontão</t>
  </si>
  <si>
    <t>Ponte Preta</t>
  </si>
  <si>
    <t>Portão</t>
  </si>
  <si>
    <t>Porto Alegre</t>
  </si>
  <si>
    <t>Porto Lucena</t>
  </si>
  <si>
    <t>Porto Mauá</t>
  </si>
  <si>
    <t>Porto Vera Cruz</t>
  </si>
  <si>
    <t>Porto Xavier</t>
  </si>
  <si>
    <t>Pouso Novo</t>
  </si>
  <si>
    <t>Presidente Lucena</t>
  </si>
  <si>
    <t>Progresso</t>
  </si>
  <si>
    <t>Protásio Alves</t>
  </si>
  <si>
    <t>Putinga</t>
  </si>
  <si>
    <t>Quaraí</t>
  </si>
  <si>
    <t>Quatro Irmãos</t>
  </si>
  <si>
    <t>Quevedos</t>
  </si>
  <si>
    <t>Quinze de Novembro</t>
  </si>
  <si>
    <t>Redentora</t>
  </si>
  <si>
    <t>Relvado</t>
  </si>
  <si>
    <t>Restinga Seca</t>
  </si>
  <si>
    <t>Rio dos Índios</t>
  </si>
  <si>
    <t>Rio Grande</t>
  </si>
  <si>
    <t>Rio Pardo</t>
  </si>
  <si>
    <t>Riozinho</t>
  </si>
  <si>
    <t>Roca Sales</t>
  </si>
  <si>
    <t>Rodeio Bonito</t>
  </si>
  <si>
    <t>Rolador</t>
  </si>
  <si>
    <t>Rolante</t>
  </si>
  <si>
    <t>Ronda Alta</t>
  </si>
  <si>
    <t>Rondinha</t>
  </si>
  <si>
    <t>Roque Gonzales</t>
  </si>
  <si>
    <t>Rosário do Sul</t>
  </si>
  <si>
    <t>Sagrada Família</t>
  </si>
  <si>
    <t>Saldanha Marinho</t>
  </si>
  <si>
    <t>Salto do Jacuí</t>
  </si>
  <si>
    <t>Salvador das Missões</t>
  </si>
  <si>
    <t>Salvador do Sul</t>
  </si>
  <si>
    <t>Sananduva</t>
  </si>
  <si>
    <t>Santa Bárbara do Sul</t>
  </si>
  <si>
    <t>Santa Cecília do Sul</t>
  </si>
  <si>
    <t>Santa Clara do Sul</t>
  </si>
  <si>
    <t>Santa Cruz do Sul</t>
  </si>
  <si>
    <t>Santa Maria do Herval</t>
  </si>
  <si>
    <t>Santa Margarida do Sul</t>
  </si>
  <si>
    <t>Santana da Boa Vista</t>
  </si>
  <si>
    <t>Sant'ana do Livramento</t>
  </si>
  <si>
    <t>Santa Rosa</t>
  </si>
  <si>
    <t>Santa Tereza</t>
  </si>
  <si>
    <t>Santa Vitória do Palmar</t>
  </si>
  <si>
    <t>Santiago</t>
  </si>
  <si>
    <t>Santo Ângelo</t>
  </si>
  <si>
    <t>Santo Antônio do Palma</t>
  </si>
  <si>
    <t>Santo Antônio da Patrulha</t>
  </si>
  <si>
    <t>Santo Antônio das Missões</t>
  </si>
  <si>
    <t>Santo Antônio do Planalto</t>
  </si>
  <si>
    <t>Santo Augusto</t>
  </si>
  <si>
    <t>Santo Cristo</t>
  </si>
  <si>
    <t>Santo Expedito do Sul</t>
  </si>
  <si>
    <t>São Borja</t>
  </si>
  <si>
    <t>São domingos do Sul</t>
  </si>
  <si>
    <t>São Francisco de Assis</t>
  </si>
  <si>
    <t>São Jerônimo</t>
  </si>
  <si>
    <t>São João da Urtiga</t>
  </si>
  <si>
    <t>São João do Polêsine</t>
  </si>
  <si>
    <t>São Jorge</t>
  </si>
  <si>
    <t>São José das Missões</t>
  </si>
  <si>
    <t>São José do Herval</t>
  </si>
  <si>
    <t>São José do Hortêncio</t>
  </si>
  <si>
    <t>São José do Inhacorá</t>
  </si>
  <si>
    <t>São José do Norte</t>
  </si>
  <si>
    <t>São José do Ouro</t>
  </si>
  <si>
    <t>São José do Sul</t>
  </si>
  <si>
    <t>São José dos Ausentes</t>
  </si>
  <si>
    <t>São Leopoldo</t>
  </si>
  <si>
    <t>São Lourenço do Sul</t>
  </si>
  <si>
    <t>São Luiz Gonzaga</t>
  </si>
  <si>
    <t>São Marcos</t>
  </si>
  <si>
    <t>São Martinho da Serra</t>
  </si>
  <si>
    <t>São Miguel das Missões</t>
  </si>
  <si>
    <t>São Nicolau</t>
  </si>
  <si>
    <t>São Paulo das Missões</t>
  </si>
  <si>
    <t>São Pedro da Serra</t>
  </si>
  <si>
    <t>São Pedro das Missões</t>
  </si>
  <si>
    <t>São Pedro do Butiá</t>
  </si>
  <si>
    <t>São Pedro do Sul</t>
  </si>
  <si>
    <t>São Sebastião do Caí</t>
  </si>
  <si>
    <t>São Sepé</t>
  </si>
  <si>
    <t>São Valentim</t>
  </si>
  <si>
    <t>São Valentim do Sul</t>
  </si>
  <si>
    <t>São Valério do Sul</t>
  </si>
  <si>
    <t>São Vendelino</t>
  </si>
  <si>
    <t>São Vicente do Sul</t>
  </si>
  <si>
    <t>Sapiranga</t>
  </si>
  <si>
    <t>Sapucaia do Sul</t>
  </si>
  <si>
    <t>Seberi</t>
  </si>
  <si>
    <t>Sede Nova</t>
  </si>
  <si>
    <t>Segredo</t>
  </si>
  <si>
    <t>Selbach</t>
  </si>
  <si>
    <t>Senador Salgado Filho</t>
  </si>
  <si>
    <t>Sentinela do Sul</t>
  </si>
  <si>
    <t>Serafina Corrêa</t>
  </si>
  <si>
    <t>Sério</t>
  </si>
  <si>
    <t>Sertão</t>
  </si>
  <si>
    <t>Sertão Santana</t>
  </si>
  <si>
    <t>Sete de Setembro</t>
  </si>
  <si>
    <t>Severiano de Almeida</t>
  </si>
  <si>
    <t>Silveira Martins</t>
  </si>
  <si>
    <t>Sinimbu</t>
  </si>
  <si>
    <t>Tabaí</t>
  </si>
  <si>
    <t>Tapera</t>
  </si>
  <si>
    <t>Tapes</t>
  </si>
  <si>
    <t>Taquara</t>
  </si>
  <si>
    <t>Taquari</t>
  </si>
  <si>
    <t>Taquaruçu do Sul</t>
  </si>
  <si>
    <t>Tenente Portela</t>
  </si>
  <si>
    <t>Terra de Areia</t>
  </si>
  <si>
    <t>Teutônia</t>
  </si>
  <si>
    <t>Tio Hugo</t>
  </si>
  <si>
    <t>Tiradentes do Sul</t>
  </si>
  <si>
    <t>Toropi</t>
  </si>
  <si>
    <t>Torres</t>
  </si>
  <si>
    <t>Tramandaí</t>
  </si>
  <si>
    <t>Travesseiro</t>
  </si>
  <si>
    <t>Três Arroios</t>
  </si>
  <si>
    <t>Três Cachoeiras</t>
  </si>
  <si>
    <t>Três Coroas</t>
  </si>
  <si>
    <t>Três de Maio</t>
  </si>
  <si>
    <t>Três Forquilhas</t>
  </si>
  <si>
    <t>Três Palmeiras</t>
  </si>
  <si>
    <t>Três Passos</t>
  </si>
  <si>
    <t>Trindade do Sul</t>
  </si>
  <si>
    <t>Tucunduva</t>
  </si>
  <si>
    <t>Tunas</t>
  </si>
  <si>
    <t>Tupanci do Sul</t>
  </si>
  <si>
    <t>Tupanciretã</t>
  </si>
  <si>
    <t>Tupandi</t>
  </si>
  <si>
    <t>Tuparendi</t>
  </si>
  <si>
    <t>Turuçu</t>
  </si>
  <si>
    <t>Ubiretama</t>
  </si>
  <si>
    <t>União da Serra</t>
  </si>
  <si>
    <t>Unistalda</t>
  </si>
  <si>
    <t>Uruguaiana</t>
  </si>
  <si>
    <t>Vacaria</t>
  </si>
  <si>
    <t>Vale Verde</t>
  </si>
  <si>
    <t>Vale do Sol</t>
  </si>
  <si>
    <t>Vale Real</t>
  </si>
  <si>
    <t>Vanini</t>
  </si>
  <si>
    <t>Venâncio Aires</t>
  </si>
  <si>
    <t>Veranópolis</t>
  </si>
  <si>
    <t>Vespasiano Correa</t>
  </si>
  <si>
    <t>Viadutos</t>
  </si>
  <si>
    <t>Viamão</t>
  </si>
  <si>
    <t>Vicente Dutra</t>
  </si>
  <si>
    <t>Victor Graeff</t>
  </si>
  <si>
    <t>Vila Flores</t>
  </si>
  <si>
    <t>Vila Lângaro</t>
  </si>
  <si>
    <t>Vila Maria</t>
  </si>
  <si>
    <t>Vila Nova do Sul</t>
  </si>
  <si>
    <t>Vista Alegre</t>
  </si>
  <si>
    <t>Vista Alegre do Prata</t>
  </si>
  <si>
    <t>Vista Gaúcha</t>
  </si>
  <si>
    <t>Vitória das Missões</t>
  </si>
  <si>
    <t>Westfalia</t>
  </si>
  <si>
    <t>Xangri-Lá</t>
  </si>
  <si>
    <t>Água Clara</t>
  </si>
  <si>
    <t>Alcinópolis</t>
  </si>
  <si>
    <t>Amambai</t>
  </si>
  <si>
    <t>Anastácio</t>
  </si>
  <si>
    <t>Anaurilândia</t>
  </si>
  <si>
    <t>Angélica</t>
  </si>
  <si>
    <t>Antônio João</t>
  </si>
  <si>
    <t>Aparecida do Taboado</t>
  </si>
  <si>
    <t>Aquidauana</t>
  </si>
  <si>
    <t>Aral Moreira</t>
  </si>
  <si>
    <t>Bataguassu</t>
  </si>
  <si>
    <t>Batayporã</t>
  </si>
  <si>
    <t>Bela Vista</t>
  </si>
  <si>
    <t>Bodoquena</t>
  </si>
  <si>
    <t>Brasilândia</t>
  </si>
  <si>
    <t>Caarapó</t>
  </si>
  <si>
    <t>Camapuã</t>
  </si>
  <si>
    <t>Cassilândia</t>
  </si>
  <si>
    <t>Chapadão do Sul</t>
  </si>
  <si>
    <t>Corguinho</t>
  </si>
  <si>
    <t>Coronel Sapucaia</t>
  </si>
  <si>
    <t>Corumbá</t>
  </si>
  <si>
    <t>Costa Rica</t>
  </si>
  <si>
    <t>Coxim</t>
  </si>
  <si>
    <t>deodápolis</t>
  </si>
  <si>
    <t>dois Irmãos do Buriti</t>
  </si>
  <si>
    <t>dourados</t>
  </si>
  <si>
    <t>Fátima do Sul</t>
  </si>
  <si>
    <t>Figueirão</t>
  </si>
  <si>
    <t>Glória de dourados</t>
  </si>
  <si>
    <t>Guia Lopes da Laguna</t>
  </si>
  <si>
    <t>Iguatemi</t>
  </si>
  <si>
    <t>Inocência</t>
  </si>
  <si>
    <t>Itaporã</t>
  </si>
  <si>
    <t>Itaquiraí</t>
  </si>
  <si>
    <t>Ivinhema</t>
  </si>
  <si>
    <t>Japorã</t>
  </si>
  <si>
    <t>Jaraguari</t>
  </si>
  <si>
    <t>Jateí</t>
  </si>
  <si>
    <t>Juti</t>
  </si>
  <si>
    <t>Ladário</t>
  </si>
  <si>
    <t>Laguna Carapã</t>
  </si>
  <si>
    <t>Maracaju</t>
  </si>
  <si>
    <t>Miranda</t>
  </si>
  <si>
    <t>Naviraí</t>
  </si>
  <si>
    <t>Nioaque</t>
  </si>
  <si>
    <t>Nova Alvorada do Sul</t>
  </si>
  <si>
    <t>Nova Andradina</t>
  </si>
  <si>
    <t>Novo Horizonte do Sul</t>
  </si>
  <si>
    <t>Paraíso das Águas</t>
  </si>
  <si>
    <t>Paranaíba</t>
  </si>
  <si>
    <t>Paranhos</t>
  </si>
  <si>
    <t>Pedro Gomes</t>
  </si>
  <si>
    <t>Ponta Porã</t>
  </si>
  <si>
    <t>Porto Murtinho</t>
  </si>
  <si>
    <t>Ribas do Rio Pardo</t>
  </si>
  <si>
    <t>Rio Brilhante</t>
  </si>
  <si>
    <t>Rio Verde de Mato Grosso</t>
  </si>
  <si>
    <t>Rochedo</t>
  </si>
  <si>
    <t>Santa Rita do Pardo</t>
  </si>
  <si>
    <t>São Gabriel do Oeste</t>
  </si>
  <si>
    <t>Sete Quedas</t>
  </si>
  <si>
    <t>Selvíria</t>
  </si>
  <si>
    <t>Sidrolândia</t>
  </si>
  <si>
    <t>Sonora</t>
  </si>
  <si>
    <t>Tacuru</t>
  </si>
  <si>
    <t>Taquarussu</t>
  </si>
  <si>
    <t>Terenos</t>
  </si>
  <si>
    <t>Três Lagoas</t>
  </si>
  <si>
    <t>Vicentina</t>
  </si>
  <si>
    <t>Acorizal</t>
  </si>
  <si>
    <t>Alta Floresta</t>
  </si>
  <si>
    <t>Alto Araguaia</t>
  </si>
  <si>
    <t>Alto Boa Vista</t>
  </si>
  <si>
    <t>Alto Garças</t>
  </si>
  <si>
    <t>Alto Paraguai</t>
  </si>
  <si>
    <t>Alto Taquari</t>
  </si>
  <si>
    <t>Apiacás</t>
  </si>
  <si>
    <t>Araguaiana</t>
  </si>
  <si>
    <t>Araguainha</t>
  </si>
  <si>
    <t>Araputanga</t>
  </si>
  <si>
    <t>Arenápolis</t>
  </si>
  <si>
    <t>Aripuanã</t>
  </si>
  <si>
    <t>Barão de Melgaço</t>
  </si>
  <si>
    <t>Barra do Bugres</t>
  </si>
  <si>
    <t>Barra do Garças</t>
  </si>
  <si>
    <t>Bom Jesus do Araguaia</t>
  </si>
  <si>
    <t>Brasnorte</t>
  </si>
  <si>
    <t>Cáceres</t>
  </si>
  <si>
    <t>Campinápolis</t>
  </si>
  <si>
    <t>Campo Novo do Parecis</t>
  </si>
  <si>
    <t>Campo Verde</t>
  </si>
  <si>
    <t>Campos de Júlio</t>
  </si>
  <si>
    <t>Canabrava do Norte</t>
  </si>
  <si>
    <t>Carlinda</t>
  </si>
  <si>
    <t>Castanheira</t>
  </si>
  <si>
    <t>Chapada dos Guimarães</t>
  </si>
  <si>
    <t>Cláudia</t>
  </si>
  <si>
    <t>Cocalinho</t>
  </si>
  <si>
    <t>Colíder</t>
  </si>
  <si>
    <t>Colniza</t>
  </si>
  <si>
    <t>Comodoro</t>
  </si>
  <si>
    <t>Confresa</t>
  </si>
  <si>
    <t>Conquista D'oeste</t>
  </si>
  <si>
    <t>Cotriguaçu</t>
  </si>
  <si>
    <t>Cuiabá</t>
  </si>
  <si>
    <t>Curvelândia</t>
  </si>
  <si>
    <t>denise</t>
  </si>
  <si>
    <t>Diamantino</t>
  </si>
  <si>
    <t>dom Aquino</t>
  </si>
  <si>
    <t>Feliz Natal</t>
  </si>
  <si>
    <t>Figueirópolis D'oeste</t>
  </si>
  <si>
    <t>Gaúcha do Norte</t>
  </si>
  <si>
    <t>Glória D'oeste</t>
  </si>
  <si>
    <t>Guarantã do Norte</t>
  </si>
  <si>
    <t>Guiratinga</t>
  </si>
  <si>
    <t>Indiavaí</t>
  </si>
  <si>
    <t>Ipiranga do Norte</t>
  </si>
  <si>
    <t>Itanhangá</t>
  </si>
  <si>
    <t>Itaúba</t>
  </si>
  <si>
    <t>Itiquira</t>
  </si>
  <si>
    <t>Jaciara</t>
  </si>
  <si>
    <t>Jangada</t>
  </si>
  <si>
    <t>Jauru</t>
  </si>
  <si>
    <t>Juara</t>
  </si>
  <si>
    <t>Juína</t>
  </si>
  <si>
    <t>Juruena</t>
  </si>
  <si>
    <t>Juscimeira</t>
  </si>
  <si>
    <t>Lambari D'oeste</t>
  </si>
  <si>
    <t>Lucas do Rio Verde</t>
  </si>
  <si>
    <t>Luciara</t>
  </si>
  <si>
    <t>Vila Bela da Santíssima Trindade</t>
  </si>
  <si>
    <t>Marcelândia</t>
  </si>
  <si>
    <t>Matupá</t>
  </si>
  <si>
    <t>Mirassol D'oeste</t>
  </si>
  <si>
    <t>Nobres</t>
  </si>
  <si>
    <t>Nortelândia</t>
  </si>
  <si>
    <t>Nossa Senhora do Livramento</t>
  </si>
  <si>
    <t>Nova Bandeirantes</t>
  </si>
  <si>
    <t>Nova Nazaré</t>
  </si>
  <si>
    <t>Nova Lacerda</t>
  </si>
  <si>
    <t>Nova Santa Helena</t>
  </si>
  <si>
    <t>Nova Brasilândia</t>
  </si>
  <si>
    <t>Nova Canaã do Norte</t>
  </si>
  <si>
    <t>Nova Mutum</t>
  </si>
  <si>
    <t>Nova Ubiratã</t>
  </si>
  <si>
    <t>Nova Xavantina</t>
  </si>
  <si>
    <t>Novo Mundo</t>
  </si>
  <si>
    <t>Novo Horizonte do Norte</t>
  </si>
  <si>
    <t>Novo São Joaquim</t>
  </si>
  <si>
    <t>Paranaíta</t>
  </si>
  <si>
    <t>Paranatinga</t>
  </si>
  <si>
    <t>Peixoto de Azevedo</t>
  </si>
  <si>
    <t>Planalto da Serra</t>
  </si>
  <si>
    <t>Poconé</t>
  </si>
  <si>
    <t>Pontal do Araguaia</t>
  </si>
  <si>
    <t>Ponte Branca</t>
  </si>
  <si>
    <t>Pontes E Lacerda</t>
  </si>
  <si>
    <t>Porto Alegre do Norte</t>
  </si>
  <si>
    <t>Porto dos Gaúchos</t>
  </si>
  <si>
    <t>Porto Esperidião</t>
  </si>
  <si>
    <t>Porto Estrela</t>
  </si>
  <si>
    <t>Poxoréu</t>
  </si>
  <si>
    <t>Primavera do Leste</t>
  </si>
  <si>
    <t>Querência</t>
  </si>
  <si>
    <t>São José dos Quatro Marcos</t>
  </si>
  <si>
    <t>Reserva do Cabaçal</t>
  </si>
  <si>
    <t>Ribeirão Cascalheira</t>
  </si>
  <si>
    <t>Ribeirãozinho</t>
  </si>
  <si>
    <t>Santa Carmem</t>
  </si>
  <si>
    <t>Santo Afonso</t>
  </si>
  <si>
    <t>São José do Povo</t>
  </si>
  <si>
    <t>São José do Rio Claro</t>
  </si>
  <si>
    <t>São José do Xingu</t>
  </si>
  <si>
    <t>São Pedro da Cipa</t>
  </si>
  <si>
    <t>Rondolândia</t>
  </si>
  <si>
    <t>Rondonópolis</t>
  </si>
  <si>
    <t>Rosário Oeste</t>
  </si>
  <si>
    <t>Santa Cruz do Xingu</t>
  </si>
  <si>
    <t>Salto do Céu</t>
  </si>
  <si>
    <t>Santa Rita do Trivelato</t>
  </si>
  <si>
    <t>Santo Antônio do Leste</t>
  </si>
  <si>
    <t>Santo Antônio do Leverger</t>
  </si>
  <si>
    <t>São Félix do Araguaia</t>
  </si>
  <si>
    <t>Sapezal</t>
  </si>
  <si>
    <t>Serra Nova dourada</t>
  </si>
  <si>
    <t>Sinop</t>
  </si>
  <si>
    <t>Sorriso</t>
  </si>
  <si>
    <t>Tabaporã</t>
  </si>
  <si>
    <t>Tangará da Serra</t>
  </si>
  <si>
    <t>Tapurah</t>
  </si>
  <si>
    <t>Terra Nova do Norte</t>
  </si>
  <si>
    <t>Tesouro</t>
  </si>
  <si>
    <t>Torixoréu</t>
  </si>
  <si>
    <t>União do Sul</t>
  </si>
  <si>
    <t>Vale de São domingos</t>
  </si>
  <si>
    <t>Vera</t>
  </si>
  <si>
    <t>Vila Rica</t>
  </si>
  <si>
    <t>Nova Guarita</t>
  </si>
  <si>
    <t>Nova Marilândia</t>
  </si>
  <si>
    <t>Nova Maringá</t>
  </si>
  <si>
    <t>Nova Monte Verde</t>
  </si>
  <si>
    <t>Abadia de Goiás</t>
  </si>
  <si>
    <t>Abadiânia</t>
  </si>
  <si>
    <t>Acreúna</t>
  </si>
  <si>
    <t>Adelândia</t>
  </si>
  <si>
    <t>Água Fria de Goiás</t>
  </si>
  <si>
    <t>Água Limpa</t>
  </si>
  <si>
    <t>Águas Lindas de Goiás</t>
  </si>
  <si>
    <t>Alexânia</t>
  </si>
  <si>
    <t>Aloândia</t>
  </si>
  <si>
    <t>Alto Horizonte</t>
  </si>
  <si>
    <t>Alto Paraíso de Goiás</t>
  </si>
  <si>
    <t>Alvorada do Norte</t>
  </si>
  <si>
    <t>Amaralina</t>
  </si>
  <si>
    <t>Americano do Brasil</t>
  </si>
  <si>
    <t>Amorinópolis</t>
  </si>
  <si>
    <t>Anápolis</t>
  </si>
  <si>
    <t>Anhanguera</t>
  </si>
  <si>
    <t>Anicuns</t>
  </si>
  <si>
    <t>Aparecida de Goiânia</t>
  </si>
  <si>
    <t>Aparecida do Rio doce</t>
  </si>
  <si>
    <t>Aporé</t>
  </si>
  <si>
    <t>Araçu</t>
  </si>
  <si>
    <t>Aragarças</t>
  </si>
  <si>
    <t>Aragoiânia</t>
  </si>
  <si>
    <t>Araguapaz</t>
  </si>
  <si>
    <t>Arenópolis</t>
  </si>
  <si>
    <t>Aruanã</t>
  </si>
  <si>
    <t>Aurilândia</t>
  </si>
  <si>
    <t>Avelinópolis</t>
  </si>
  <si>
    <t>Baliza</t>
  </si>
  <si>
    <t>Bela Vista de Goiás</t>
  </si>
  <si>
    <t>Bom Jardim de Goiás</t>
  </si>
  <si>
    <t>Bom Jesus de Goiás</t>
  </si>
  <si>
    <t>Bonfinópolis</t>
  </si>
  <si>
    <t>Bonópolis</t>
  </si>
  <si>
    <t>Brazabrantes</t>
  </si>
  <si>
    <t>Britânia</t>
  </si>
  <si>
    <t>Buriti Alegre</t>
  </si>
  <si>
    <t>Buriti de Goiás</t>
  </si>
  <si>
    <t>Buritinópolis</t>
  </si>
  <si>
    <t>Cabeceiras</t>
  </si>
  <si>
    <t>Cachoeira Alta</t>
  </si>
  <si>
    <t>Cachoeira de Goiás</t>
  </si>
  <si>
    <t>Caçu</t>
  </si>
  <si>
    <t>Caiapônia</t>
  </si>
  <si>
    <t>Caldas Novas</t>
  </si>
  <si>
    <t>Caldazinha</t>
  </si>
  <si>
    <t>Campestre de Goiás</t>
  </si>
  <si>
    <t>Campinaçu</t>
  </si>
  <si>
    <t>Campinorte</t>
  </si>
  <si>
    <t>Campo Alegre de Goiás</t>
  </si>
  <si>
    <t>Campo Limpo de Goiás</t>
  </si>
  <si>
    <t>Campos Belos</t>
  </si>
  <si>
    <t>Campos Verdes</t>
  </si>
  <si>
    <t>Carmo do Rio Verde</t>
  </si>
  <si>
    <t>Castelândia</t>
  </si>
  <si>
    <t>Catalão</t>
  </si>
  <si>
    <t>Caturaí</t>
  </si>
  <si>
    <t>Cavalcante</t>
  </si>
  <si>
    <t>Ceres</t>
  </si>
  <si>
    <t>Cezarina</t>
  </si>
  <si>
    <t>Chapadão do Céu</t>
  </si>
  <si>
    <t>Cidade Ocidental</t>
  </si>
  <si>
    <t>Cocalzinho de Goiás</t>
  </si>
  <si>
    <t>Colinas do Sul</t>
  </si>
  <si>
    <t>Córrego do Ouro</t>
  </si>
  <si>
    <t>Corumbá de Goiás</t>
  </si>
  <si>
    <t>Corumbaíba</t>
  </si>
  <si>
    <t>Cristalina</t>
  </si>
  <si>
    <t>Cristianópolis</t>
  </si>
  <si>
    <t>Crixás</t>
  </si>
  <si>
    <t>Cromínia</t>
  </si>
  <si>
    <t>Cumari</t>
  </si>
  <si>
    <t>damianópolis</t>
  </si>
  <si>
    <t>damolândia</t>
  </si>
  <si>
    <t>Diorama</t>
  </si>
  <si>
    <t>doverlândia</t>
  </si>
  <si>
    <t>Edealina</t>
  </si>
  <si>
    <t>Edéia</t>
  </si>
  <si>
    <t>Faina</t>
  </si>
  <si>
    <t>Fazenda Nova</t>
  </si>
  <si>
    <t>Firminópolis</t>
  </si>
  <si>
    <t>Flores de Goiás</t>
  </si>
  <si>
    <t>Formosa</t>
  </si>
  <si>
    <t>Gameleira de Goiás</t>
  </si>
  <si>
    <t>Divinópolis de Goiás</t>
  </si>
  <si>
    <t>Goianápolis</t>
  </si>
  <si>
    <t>Goiandira</t>
  </si>
  <si>
    <t>Goianésia</t>
  </si>
  <si>
    <t>Goiânia</t>
  </si>
  <si>
    <t>Goianira</t>
  </si>
  <si>
    <t>Goiás</t>
  </si>
  <si>
    <t>Goiatuba</t>
  </si>
  <si>
    <t>Gouvelândia</t>
  </si>
  <si>
    <t>Guapó</t>
  </si>
  <si>
    <t>Guaraíta</t>
  </si>
  <si>
    <t>Guarani de Goiás</t>
  </si>
  <si>
    <t>Guarinos</t>
  </si>
  <si>
    <t>Heitoraí</t>
  </si>
  <si>
    <t>Hidrolina</t>
  </si>
  <si>
    <t>Iaciara</t>
  </si>
  <si>
    <t>Inaciolândia</t>
  </si>
  <si>
    <t>Indiara</t>
  </si>
  <si>
    <t>Inhumas</t>
  </si>
  <si>
    <t>Ipameri</t>
  </si>
  <si>
    <t>Ipiranga de Goiás</t>
  </si>
  <si>
    <t>Iporá</t>
  </si>
  <si>
    <t>Israelândia</t>
  </si>
  <si>
    <t>Itaberaí</t>
  </si>
  <si>
    <t>Itaguari</t>
  </si>
  <si>
    <t>Itaguaru</t>
  </si>
  <si>
    <t>Itapaci</t>
  </si>
  <si>
    <t>Itapirapuã</t>
  </si>
  <si>
    <t>Itapuranga</t>
  </si>
  <si>
    <t>Itarumã</t>
  </si>
  <si>
    <t>Itauçu</t>
  </si>
  <si>
    <t>Itumbiara</t>
  </si>
  <si>
    <t>Ivolândia</t>
  </si>
  <si>
    <t>Jandaia</t>
  </si>
  <si>
    <t>Jaraguá</t>
  </si>
  <si>
    <t>Jataí</t>
  </si>
  <si>
    <t>Jaupaci</t>
  </si>
  <si>
    <t>Jesúpolis</t>
  </si>
  <si>
    <t>Joviânia</t>
  </si>
  <si>
    <t>Leopoldo de Bulhões</t>
  </si>
  <si>
    <t>Luziânia</t>
  </si>
  <si>
    <t>Mairipotaba</t>
  </si>
  <si>
    <t>Mambaí</t>
  </si>
  <si>
    <t>Mara Rosa</t>
  </si>
  <si>
    <t>Marzagão</t>
  </si>
  <si>
    <t>Matrinchã</t>
  </si>
  <si>
    <t>Maurilândia</t>
  </si>
  <si>
    <t>Mimoso de Goiás</t>
  </si>
  <si>
    <t>Minaçu</t>
  </si>
  <si>
    <t>Mineiros</t>
  </si>
  <si>
    <t>Moiporá</t>
  </si>
  <si>
    <t>Monte Alegre de Goiás</t>
  </si>
  <si>
    <t>Montes Claros de Goiás</t>
  </si>
  <si>
    <t>Montividiu</t>
  </si>
  <si>
    <t>Montividiu do Norte</t>
  </si>
  <si>
    <t>Morro Agudo de Goiás</t>
  </si>
  <si>
    <t>Mossâmedes</t>
  </si>
  <si>
    <t>Mozarlândia</t>
  </si>
  <si>
    <t>Mutunópolis</t>
  </si>
  <si>
    <t>Nazário</t>
  </si>
  <si>
    <t>Nerópolis</t>
  </si>
  <si>
    <t>Niquelândia</t>
  </si>
  <si>
    <t>Nova América</t>
  </si>
  <si>
    <t>Nova Crixás</t>
  </si>
  <si>
    <t>Nova Glória</t>
  </si>
  <si>
    <t>Nova Iguaçu de Goiás</t>
  </si>
  <si>
    <t>Nova Roma</t>
  </si>
  <si>
    <t>Novo Brasil</t>
  </si>
  <si>
    <t>Novo Gama</t>
  </si>
  <si>
    <t>Novo Planalto</t>
  </si>
  <si>
    <t>Orizona</t>
  </si>
  <si>
    <t>Ouro Verde de Goiás</t>
  </si>
  <si>
    <t>Ouvidor</t>
  </si>
  <si>
    <t>Padre Bernardo</t>
  </si>
  <si>
    <t>Palestina de Goiás</t>
  </si>
  <si>
    <t>Palmeiras de Goiás</t>
  </si>
  <si>
    <t>Palmelo</t>
  </si>
  <si>
    <t>Palminópolis</t>
  </si>
  <si>
    <t>Panamá</t>
  </si>
  <si>
    <t>Paranaiguara</t>
  </si>
  <si>
    <t>Paraúna</t>
  </si>
  <si>
    <t>Perolândia</t>
  </si>
  <si>
    <t>Petrolina de Goiás</t>
  </si>
  <si>
    <t>Pilar de Goiás</t>
  </si>
  <si>
    <t>Piracanjuba</t>
  </si>
  <si>
    <t>Pirenópolis</t>
  </si>
  <si>
    <t>Pires do Rio</t>
  </si>
  <si>
    <t>Planaltina</t>
  </si>
  <si>
    <t>Pontalina</t>
  </si>
  <si>
    <t>Porangatu</t>
  </si>
  <si>
    <t>Porteirão</t>
  </si>
  <si>
    <t>Portelândia</t>
  </si>
  <si>
    <t>Posse</t>
  </si>
  <si>
    <t>Professor Jamil</t>
  </si>
  <si>
    <t>Quirinópolis</t>
  </si>
  <si>
    <t>Rialma</t>
  </si>
  <si>
    <t>Rianápolis</t>
  </si>
  <si>
    <t>Rio Quente</t>
  </si>
  <si>
    <t>Rio Verde</t>
  </si>
  <si>
    <t>Rubiataba</t>
  </si>
  <si>
    <t>Sanclerlândia</t>
  </si>
  <si>
    <t>Santa Bárbara de Goiás</t>
  </si>
  <si>
    <t>Santa Cruz de Goiás</t>
  </si>
  <si>
    <t>Santa Fé de Goiás</t>
  </si>
  <si>
    <t>Santa Helena de Goiás</t>
  </si>
  <si>
    <t>Santa Rita do Araguaia</t>
  </si>
  <si>
    <t>Santa Rita do Novo destino</t>
  </si>
  <si>
    <t>Santa Rosa de Goiás</t>
  </si>
  <si>
    <t>Santa Tereza de Goiás</t>
  </si>
  <si>
    <t>Santa Terezinha de Goiás</t>
  </si>
  <si>
    <t>Santo Antônio da Barra</t>
  </si>
  <si>
    <t>Santo Antônio de Goiás</t>
  </si>
  <si>
    <t>Santo Antônio do descoberto</t>
  </si>
  <si>
    <t>São Francisco de Goiás</t>
  </si>
  <si>
    <t>São João D'aliança</t>
  </si>
  <si>
    <t>São João da Paraúna</t>
  </si>
  <si>
    <t>São Luís de Montes Belos</t>
  </si>
  <si>
    <t>São Luíz do Norte</t>
  </si>
  <si>
    <t>São Miguel do Araguaia</t>
  </si>
  <si>
    <t>São Miguel do Passa Quatro</t>
  </si>
  <si>
    <t>São Patrício</t>
  </si>
  <si>
    <t>Senador Canedo</t>
  </si>
  <si>
    <t>Serranópolis</t>
  </si>
  <si>
    <t>Silvânia</t>
  </si>
  <si>
    <t>Simolândia</t>
  </si>
  <si>
    <t>Sítio D'abadia</t>
  </si>
  <si>
    <t>Taquaral de Goiás</t>
  </si>
  <si>
    <t>Teresina de Goiás</t>
  </si>
  <si>
    <t>Terezópolis de Goiás</t>
  </si>
  <si>
    <t>Três Ranchos</t>
  </si>
  <si>
    <t>Trombas</t>
  </si>
  <si>
    <t>Turvânia</t>
  </si>
  <si>
    <t>Turvelândia</t>
  </si>
  <si>
    <t>Uirapuru</t>
  </si>
  <si>
    <t>Uruaçu</t>
  </si>
  <si>
    <t>Uruana</t>
  </si>
  <si>
    <t>Urutaí</t>
  </si>
  <si>
    <t>Valparaíso de Goiás</t>
  </si>
  <si>
    <t>Varjão</t>
  </si>
  <si>
    <t>Vianópolis</t>
  </si>
  <si>
    <t>Vicentinópolis</t>
  </si>
  <si>
    <t>Vila Boa</t>
  </si>
  <si>
    <t>Vila Propício</t>
  </si>
  <si>
    <t>Brasília</t>
  </si>
  <si>
    <t>UF</t>
  </si>
  <si>
    <t>AC</t>
  </si>
  <si>
    <t>AL</t>
  </si>
  <si>
    <t>AM</t>
  </si>
  <si>
    <t>AP</t>
  </si>
  <si>
    <t>BA</t>
  </si>
  <si>
    <t>CE</t>
  </si>
  <si>
    <t>DF</t>
  </si>
  <si>
    <t>ES</t>
  </si>
  <si>
    <t>GO</t>
  </si>
  <si>
    <t>MA</t>
  </si>
  <si>
    <t>MG</t>
  </si>
  <si>
    <t>MS</t>
  </si>
  <si>
    <t>MT</t>
  </si>
  <si>
    <t>PA</t>
  </si>
  <si>
    <t>PB</t>
  </si>
  <si>
    <t>PE</t>
  </si>
  <si>
    <t>PI</t>
  </si>
  <si>
    <t>PR</t>
  </si>
  <si>
    <t>RJ</t>
  </si>
  <si>
    <t>RN</t>
  </si>
  <si>
    <t>RO</t>
  </si>
  <si>
    <t>RR</t>
  </si>
  <si>
    <t>RS</t>
  </si>
  <si>
    <t>SC</t>
  </si>
  <si>
    <t>SE</t>
  </si>
  <si>
    <t>SP</t>
  </si>
  <si>
    <t>TO</t>
  </si>
  <si>
    <t>Local empreendimento</t>
  </si>
  <si>
    <t>uf empreendimento</t>
  </si>
  <si>
    <t>Local</t>
  </si>
  <si>
    <t>Cultura</t>
  </si>
  <si>
    <t>Valor Médio Rendimento</t>
  </si>
  <si>
    <t>Valor Médio Custo por Hectare</t>
  </si>
  <si>
    <t>%Insumo</t>
  </si>
  <si>
    <t>%Custo Operacional</t>
  </si>
  <si>
    <t>%Indiretos</t>
  </si>
  <si>
    <t>Safras Anteriores Mínimas</t>
  </si>
  <si>
    <t>Safras Futuras Mínimas</t>
  </si>
  <si>
    <t>Ano/Safra</t>
  </si>
  <si>
    <t>Nome Fazenda</t>
  </si>
  <si>
    <t>Cidade</t>
  </si>
  <si>
    <t>Fazenda</t>
  </si>
  <si>
    <t>insumos</t>
  </si>
  <si>
    <t>custo operacional</t>
  </si>
  <si>
    <t>indireto</t>
  </si>
  <si>
    <t>Telefone</t>
  </si>
  <si>
    <t>Histórico</t>
  </si>
  <si>
    <t>Nome Grupo</t>
  </si>
  <si>
    <t>Localidade Empreendimento</t>
  </si>
  <si>
    <t>Hectare</t>
  </si>
  <si>
    <t>Produtividade</t>
  </si>
  <si>
    <t>Preço</t>
  </si>
  <si>
    <t>data_mudanca</t>
  </si>
  <si>
    <t>explorada</t>
  </si>
  <si>
    <t>pagando</t>
  </si>
  <si>
    <t>posse</t>
  </si>
  <si>
    <t>total</t>
  </si>
  <si>
    <t>valor</t>
  </si>
  <si>
    <t>area arrendada</t>
  </si>
  <si>
    <t>receita total</t>
  </si>
  <si>
    <t>parecer</t>
  </si>
  <si>
    <t>Pecuaria</t>
  </si>
  <si>
    <t>CNPJ</t>
  </si>
  <si>
    <t>Integrantes</t>
  </si>
  <si>
    <t>finalidades</t>
  </si>
  <si>
    <t>Capital de Giro</t>
  </si>
  <si>
    <t>Reestruturação de Dívidas</t>
  </si>
  <si>
    <t>Renegociação</t>
  </si>
  <si>
    <t>Investimentos</t>
  </si>
  <si>
    <t>Custeios</t>
  </si>
  <si>
    <t>Cliente:</t>
  </si>
  <si>
    <t>Localidade:</t>
  </si>
  <si>
    <t>Demandas:</t>
  </si>
  <si>
    <t>R$</t>
  </si>
  <si>
    <t>Perfil:</t>
  </si>
  <si>
    <t>Total</t>
  </si>
  <si>
    <t>Explorada</t>
  </si>
  <si>
    <t>Valor</t>
  </si>
  <si>
    <t>Safras:</t>
  </si>
  <si>
    <t>Aplicação</t>
  </si>
  <si>
    <t>Área Total:</t>
  </si>
  <si>
    <t>Explorada Total:</t>
  </si>
  <si>
    <t>Faturamento Total:</t>
  </si>
  <si>
    <t>Finalidades</t>
  </si>
  <si>
    <t>Cidades</t>
  </si>
  <si>
    <t>Alta Floresta D´oeste/RO</t>
  </si>
  <si>
    <t>Ariquemes/RO</t>
  </si>
  <si>
    <t>Cabixi/RO</t>
  </si>
  <si>
    <t>Cacoal/RO</t>
  </si>
  <si>
    <t>Cerejeiras/RO</t>
  </si>
  <si>
    <t>Colorado do Oeste/RO</t>
  </si>
  <si>
    <t>Corumbiara/RO</t>
  </si>
  <si>
    <t>Costa Marques/RO</t>
  </si>
  <si>
    <t>Espigão D´oeste/RO</t>
  </si>
  <si>
    <t>Guajará-mirim/RO</t>
  </si>
  <si>
    <t>Jaru/RO</t>
  </si>
  <si>
    <t>Ji-paraná/RO</t>
  </si>
  <si>
    <t>Machadinho D´oeste/RO</t>
  </si>
  <si>
    <t>Nova Brasilândia D´oeste/RO</t>
  </si>
  <si>
    <t>Ouro Preto do Oeste/RO</t>
  </si>
  <si>
    <t>Pimenta Bueno/RO</t>
  </si>
  <si>
    <t>Porto Velho/RO</t>
  </si>
  <si>
    <t>Presidente Médici/RO</t>
  </si>
  <si>
    <t>Rio Crespo/RO</t>
  </si>
  <si>
    <t>Rolim de Moura/RO</t>
  </si>
  <si>
    <t>Santa Luzia D´oeste/RO</t>
  </si>
  <si>
    <t>Vilhena/RO</t>
  </si>
  <si>
    <t>São Miguel do Guaporé/RO</t>
  </si>
  <si>
    <t>Nova Mamoré/RO</t>
  </si>
  <si>
    <t>Alvorada D´oeste/RO</t>
  </si>
  <si>
    <t>Alto Alegre Dos Parecis/RO</t>
  </si>
  <si>
    <t>Alto Paraíso/RO</t>
  </si>
  <si>
    <t>Buritis/RO</t>
  </si>
  <si>
    <t>Novo Horizonte do Oeste/RO</t>
  </si>
  <si>
    <t>Cacaulândia/RO</t>
  </si>
  <si>
    <t>Campo Novo de Rondônia/RO</t>
  </si>
  <si>
    <t>Candeias do Jamari/RO</t>
  </si>
  <si>
    <t>Castanheiras/RO</t>
  </si>
  <si>
    <t>Chupinguaia/RO</t>
  </si>
  <si>
    <t>Cujubim/RO</t>
  </si>
  <si>
    <t>Governador Jorge Teixeira/RO</t>
  </si>
  <si>
    <t>Itapuã do Oeste/RO</t>
  </si>
  <si>
    <t>Ministro Andreazza/RO</t>
  </si>
  <si>
    <t>Mirante da Serra/RO</t>
  </si>
  <si>
    <t>Monte Negro/RO</t>
  </si>
  <si>
    <t>Nova União/RO</t>
  </si>
  <si>
    <t>Parecis/RO</t>
  </si>
  <si>
    <t>Pimenteiras do Oeste/RO</t>
  </si>
  <si>
    <t>Primavera de Rondônia/RO</t>
  </si>
  <si>
    <t>São Felipe D´oeste/RO</t>
  </si>
  <si>
    <t>São Francisco do Guaporé/RO</t>
  </si>
  <si>
    <t>Seringueiras/RO</t>
  </si>
  <si>
    <t>Teixeirópolis/RO</t>
  </si>
  <si>
    <t>Theobroma/RO</t>
  </si>
  <si>
    <t>Urupá/RO</t>
  </si>
  <si>
    <t>Vale do Anari/RO</t>
  </si>
  <si>
    <t>Vale do Paraíso/RO</t>
  </si>
  <si>
    <t>Acrelândia/AC</t>
  </si>
  <si>
    <t>Assis Brasil/AC</t>
  </si>
  <si>
    <t>Brasiléia/AC</t>
  </si>
  <si>
    <t>Bujari/AC</t>
  </si>
  <si>
    <t>Capixaba/AC</t>
  </si>
  <si>
    <t>Cruzeiro do Sul/AC</t>
  </si>
  <si>
    <t>Epitaciolândia/AC</t>
  </si>
  <si>
    <t>Feijó/AC</t>
  </si>
  <si>
    <t>Jordão/AC</t>
  </si>
  <si>
    <t>Mâncio Lima/AC</t>
  </si>
  <si>
    <t>Manoel Urbano/AC</t>
  </si>
  <si>
    <t>Marechal Thaumaturgo/AC</t>
  </si>
  <si>
    <t>Plácido de Castro/AC</t>
  </si>
  <si>
    <t>Porto Walter/AC</t>
  </si>
  <si>
    <t>Rio Branco/AC</t>
  </si>
  <si>
    <t>Rodrigues Alves/AC</t>
  </si>
  <si>
    <t>Santa Rosa do Purus/AC</t>
  </si>
  <si>
    <t>Senador Guiomard/AC</t>
  </si>
  <si>
    <t>Sena Madureira/AC</t>
  </si>
  <si>
    <t>Tarauacá/AC</t>
  </si>
  <si>
    <t>Xapuri/AC</t>
  </si>
  <si>
    <t>Porto Acre/AC</t>
  </si>
  <si>
    <t>Alvarães/AM</t>
  </si>
  <si>
    <t>Amaturá/AM</t>
  </si>
  <si>
    <t>Anamã/AM</t>
  </si>
  <si>
    <t>Anori/AM</t>
  </si>
  <si>
    <t>Apuí/AM</t>
  </si>
  <si>
    <t>Atalaia do Norte/AM</t>
  </si>
  <si>
    <t>Autazes/AM</t>
  </si>
  <si>
    <t>Barcelos/AM</t>
  </si>
  <si>
    <t>Barreirinha/AM</t>
  </si>
  <si>
    <t>Benjamin Constant/AM</t>
  </si>
  <si>
    <t>Beruri/AM</t>
  </si>
  <si>
    <t>Boa Vista do Ramos/AM</t>
  </si>
  <si>
    <t>Boca do Acre/AM</t>
  </si>
  <si>
    <t>Borba/AM</t>
  </si>
  <si>
    <t>Caapiranga/AM</t>
  </si>
  <si>
    <t>Canutama/AM</t>
  </si>
  <si>
    <t>Carauari/AM</t>
  </si>
  <si>
    <t>Careiro/AM</t>
  </si>
  <si>
    <t>Careiro da Várzea/AM</t>
  </si>
  <si>
    <t>Coari/AM</t>
  </si>
  <si>
    <t>Codajás/AM</t>
  </si>
  <si>
    <t>Eirunepé/AM</t>
  </si>
  <si>
    <t>Envira/AM</t>
  </si>
  <si>
    <t>Fonte Boa/AM</t>
  </si>
  <si>
    <t>Guajará/AM</t>
  </si>
  <si>
    <t>Humaitá/AM</t>
  </si>
  <si>
    <t>Ipixuna/AM</t>
  </si>
  <si>
    <t>Iranduba/AM</t>
  </si>
  <si>
    <t>Itacoatiara/AM</t>
  </si>
  <si>
    <t>Itamarati/AM</t>
  </si>
  <si>
    <t>Itapiranga/AM</t>
  </si>
  <si>
    <t>Japurá/AM</t>
  </si>
  <si>
    <t>Juruá/AM</t>
  </si>
  <si>
    <t>Jutaí/AM</t>
  </si>
  <si>
    <t>Lábrea/AM</t>
  </si>
  <si>
    <t>Manacapuru/AM</t>
  </si>
  <si>
    <t>Manaquiri/AM</t>
  </si>
  <si>
    <t>Manaus/AM</t>
  </si>
  <si>
    <t>Manicoré/AM</t>
  </si>
  <si>
    <t>Maraã/AM</t>
  </si>
  <si>
    <t>Maués/AM</t>
  </si>
  <si>
    <t>Nhamundá/AM</t>
  </si>
  <si>
    <t>Nova Olinda do Norte/AM</t>
  </si>
  <si>
    <t>Novo Airão/AM</t>
  </si>
  <si>
    <t>Novo Aripuanã/AM</t>
  </si>
  <si>
    <t>Parintins/AM</t>
  </si>
  <si>
    <t>Pauini/AM</t>
  </si>
  <si>
    <t>Presidente Figueiredo/AM</t>
  </si>
  <si>
    <t>Rio Preto da Eva/AM</t>
  </si>
  <si>
    <t>Santa Isabel do Rio Negro/AM</t>
  </si>
  <si>
    <t>Santo Antônio do Içá/AM</t>
  </si>
  <si>
    <t>São Gabriel da Cachoeira/AM</t>
  </si>
  <si>
    <t>São Paulo de Olivença/AM</t>
  </si>
  <si>
    <t>São Sebastião do Uatumã/AM</t>
  </si>
  <si>
    <t>Silves/AM</t>
  </si>
  <si>
    <t>Tabatinga/AM</t>
  </si>
  <si>
    <t>Tapauá/AM</t>
  </si>
  <si>
    <t>Tefé/AM</t>
  </si>
  <si>
    <t>Tonantins/AM</t>
  </si>
  <si>
    <t>Uarini/AM</t>
  </si>
  <si>
    <t>Urucará/AM</t>
  </si>
  <si>
    <t>Urucurituba/AM</t>
  </si>
  <si>
    <t>Amajari/RR</t>
  </si>
  <si>
    <t>Alto Alegre/RR</t>
  </si>
  <si>
    <t>Boa Vista/RR</t>
  </si>
  <si>
    <t>Bonfim/RR</t>
  </si>
  <si>
    <t>Cantá/RR</t>
  </si>
  <si>
    <t>Caracaraí/RR</t>
  </si>
  <si>
    <t>Caroebe/RR</t>
  </si>
  <si>
    <t>Iracema/RR</t>
  </si>
  <si>
    <t>Mucajaí/RR</t>
  </si>
  <si>
    <t>Normandia/RR</t>
  </si>
  <si>
    <t>Pacaraima/RR</t>
  </si>
  <si>
    <t>Rorainópolis/RR</t>
  </si>
  <si>
    <t>São João da Baliza/RR</t>
  </si>
  <si>
    <t>São Luiz/RR</t>
  </si>
  <si>
    <t>Uiramutã/RR</t>
  </si>
  <si>
    <t>Abaetetuba/PA</t>
  </si>
  <si>
    <t>Abel Figueiredo/PA</t>
  </si>
  <si>
    <t>Acará/PA</t>
  </si>
  <si>
    <t>Afuá/PA</t>
  </si>
  <si>
    <t>Água Azul do Norte/PA</t>
  </si>
  <si>
    <t>Alenquer/PA</t>
  </si>
  <si>
    <t>Almeirim/PA</t>
  </si>
  <si>
    <t>Altamira/PA</t>
  </si>
  <si>
    <t>Anajás/PA</t>
  </si>
  <si>
    <t>Ananindeua/PA</t>
  </si>
  <si>
    <t>Anapu/PA</t>
  </si>
  <si>
    <t>Augusto Corrêa/PA</t>
  </si>
  <si>
    <t>Aurora do Pará/PA</t>
  </si>
  <si>
    <t>Aveiro/PA</t>
  </si>
  <si>
    <t>Bagre/PA</t>
  </si>
  <si>
    <t>Baião/PA</t>
  </si>
  <si>
    <t>Bannach/PA</t>
  </si>
  <si>
    <t>Barcarena/PA</t>
  </si>
  <si>
    <t>Belém/PA</t>
  </si>
  <si>
    <t>Belterra/PA</t>
  </si>
  <si>
    <t>Benevides/PA</t>
  </si>
  <si>
    <t>Bom Jesus do Tocantins/PA</t>
  </si>
  <si>
    <t>Bonito/PA</t>
  </si>
  <si>
    <t>Bragança/PA</t>
  </si>
  <si>
    <t>Brasil Novo/PA</t>
  </si>
  <si>
    <t>Brejo Grande do Araguaia/PA</t>
  </si>
  <si>
    <t>Breu Branco/PA</t>
  </si>
  <si>
    <t>Breves/PA</t>
  </si>
  <si>
    <t>Bujaru/PA</t>
  </si>
  <si>
    <t>Cachoeira do Piriá/PA</t>
  </si>
  <si>
    <t>Cachoeira do Arari/PA</t>
  </si>
  <si>
    <t>Cametá/PA</t>
  </si>
  <si>
    <t>Canaã Dos Carajás/PA</t>
  </si>
  <si>
    <t>Capanema/PA</t>
  </si>
  <si>
    <t>Capitão Poço/PA</t>
  </si>
  <si>
    <t>Castanhal/PA</t>
  </si>
  <si>
    <t>Chaves/PA</t>
  </si>
  <si>
    <t>Colares/PA</t>
  </si>
  <si>
    <t>Conceição do Araguaia/PA</t>
  </si>
  <si>
    <t>Concórdia do Pará/PA</t>
  </si>
  <si>
    <t>Cumaru do Norte/PA</t>
  </si>
  <si>
    <t>Curionópolis/PA</t>
  </si>
  <si>
    <t>Curralinho/PA</t>
  </si>
  <si>
    <t>Curuá/PA</t>
  </si>
  <si>
    <t>Curuçá/PA</t>
  </si>
  <si>
    <t>Dom Eliseu/PA</t>
  </si>
  <si>
    <t>Eldorado Dos Carajás/PA</t>
  </si>
  <si>
    <t>Faro/PA</t>
  </si>
  <si>
    <t>Floresta do Araguaia/PA</t>
  </si>
  <si>
    <t>Garrafão do Norte/PA</t>
  </si>
  <si>
    <t>Goianésia do Pará/PA</t>
  </si>
  <si>
    <t>Gurupá/PA</t>
  </si>
  <si>
    <t>Igarapé-açu/PA</t>
  </si>
  <si>
    <t>Igarapé-miri/PA</t>
  </si>
  <si>
    <t>Inhangapi/PA</t>
  </si>
  <si>
    <t>Ipixuna do Pará/PA</t>
  </si>
  <si>
    <t>Irituia/PA</t>
  </si>
  <si>
    <t>Itaituba/PA</t>
  </si>
  <si>
    <t>Itupiranga/PA</t>
  </si>
  <si>
    <t>Jacareacanga/PA</t>
  </si>
  <si>
    <t>Jacundá/PA</t>
  </si>
  <si>
    <t>Juruti/PA</t>
  </si>
  <si>
    <t>Limoeiro do Ajuru/PA</t>
  </si>
  <si>
    <t>Mãe do Rio/PA</t>
  </si>
  <si>
    <t>Magalhães Barata/PA</t>
  </si>
  <si>
    <t>Marabá/PA</t>
  </si>
  <si>
    <t>Maracanã/PA</t>
  </si>
  <si>
    <t>Marapanim/PA</t>
  </si>
  <si>
    <t>Marituba/PA</t>
  </si>
  <si>
    <t>Medicilândia/PA</t>
  </si>
  <si>
    <t>Melgaço/PA</t>
  </si>
  <si>
    <t>Mocajuba/PA</t>
  </si>
  <si>
    <t>Moju/PA</t>
  </si>
  <si>
    <t>Mojuí dos Campos/PA</t>
  </si>
  <si>
    <t>Monte Alegre/PA</t>
  </si>
  <si>
    <t>Muaná/PA</t>
  </si>
  <si>
    <t>Nova Esperança do Piriá/PA</t>
  </si>
  <si>
    <t>Nova Ipixuna/PA</t>
  </si>
  <si>
    <t>Nova Timboteua/PA</t>
  </si>
  <si>
    <t>Novo Progresso/PA</t>
  </si>
  <si>
    <t>Novo Repartimento/PA</t>
  </si>
  <si>
    <t>Óbidos/PA</t>
  </si>
  <si>
    <t>Oeiras do Pará/PA</t>
  </si>
  <si>
    <t>Oriximiná/PA</t>
  </si>
  <si>
    <t>Ourém/PA</t>
  </si>
  <si>
    <t>Ourilândia do Norte/PA</t>
  </si>
  <si>
    <t>Pacajá/PA</t>
  </si>
  <si>
    <t>Palestina do Pará/PA</t>
  </si>
  <si>
    <t>Paragominas/PA</t>
  </si>
  <si>
    <t>Parauapebas/PA</t>
  </si>
  <si>
    <t>Pau D´arco/PA</t>
  </si>
  <si>
    <t>Peixe-boi/PA</t>
  </si>
  <si>
    <t>Piçarra/PA</t>
  </si>
  <si>
    <t>Placas/PA</t>
  </si>
  <si>
    <t>Ponta de Pedras/PA</t>
  </si>
  <si>
    <t>Portel/PA</t>
  </si>
  <si>
    <t>Porto de Moz/PA</t>
  </si>
  <si>
    <t>Prainha/PA</t>
  </si>
  <si>
    <t>Primavera/PA</t>
  </si>
  <si>
    <t>Quatipuru/PA</t>
  </si>
  <si>
    <t>Redenção/PA</t>
  </si>
  <si>
    <t>Rio Maria/PA</t>
  </si>
  <si>
    <t>Rondon do Pará/PA</t>
  </si>
  <si>
    <t>Rurópolis/PA</t>
  </si>
  <si>
    <t>Salinópolis/PA</t>
  </si>
  <si>
    <t>Salvaterra/PA</t>
  </si>
  <si>
    <t>Santa Bárbara do Pará/PA</t>
  </si>
  <si>
    <t>Santa Cruz do Arari/PA</t>
  </si>
  <si>
    <t>Santa Isabel do Pará/PA</t>
  </si>
  <si>
    <t>Santa Luzia do Pará/PA</t>
  </si>
  <si>
    <t>Santa Maria Das Barreiras/PA</t>
  </si>
  <si>
    <t>Santa Maria do Pará/PA</t>
  </si>
  <si>
    <t>Santana do Araguaia/PA</t>
  </si>
  <si>
    <t>Santarém/PA</t>
  </si>
  <si>
    <t>Santarém Novo/PA</t>
  </si>
  <si>
    <t>Santo Antônio do Tauá/PA</t>
  </si>
  <si>
    <t>São Caetano de Odivelas/PA</t>
  </si>
  <si>
    <t>São Domingos do Araguaia/PA</t>
  </si>
  <si>
    <t>São Domingos do Capim/PA</t>
  </si>
  <si>
    <t>São Félix do Xingu/PA</t>
  </si>
  <si>
    <t>São Francisco do Pará/PA</t>
  </si>
  <si>
    <t>São Geraldo do Araguaia/PA</t>
  </si>
  <si>
    <t>São João da Ponta/PA</t>
  </si>
  <si>
    <t>São João de Pirabas/PA</t>
  </si>
  <si>
    <t>São João do Araguaia/PA</t>
  </si>
  <si>
    <t>São Miguel do Guamá/PA</t>
  </si>
  <si>
    <t>São Sebastião da Boa Vista/PA</t>
  </si>
  <si>
    <t>Sapucaia/PA</t>
  </si>
  <si>
    <t>Senador José Porfírio/PA</t>
  </si>
  <si>
    <t>Soure/PA</t>
  </si>
  <si>
    <t>Tailândia/PA</t>
  </si>
  <si>
    <t>Terra Alta/PA</t>
  </si>
  <si>
    <t>Terra Santa/PA</t>
  </si>
  <si>
    <t>Tomé-açu/PA</t>
  </si>
  <si>
    <t>Tracuateua/PA</t>
  </si>
  <si>
    <t>Trairão/PA</t>
  </si>
  <si>
    <t>Tucumã/PA</t>
  </si>
  <si>
    <t>Tucuruí/PA</t>
  </si>
  <si>
    <t>Ulianópolis/PA</t>
  </si>
  <si>
    <t>Uruará/PA</t>
  </si>
  <si>
    <t>Vigia/PA</t>
  </si>
  <si>
    <t>Viseu/PA</t>
  </si>
  <si>
    <t>Vitória do Xingu/PA</t>
  </si>
  <si>
    <t>Xinguara/PA</t>
  </si>
  <si>
    <t>Serra do Navio/AP</t>
  </si>
  <si>
    <t>Amapá/AP</t>
  </si>
  <si>
    <t>Pedra Branca do Amapari/AP</t>
  </si>
  <si>
    <t>Calçoene/AP</t>
  </si>
  <si>
    <t>Cutias/AP</t>
  </si>
  <si>
    <t>Ferreira Gomes/AP</t>
  </si>
  <si>
    <t>Itaubal/AP</t>
  </si>
  <si>
    <t>Laranjal do Jari/AP</t>
  </si>
  <si>
    <t>Macapá/AP</t>
  </si>
  <si>
    <t>Mazagão/AP</t>
  </si>
  <si>
    <t>Oiapoque/AP</t>
  </si>
  <si>
    <t>Porto Grande/AP</t>
  </si>
  <si>
    <t>Pracuúba/AP</t>
  </si>
  <si>
    <t>Santana/AP</t>
  </si>
  <si>
    <t>Tartarugalzinho/AP</t>
  </si>
  <si>
    <t>Vitória do Jari/AP</t>
  </si>
  <si>
    <t>Abreulândia/TO</t>
  </si>
  <si>
    <t>Aguiarnópolis/TO</t>
  </si>
  <si>
    <t>Aliança do Tocantins/TO</t>
  </si>
  <si>
    <t>Almas/TO</t>
  </si>
  <si>
    <t>Alvorada/TO</t>
  </si>
  <si>
    <t>Ananás/TO</t>
  </si>
  <si>
    <t>Angico/TO</t>
  </si>
  <si>
    <t>Aparecida do Rio Negro/TO</t>
  </si>
  <si>
    <t>Aragominas/TO</t>
  </si>
  <si>
    <t>Araguacema/TO</t>
  </si>
  <si>
    <t>Araguaçu/TO</t>
  </si>
  <si>
    <t>Araguaína/TO</t>
  </si>
  <si>
    <t>Araguanã/TO</t>
  </si>
  <si>
    <t>Araguatins/TO</t>
  </si>
  <si>
    <t>Arapoema/TO</t>
  </si>
  <si>
    <t>Arraias/TO</t>
  </si>
  <si>
    <t>Augustinópolis/TO</t>
  </si>
  <si>
    <t>Aurora do Tocantins/TO</t>
  </si>
  <si>
    <t>Axixá do Tocantins/TO</t>
  </si>
  <si>
    <t>Babaçulândia/TO</t>
  </si>
  <si>
    <t>Bandeirantes do Tocantins/TO</t>
  </si>
  <si>
    <t>Barra do Ouro/TO</t>
  </si>
  <si>
    <t>Barrolândia/TO</t>
  </si>
  <si>
    <t>Bernardo Sayão/TO</t>
  </si>
  <si>
    <t>Bom Jesus do Tocantins/TO</t>
  </si>
  <si>
    <t>Brasilândia do Tocantins/TO</t>
  </si>
  <si>
    <t>Brejinho de Nazaré/TO</t>
  </si>
  <si>
    <t>Buriti do Tocantins/TO</t>
  </si>
  <si>
    <t>Cachoeirinha/TO</t>
  </si>
  <si>
    <t>Campos Lindos/TO</t>
  </si>
  <si>
    <t>Cariri do Tocantins/TO</t>
  </si>
  <si>
    <t>Carmolândia/TO</t>
  </si>
  <si>
    <t>Carrasco Bonito/TO</t>
  </si>
  <si>
    <t>Caseara/TO</t>
  </si>
  <si>
    <t>Centenário/TO</t>
  </si>
  <si>
    <t>Chapada de Areia/TO</t>
  </si>
  <si>
    <t>Chapada da Natividade/TO</t>
  </si>
  <si>
    <t>Colinas do Tocantins/TO</t>
  </si>
  <si>
    <t>Combinado/TO</t>
  </si>
  <si>
    <t>Conceição do Tocantins/TO</t>
  </si>
  <si>
    <t>Couto de Magalhães/TO</t>
  </si>
  <si>
    <t>Cristalândia/TO</t>
  </si>
  <si>
    <t>Crixás do Tocantins/TO</t>
  </si>
  <si>
    <t>Darcinópolis/TO</t>
  </si>
  <si>
    <t>Dianópolis/TO</t>
  </si>
  <si>
    <t>Divinópolis do Tocantins/TO</t>
  </si>
  <si>
    <t>Dois Irmãos do Tocantins/TO</t>
  </si>
  <si>
    <t>Dueré/TO</t>
  </si>
  <si>
    <t>Esperantina/TO</t>
  </si>
  <si>
    <t>Fátima/TO</t>
  </si>
  <si>
    <t>Figueirópolis/TO</t>
  </si>
  <si>
    <t>Filadélfia/TO</t>
  </si>
  <si>
    <t>Formoso do Araguaia/TO</t>
  </si>
  <si>
    <t>Fortaleza do Tabocão/TO</t>
  </si>
  <si>
    <t>Goianorte/TO</t>
  </si>
  <si>
    <t>Goiatins/TO</t>
  </si>
  <si>
    <t>Guaraí/TO</t>
  </si>
  <si>
    <t>Gurupi/TO</t>
  </si>
  <si>
    <t>Ipueiras/TO</t>
  </si>
  <si>
    <t>Itacajá/TO</t>
  </si>
  <si>
    <t>Itaguatins/TO</t>
  </si>
  <si>
    <t>Itapiratins/TO</t>
  </si>
  <si>
    <t>Itaporã do Tocantins/TO</t>
  </si>
  <si>
    <t>Jaú do Tocantins/TO</t>
  </si>
  <si>
    <t>Juarina/TO</t>
  </si>
  <si>
    <t>Lagoa da Confusão/TO</t>
  </si>
  <si>
    <t>Lagoa do Tocantins/TO</t>
  </si>
  <si>
    <t>Lajeado/TO</t>
  </si>
  <si>
    <t>Lavandeira/TO</t>
  </si>
  <si>
    <t>Lizarda/TO</t>
  </si>
  <si>
    <t>Luzinópolis/TO</t>
  </si>
  <si>
    <t>Marianópolis do Tocantins/TO</t>
  </si>
  <si>
    <t>Mateiros/TO</t>
  </si>
  <si>
    <t>Maurilândia do Tocantins/TO</t>
  </si>
  <si>
    <t>Miracema do Tocantins/TO</t>
  </si>
  <si>
    <t>Miranorte/TO</t>
  </si>
  <si>
    <t>Monte do Carmo/TO</t>
  </si>
  <si>
    <t>Monte Santo do Tocantins/TO</t>
  </si>
  <si>
    <t>Palmeiras do Tocantins/TO</t>
  </si>
  <si>
    <t>Muricilândia/TO</t>
  </si>
  <si>
    <t>Natividade/TO</t>
  </si>
  <si>
    <t>Nazaré/TO</t>
  </si>
  <si>
    <t>Nova Olinda/TO</t>
  </si>
  <si>
    <t>Nova Rosalândia/TO</t>
  </si>
  <si>
    <t>Novo Acordo/TO</t>
  </si>
  <si>
    <t>Novo Alegre/TO</t>
  </si>
  <si>
    <t>Novo Jardim/TO</t>
  </si>
  <si>
    <t>Oliveira de Fátima/TO</t>
  </si>
  <si>
    <t>Palmeirante/TO</t>
  </si>
  <si>
    <t>Palmeirópolis/TO</t>
  </si>
  <si>
    <t>Paraíso do Tocantins/TO</t>
  </si>
  <si>
    <t>Paranã/TO</t>
  </si>
  <si>
    <t>Pau D´arco/TO</t>
  </si>
  <si>
    <t>Pedro Afonso/TO</t>
  </si>
  <si>
    <t>Peixe/TO</t>
  </si>
  <si>
    <t>Pequizeiro/TO</t>
  </si>
  <si>
    <t>Colméia/TO</t>
  </si>
  <si>
    <t>Pindorama do Tocantins/TO</t>
  </si>
  <si>
    <t>Piraquê/TO</t>
  </si>
  <si>
    <t>Pium/TO</t>
  </si>
  <si>
    <t>Ponte Alta do Bom Jesus/TO</t>
  </si>
  <si>
    <t>Ponte Alta do Tocantins/TO</t>
  </si>
  <si>
    <t>Porto Alegre do Tocantins/TO</t>
  </si>
  <si>
    <t>Porto Nacional/TO</t>
  </si>
  <si>
    <t>Praia Norte/TO</t>
  </si>
  <si>
    <t>Presidente Kennedy/TO</t>
  </si>
  <si>
    <t>Pugmil/TO</t>
  </si>
  <si>
    <t>Recursolândia/TO</t>
  </si>
  <si>
    <t>Riachinho/TO</t>
  </si>
  <si>
    <t>Rio da Conceição/TO</t>
  </si>
  <si>
    <t>Rio Dos Bois/TO</t>
  </si>
  <si>
    <t>Rio Sono/TO</t>
  </si>
  <si>
    <t>Sampaio/TO</t>
  </si>
  <si>
    <t>Sandolândia/TO</t>
  </si>
  <si>
    <t>Santa fé do Araguaia/TO</t>
  </si>
  <si>
    <t>Santa Maria do Tocantins/TO</t>
  </si>
  <si>
    <t>Santa Rita do Tocantins/TO</t>
  </si>
  <si>
    <t>Santa Rosa do Tocantins/TO</t>
  </si>
  <si>
    <t>Santa Tereza do Tocantins/TO</t>
  </si>
  <si>
    <t>Santa Terezinha do Tocantins/TO</t>
  </si>
  <si>
    <t>São Bento do Tocantins/TO</t>
  </si>
  <si>
    <t>São Félix do Tocantins/TO</t>
  </si>
  <si>
    <t>São Miguel do Tocantins/TO</t>
  </si>
  <si>
    <t>São Salvador do Tocantins/TO</t>
  </si>
  <si>
    <t>São Sebastião do Tocantins/TO</t>
  </si>
  <si>
    <t>São Valério da Natividade/TO</t>
  </si>
  <si>
    <t>Silvanópolis/TO</t>
  </si>
  <si>
    <t>Sítio Novo do Tocantins/TO</t>
  </si>
  <si>
    <t>Sucupira/TO</t>
  </si>
  <si>
    <t>Taguatinga/TO</t>
  </si>
  <si>
    <t>Taipas do Tocantins/TO</t>
  </si>
  <si>
    <t>Talismã/TO</t>
  </si>
  <si>
    <t>Palmas/TO</t>
  </si>
  <si>
    <t>Tocantínia/TO</t>
  </si>
  <si>
    <t>Tocantinópolis/TO</t>
  </si>
  <si>
    <t>Tupirama/TO</t>
  </si>
  <si>
    <t>Tupiratins/TO</t>
  </si>
  <si>
    <t>Wanderlândia/TO</t>
  </si>
  <si>
    <t>Xambioá/TO</t>
  </si>
  <si>
    <t>Açailândia/MA</t>
  </si>
  <si>
    <t>Afonso Cunha/MA</t>
  </si>
  <si>
    <t>Água Doce do Maranhão/MA</t>
  </si>
  <si>
    <t>Alcântara/MA</t>
  </si>
  <si>
    <t>Aldeias Altas/MA</t>
  </si>
  <si>
    <t>Altamira do Maranhão/MA</t>
  </si>
  <si>
    <t>Alto Alegre do Maranhão/MA</t>
  </si>
  <si>
    <t>Alto Alegre do Pindaré/MA</t>
  </si>
  <si>
    <t>Alto Parnaíba/MA</t>
  </si>
  <si>
    <t>Amapá do Maranhão/MA</t>
  </si>
  <si>
    <t>Amarante do Maranhão/MA</t>
  </si>
  <si>
    <t>Anajatuba/MA</t>
  </si>
  <si>
    <t>Anapurus/MA</t>
  </si>
  <si>
    <t>Apicum-açu/MA</t>
  </si>
  <si>
    <t>Araguanã/MA</t>
  </si>
  <si>
    <t>Araioses/MA</t>
  </si>
  <si>
    <t>Arame/MA</t>
  </si>
  <si>
    <t>Arari/MA</t>
  </si>
  <si>
    <t>Axixá/MA</t>
  </si>
  <si>
    <t>Bacabal/MA</t>
  </si>
  <si>
    <t>Bacabeira/MA</t>
  </si>
  <si>
    <t>Bacuri/MA</t>
  </si>
  <si>
    <t>Bacurituba/MA</t>
  </si>
  <si>
    <t>Balsas/MA</t>
  </si>
  <si>
    <t>Barão de Grajaú/MA</t>
  </si>
  <si>
    <t>Barra do Corda/MA</t>
  </si>
  <si>
    <t>Barreirinhas/MA</t>
  </si>
  <si>
    <t>Belágua/MA</t>
  </si>
  <si>
    <t>Bela Vista do Maranhão/MA</t>
  </si>
  <si>
    <t>Benedito Leite/MA</t>
  </si>
  <si>
    <t>Bequimão/MA</t>
  </si>
  <si>
    <t>Bernardo do Mearim/MA</t>
  </si>
  <si>
    <t>Boa Vista do Gurupi/MA</t>
  </si>
  <si>
    <t>Bom Jardim/MA</t>
  </si>
  <si>
    <t>Bom Jesus Das Selvas/MA</t>
  </si>
  <si>
    <t>Bom Lugar/MA</t>
  </si>
  <si>
    <t>Brejo/MA</t>
  </si>
  <si>
    <t>Brejo de Areia/MA</t>
  </si>
  <si>
    <t>Buriti/MA</t>
  </si>
  <si>
    <t>Buriti Bravo/MA</t>
  </si>
  <si>
    <t>Buriticupu/MA</t>
  </si>
  <si>
    <t>Buritirana/MA</t>
  </si>
  <si>
    <t>Cachoeira Grande/MA</t>
  </si>
  <si>
    <t>Cajapió/MA</t>
  </si>
  <si>
    <t>Cajari/MA</t>
  </si>
  <si>
    <t>Campestre do Maranhão/MA</t>
  </si>
  <si>
    <t>Cândido Mendes/MA</t>
  </si>
  <si>
    <t>Cantanhede/MA</t>
  </si>
  <si>
    <t>Capinzal do Norte/MA</t>
  </si>
  <si>
    <t>Carolina/MA</t>
  </si>
  <si>
    <t>Carutapera/MA</t>
  </si>
  <si>
    <t>Caxias/MA</t>
  </si>
  <si>
    <t>Cedral/MA</t>
  </si>
  <si>
    <t>Central do Maranhão/MA</t>
  </si>
  <si>
    <t>Centro do Guilherme/MA</t>
  </si>
  <si>
    <t>Centro Novo do Maranhão/MA</t>
  </si>
  <si>
    <t>Chapadinha/MA</t>
  </si>
  <si>
    <t>Cidelândia/MA</t>
  </si>
  <si>
    <t>Codó/MA</t>
  </si>
  <si>
    <t>Coelho Neto/MA</t>
  </si>
  <si>
    <t>Colinas/MA</t>
  </si>
  <si>
    <t>Conceição do Lago-açu/MA</t>
  </si>
  <si>
    <t>Coroatá/MA</t>
  </si>
  <si>
    <t>Cururupu/MA</t>
  </si>
  <si>
    <t>Davinópolis/MA</t>
  </si>
  <si>
    <t>Dom Pedro/MA</t>
  </si>
  <si>
    <t>Duque Bacelar/MA</t>
  </si>
  <si>
    <t>Esperantinópolis/MA</t>
  </si>
  <si>
    <t>Estreito/MA</t>
  </si>
  <si>
    <t>Feira Nova do Maranhão/MA</t>
  </si>
  <si>
    <t>Fernando Falcão/MA</t>
  </si>
  <si>
    <t>Formosa da Serra Negra/MA</t>
  </si>
  <si>
    <t>Fortaleza Dos Nogueiras/MA</t>
  </si>
  <si>
    <t>Fortuna/MA</t>
  </si>
  <si>
    <t>Godofredo Viana/MA</t>
  </si>
  <si>
    <t>Gonçalves Dias/MA</t>
  </si>
  <si>
    <t>Governador Archer/MA</t>
  </si>
  <si>
    <t>Governador Edison Lobão/MA</t>
  </si>
  <si>
    <t>Governador Eugênio Barros/MA</t>
  </si>
  <si>
    <t>Governador Luiz Rocha/MA</t>
  </si>
  <si>
    <t>Governador Newton Bello/MA</t>
  </si>
  <si>
    <t>Governador Nunes Freire/MA</t>
  </si>
  <si>
    <t>Graça Aranha/MA</t>
  </si>
  <si>
    <t>Grajaú/MA</t>
  </si>
  <si>
    <t>Guimarães/MA</t>
  </si>
  <si>
    <t>Humberto de Campos/MA</t>
  </si>
  <si>
    <t>Icatu/MA</t>
  </si>
  <si>
    <t>Igarapé do Meio/MA</t>
  </si>
  <si>
    <t>Igarapé Grande/MA</t>
  </si>
  <si>
    <t>Imperatriz/MA</t>
  </si>
  <si>
    <t>Itaipava do Grajaú/MA</t>
  </si>
  <si>
    <t>Itapecuru Mirim/MA</t>
  </si>
  <si>
    <t>Itinga do Maranhão/MA</t>
  </si>
  <si>
    <t>Jatobá/MA</t>
  </si>
  <si>
    <t>Jenipapo Dos Vieiras/MA</t>
  </si>
  <si>
    <t>João Lisboa/MA</t>
  </si>
  <si>
    <t>Joselândia/MA</t>
  </si>
  <si>
    <t>Junco do Maranhão/MA</t>
  </si>
  <si>
    <t>Lago da Pedra/MA</t>
  </si>
  <si>
    <t>Lago do Junco/MA</t>
  </si>
  <si>
    <t>Lago Verde/MA</t>
  </si>
  <si>
    <t>Lagoa do Mato/MA</t>
  </si>
  <si>
    <t>Lago Dos Rodrigues/MA</t>
  </si>
  <si>
    <t>Lagoa Grande do Maranhão/MA</t>
  </si>
  <si>
    <t>Lajeado Novo/MA</t>
  </si>
  <si>
    <t>Lima Campos/MA</t>
  </si>
  <si>
    <t>Loreto/MA</t>
  </si>
  <si>
    <t>Luís Domingues/MA</t>
  </si>
  <si>
    <t>Magalhães de Almeida/MA</t>
  </si>
  <si>
    <t>Maracaçumé/MA</t>
  </si>
  <si>
    <t>Marajá do Sena/MA</t>
  </si>
  <si>
    <t>Maranhãozinho/MA</t>
  </si>
  <si>
    <t>Mata Roma/MA</t>
  </si>
  <si>
    <t>Matinha/MA</t>
  </si>
  <si>
    <t>Matões/MA</t>
  </si>
  <si>
    <t>Matões do Norte/MA</t>
  </si>
  <si>
    <t>Milagres do Maranhão/MA</t>
  </si>
  <si>
    <t>Mirador/MA</t>
  </si>
  <si>
    <t>Miranda do Norte/MA</t>
  </si>
  <si>
    <t>Mirinzal/MA</t>
  </si>
  <si>
    <t>Monção/MA</t>
  </si>
  <si>
    <t>Montes Altos/MA</t>
  </si>
  <si>
    <t>Morros/MA</t>
  </si>
  <si>
    <t>Nina Rodrigues/MA</t>
  </si>
  <si>
    <t>Nova Colinas/MA</t>
  </si>
  <si>
    <t>Nova Iorque/MA</t>
  </si>
  <si>
    <t>Nova Olinda do Maranhão/MA</t>
  </si>
  <si>
    <t>Olho D´água Das Cunhãs/MA</t>
  </si>
  <si>
    <t>Olinda Nova do Maranhão/MA</t>
  </si>
  <si>
    <t>Paço do Lumiar/MA</t>
  </si>
  <si>
    <t>Palmeirândia/MA</t>
  </si>
  <si>
    <t>Paraibano/MA</t>
  </si>
  <si>
    <t>Parnarama/MA</t>
  </si>
  <si>
    <t>Passagem Franca/MA</t>
  </si>
  <si>
    <t>Pastos Bons/MA</t>
  </si>
  <si>
    <t>Paulino Neves/MA</t>
  </si>
  <si>
    <t>Paulo Ramos/MA</t>
  </si>
  <si>
    <t>Pedreiras/MA</t>
  </si>
  <si>
    <t>Pedro do Rosário/MA</t>
  </si>
  <si>
    <t>Penalva/MA</t>
  </si>
  <si>
    <t>Peri Mirim/MA</t>
  </si>
  <si>
    <t>Peritoró/MA</t>
  </si>
  <si>
    <t>Pindaré-mirim/MA</t>
  </si>
  <si>
    <t>Pinheiro/MA</t>
  </si>
  <si>
    <t>Pio Xii/MA</t>
  </si>
  <si>
    <t>Pirapemas/MA</t>
  </si>
  <si>
    <t>Poção de Pedras/MA</t>
  </si>
  <si>
    <t>Porto Franco/MA</t>
  </si>
  <si>
    <t>Porto Rico do Maranhão/MA</t>
  </si>
  <si>
    <t>Presidente Dutra/MA</t>
  </si>
  <si>
    <t>Presidente Juscelino/MA</t>
  </si>
  <si>
    <t>Presidente Médici/MA</t>
  </si>
  <si>
    <t>Presidente Sarney/MA</t>
  </si>
  <si>
    <t>Presidente Vargas/MA</t>
  </si>
  <si>
    <t>Primeira Cruz/MA</t>
  </si>
  <si>
    <t>Raposa/MA</t>
  </si>
  <si>
    <t>Riachão/MA</t>
  </si>
  <si>
    <t>Ribamar Fiquene/MA</t>
  </si>
  <si>
    <t>Rosário/MA</t>
  </si>
  <si>
    <t>Sambaíba/MA</t>
  </si>
  <si>
    <t>Santa Filomena do Maranhão/MA</t>
  </si>
  <si>
    <t>Santa Helena/MA</t>
  </si>
  <si>
    <t>Santa Inês/MA</t>
  </si>
  <si>
    <t>Santa Luzia/MA</t>
  </si>
  <si>
    <t>Santa Luzia do Paruá/MA</t>
  </si>
  <si>
    <t>Santa Quitéria do Maranhão/MA</t>
  </si>
  <si>
    <t>Santa Rita/MA</t>
  </si>
  <si>
    <t>Santana do Maranhão/MA</t>
  </si>
  <si>
    <t>Santo Amaro do Maranhão/MA</t>
  </si>
  <si>
    <t>Santo Antônio Dos Lopes/MA</t>
  </si>
  <si>
    <t>São Benedito do Rio Preto/MA</t>
  </si>
  <si>
    <t>São Bento/MA</t>
  </si>
  <si>
    <t>São Bernardo/MA</t>
  </si>
  <si>
    <t>São Domingos do Azeitão/MA</t>
  </si>
  <si>
    <t>São Domingos do Maranhão/MA</t>
  </si>
  <si>
    <t>São Félix de Balsas/MA</t>
  </si>
  <si>
    <t>São Francisco do Brejão/MA</t>
  </si>
  <si>
    <t>São Francisco do Maranhão/MA</t>
  </si>
  <si>
    <t>São João Batista/MA</t>
  </si>
  <si>
    <t>São João do Carú/MA</t>
  </si>
  <si>
    <t>São João do Paraíso/MA</t>
  </si>
  <si>
    <t>São João do Soter/MA</t>
  </si>
  <si>
    <t>São João Dos Patos/MA</t>
  </si>
  <si>
    <t>São José de Ribamar/MA</t>
  </si>
  <si>
    <t>São José Dos Basílios/MA</t>
  </si>
  <si>
    <t>São Luís/MA</t>
  </si>
  <si>
    <t>São Luís Gonzaga do Maranhão/MA</t>
  </si>
  <si>
    <t>São Mateus do Maranhão/MA</t>
  </si>
  <si>
    <t>São Pedro da Água Branca/MA</t>
  </si>
  <si>
    <t>São Pedro Dos Crentes/MA</t>
  </si>
  <si>
    <t>São Raimundo Das Mangabeiras/MA</t>
  </si>
  <si>
    <t>São Raimundo do Doca Bezerra/MA</t>
  </si>
  <si>
    <t>São Roberto/MA</t>
  </si>
  <si>
    <t>São Vicente Ferrer/MA</t>
  </si>
  <si>
    <t>Satubinha/MA</t>
  </si>
  <si>
    <t>Senador Alexandre Costa/MA</t>
  </si>
  <si>
    <t>Senador la Rocque/MA</t>
  </si>
  <si>
    <t>Serrano do Maranhão/MA</t>
  </si>
  <si>
    <t>Sítio Novo/MA</t>
  </si>
  <si>
    <t>Sucupira do Norte/MA</t>
  </si>
  <si>
    <t>Sucupira do Riachão/MA</t>
  </si>
  <si>
    <t>Tasso Fragoso/MA</t>
  </si>
  <si>
    <t>Timbiras/MA</t>
  </si>
  <si>
    <t>Timon/MA</t>
  </si>
  <si>
    <t>Trizidela do Vale/MA</t>
  </si>
  <si>
    <t>Tufilândia/MA</t>
  </si>
  <si>
    <t>Tuntum/MA</t>
  </si>
  <si>
    <t>Turiaçu/MA</t>
  </si>
  <si>
    <t>Turilândia/MA</t>
  </si>
  <si>
    <t>Tutóia/MA</t>
  </si>
  <si>
    <t>Urbano Santos/MA</t>
  </si>
  <si>
    <t>Vargem Grande/MA</t>
  </si>
  <si>
    <t>Viana/MA</t>
  </si>
  <si>
    <t>Vila Nova Dos Martírios/MA</t>
  </si>
  <si>
    <t>Vitória do Mearim/MA</t>
  </si>
  <si>
    <t>Vitorino Freire/MA</t>
  </si>
  <si>
    <t>zé Doca/MA</t>
  </si>
  <si>
    <t>Acauã/PI</t>
  </si>
  <si>
    <t>Agricolândia/PI</t>
  </si>
  <si>
    <t>Água Branca/PI</t>
  </si>
  <si>
    <t>Alagoinha do Piauí/PI</t>
  </si>
  <si>
    <t>Alegrete do Piauí/PI</t>
  </si>
  <si>
    <t>Alto Longá/PI</t>
  </si>
  <si>
    <t>Altos/PI</t>
  </si>
  <si>
    <t>Alvorada do Gurguéia/PI</t>
  </si>
  <si>
    <t>Amarante/PI</t>
  </si>
  <si>
    <t>Angical do Piauí/PI</t>
  </si>
  <si>
    <t>Anísio de Abreu/PI</t>
  </si>
  <si>
    <t>Antônio Almeida/PI</t>
  </si>
  <si>
    <t>Aroazes/PI</t>
  </si>
  <si>
    <t>Aroeiras do Itaim/PI</t>
  </si>
  <si>
    <t>Arraial/PI</t>
  </si>
  <si>
    <t>Assunção do Piauí/PI</t>
  </si>
  <si>
    <t>Avelino Lopes/PI</t>
  </si>
  <si>
    <t>Baixa Grande do Ribeiro/PI</t>
  </si>
  <si>
    <t>Barra D´alcântara/PI</t>
  </si>
  <si>
    <t>Barras/PI</t>
  </si>
  <si>
    <t>Barreiras do Piauí/PI</t>
  </si>
  <si>
    <t>Barro Duro/PI</t>
  </si>
  <si>
    <t>Batalha/PI</t>
  </si>
  <si>
    <t>Bela Vista do Piauí/PI</t>
  </si>
  <si>
    <t>Belém do Piauí/PI</t>
  </si>
  <si>
    <t>Beneditinos/PI</t>
  </si>
  <si>
    <t>Bertolínia/PI</t>
  </si>
  <si>
    <t>Betânia do Piauí/PI</t>
  </si>
  <si>
    <t>Boa Hora/PI</t>
  </si>
  <si>
    <t>Bocaina/PI</t>
  </si>
  <si>
    <t>Bom Jesus/PI</t>
  </si>
  <si>
    <t>Bom Princípio do Piauí/PI</t>
  </si>
  <si>
    <t>Bonfim do Piauí/PI</t>
  </si>
  <si>
    <t>Boqueirão do Piauí/PI</t>
  </si>
  <si>
    <t>Brasileira/PI</t>
  </si>
  <si>
    <t>Brejo do Piauí/PI</t>
  </si>
  <si>
    <t>Buriti Dos Lopes/PI</t>
  </si>
  <si>
    <t>Buriti Dos Montes/PI</t>
  </si>
  <si>
    <t>Cabeceiras do Piauí/PI</t>
  </si>
  <si>
    <t>Cajazeiras do Piauí/PI</t>
  </si>
  <si>
    <t>Cajueiro da Praia/PI</t>
  </si>
  <si>
    <t>Caldeirão Grande do Piauí/PI</t>
  </si>
  <si>
    <t>Campinas do Piauí/PI</t>
  </si>
  <si>
    <t>Campo Alegre do Fidalgo/PI</t>
  </si>
  <si>
    <t>Campo Grande do Piauí/PI</t>
  </si>
  <si>
    <t>Campo Largo do Piauí/PI</t>
  </si>
  <si>
    <t>Campo Maior/PI</t>
  </si>
  <si>
    <t>Canavieira/PI</t>
  </si>
  <si>
    <t>Canto do Buriti/PI</t>
  </si>
  <si>
    <t>Capitão de Campos/PI</t>
  </si>
  <si>
    <t>Capitão Gervásio Oliveira/PI</t>
  </si>
  <si>
    <t>Caracol/PI</t>
  </si>
  <si>
    <t>Caraúbas do Piauí/PI</t>
  </si>
  <si>
    <t>Caridade do Piauí/PI</t>
  </si>
  <si>
    <t>Castelo do Piauí/PI</t>
  </si>
  <si>
    <t>Caxingó/PI</t>
  </si>
  <si>
    <t>Cocal/PI</t>
  </si>
  <si>
    <t>Cocal de Telha/PI</t>
  </si>
  <si>
    <t>Cocal Dos Alves/PI</t>
  </si>
  <si>
    <t>Coivaras/PI</t>
  </si>
  <si>
    <t>Colônia do Gurguéia/PI</t>
  </si>
  <si>
    <t>Colônia do Piauí/PI</t>
  </si>
  <si>
    <t>Conceição do Canindé/PI</t>
  </si>
  <si>
    <t>Coronel José Dias/PI</t>
  </si>
  <si>
    <t>Corrente/PI</t>
  </si>
  <si>
    <t>Cristalândia do Piauí/PI</t>
  </si>
  <si>
    <t>Cristino Castro/PI</t>
  </si>
  <si>
    <t>Curimatá/PI</t>
  </si>
  <si>
    <t>Currais/PI</t>
  </si>
  <si>
    <t>Curralinhos/PI</t>
  </si>
  <si>
    <t>Curral Novo do Piauí/PI</t>
  </si>
  <si>
    <t>Demerval Lobão/PI</t>
  </si>
  <si>
    <t>Dirceu Arcoverde/PI</t>
  </si>
  <si>
    <t>Dom Expedito Lopes/PI</t>
  </si>
  <si>
    <t>Domingos Mourão/PI</t>
  </si>
  <si>
    <t>Dom Inocêncio/PI</t>
  </si>
  <si>
    <t>Elesbão Veloso/PI</t>
  </si>
  <si>
    <t>Eliseu Martins/PI</t>
  </si>
  <si>
    <t>Esperantina/PI</t>
  </si>
  <si>
    <t>Fartura do Piauí/PI</t>
  </si>
  <si>
    <t>Flores do Piauí/PI</t>
  </si>
  <si>
    <t>Floresta do Piauí/PI</t>
  </si>
  <si>
    <t>Floriano/PI</t>
  </si>
  <si>
    <t>Francinópolis/PI</t>
  </si>
  <si>
    <t>Francisco Ayres/PI</t>
  </si>
  <si>
    <t>Francisco Macedo/PI</t>
  </si>
  <si>
    <t>Francisco Santos/PI</t>
  </si>
  <si>
    <t>Fronteiras/PI</t>
  </si>
  <si>
    <t>Geminiano/PI</t>
  </si>
  <si>
    <t>Gilbués/PI</t>
  </si>
  <si>
    <t>Guadalupe/PI</t>
  </si>
  <si>
    <t>Guaribas/PI</t>
  </si>
  <si>
    <t>Hugo Napoleão/PI</t>
  </si>
  <si>
    <t>Ilha Grande/PI</t>
  </si>
  <si>
    <t>Inhuma/PI</t>
  </si>
  <si>
    <t>Ipiranga do Piauí/PI</t>
  </si>
  <si>
    <t>Isaías Coelho/PI</t>
  </si>
  <si>
    <t>Itainópolis/PI</t>
  </si>
  <si>
    <t>Itaueira/PI</t>
  </si>
  <si>
    <t>Jacobina do Piauí/PI</t>
  </si>
  <si>
    <t>Jaicós/PI</t>
  </si>
  <si>
    <t>Jardim do Mulato/PI</t>
  </si>
  <si>
    <t>Jatobá do Piauí/PI</t>
  </si>
  <si>
    <t>Jerumenha/PI</t>
  </si>
  <si>
    <t>João Costa/PI</t>
  </si>
  <si>
    <t>Joaquim Pires/PI</t>
  </si>
  <si>
    <t>Joca Marques/PI</t>
  </si>
  <si>
    <t>José de Freitas/PI</t>
  </si>
  <si>
    <t>Juazeiro do Piauí/PI</t>
  </si>
  <si>
    <t>Júlio Borges/PI</t>
  </si>
  <si>
    <t>Jurema/PI</t>
  </si>
  <si>
    <t>Lagoinha do Piauí/PI</t>
  </si>
  <si>
    <t>Lagoa Alegre/PI</t>
  </si>
  <si>
    <t>Lagoa do Barro do Piauí/PI</t>
  </si>
  <si>
    <t>Lagoa de São Francisco/PI</t>
  </si>
  <si>
    <t>Lagoa do Piauí/PI</t>
  </si>
  <si>
    <t>Lagoa do Sítio/PI</t>
  </si>
  <si>
    <t>Landri Sales/PI</t>
  </si>
  <si>
    <t>Luís Correia/PI</t>
  </si>
  <si>
    <t>Luzilândia/PI</t>
  </si>
  <si>
    <t>Madeiro/PI</t>
  </si>
  <si>
    <t>Manoel Emídio/PI</t>
  </si>
  <si>
    <t>Marcolândia/PI</t>
  </si>
  <si>
    <t>Marcos Parente/PI</t>
  </si>
  <si>
    <t>Massapê do Piauí/PI</t>
  </si>
  <si>
    <t>Matias Olímpio/PI</t>
  </si>
  <si>
    <t>Miguel Alves/PI</t>
  </si>
  <si>
    <t>Miguel Leão/PI</t>
  </si>
  <si>
    <t>Milton Brandão/PI</t>
  </si>
  <si>
    <t>Monsenhor Gil/PI</t>
  </si>
  <si>
    <t>Monsenhor Hipólito/PI</t>
  </si>
  <si>
    <t>Monte Alegre do Piauí/PI</t>
  </si>
  <si>
    <t>Morro Cabeça no Tempo/PI</t>
  </si>
  <si>
    <t>Morro do Chapéu do Piauí/PI</t>
  </si>
  <si>
    <t>Murici Dos Portelas/PI</t>
  </si>
  <si>
    <t>Nazaré do Piauí/PI</t>
  </si>
  <si>
    <t>Nazária/PI</t>
  </si>
  <si>
    <t>Nossa Senhora de Nazaré/PI</t>
  </si>
  <si>
    <t>Nossa Senhora Dos Remédios/PI</t>
  </si>
  <si>
    <t>Novo Oriente do Piauí/PI</t>
  </si>
  <si>
    <t>Novo Santo Antônio/PI</t>
  </si>
  <si>
    <t>Oeiras/PI</t>
  </si>
  <si>
    <t>Olho D´água do Piauí/PI</t>
  </si>
  <si>
    <t>Padre Marcos/PI</t>
  </si>
  <si>
    <t>Paes Landim/PI</t>
  </si>
  <si>
    <t>Pajeú do Piauí/PI</t>
  </si>
  <si>
    <t>Palmeira do Piauí/PI</t>
  </si>
  <si>
    <t>Palmeirais/PI</t>
  </si>
  <si>
    <t>Paquetá/PI</t>
  </si>
  <si>
    <t>Parnaguá/PI</t>
  </si>
  <si>
    <t>Parnaíba/PI</t>
  </si>
  <si>
    <t>Passagem Franca do Piauí/PI</t>
  </si>
  <si>
    <t>Patos do Piauí/PI</t>
  </si>
  <si>
    <t>Pau D´arco do Piauí/PI</t>
  </si>
  <si>
    <t>Paulistana/PI</t>
  </si>
  <si>
    <t>Pavussu/PI</t>
  </si>
  <si>
    <t>Pedro ii/PI</t>
  </si>
  <si>
    <t>Pedro Laurentino/PI</t>
  </si>
  <si>
    <t>Nova Santa Rita/PI</t>
  </si>
  <si>
    <t>Picos/PI</t>
  </si>
  <si>
    <t>Pimenteiras/PI</t>
  </si>
  <si>
    <t>Pio ix/PI</t>
  </si>
  <si>
    <t>Piracuruca/PI</t>
  </si>
  <si>
    <t>Piripiri/PI</t>
  </si>
  <si>
    <t>Porto/PI</t>
  </si>
  <si>
    <t>Porto Alegre do Piauí/PI</t>
  </si>
  <si>
    <t>Prata do Piauí/PI</t>
  </si>
  <si>
    <t>Queimada Nova/PI</t>
  </si>
  <si>
    <t>Redenção do Gurguéia/PI</t>
  </si>
  <si>
    <t>Regeneração/PI</t>
  </si>
  <si>
    <t>Riacho Frio/PI</t>
  </si>
  <si>
    <t>Ribeira do Piauí/PI</t>
  </si>
  <si>
    <t>Ribeiro Gonçalves/PI</t>
  </si>
  <si>
    <t>Rio Grande do Piauí/PI</t>
  </si>
  <si>
    <t>Santa Cruz do Piauí/PI</t>
  </si>
  <si>
    <t>Santa Cruz Dos Milagres/PI</t>
  </si>
  <si>
    <t>Santa Filomena/PI</t>
  </si>
  <si>
    <t>Santa Luz/PI</t>
  </si>
  <si>
    <t>Santana do Piauí/PI</t>
  </si>
  <si>
    <t>Santa Rosa do Piauí/PI</t>
  </si>
  <si>
    <t>Santo Antônio de Lisboa/PI</t>
  </si>
  <si>
    <t>Santo Antônio Dos Milagres/PI</t>
  </si>
  <si>
    <t>Santo Inácio do Piauí/PI</t>
  </si>
  <si>
    <t>São Braz do Piauí/PI</t>
  </si>
  <si>
    <t>São Félix do Piauí/PI</t>
  </si>
  <si>
    <t>São Francisco de Assis do Piauí/PI</t>
  </si>
  <si>
    <t>São Francisco do Piauí/PI</t>
  </si>
  <si>
    <t>São Gonçalo do Gurguéia/PI</t>
  </si>
  <si>
    <t>São Gonçalo do Piauí/PI</t>
  </si>
  <si>
    <t>São João da Canabrava/PI</t>
  </si>
  <si>
    <t>São João da Fronteira/PI</t>
  </si>
  <si>
    <t>São João da Serra/PI</t>
  </si>
  <si>
    <t>São João da Varjota/PI</t>
  </si>
  <si>
    <t>São João do Arraial/PI</t>
  </si>
  <si>
    <t>São João do Piauí/PI</t>
  </si>
  <si>
    <t>São José do Divino/PI</t>
  </si>
  <si>
    <t>São José do Peixe/PI</t>
  </si>
  <si>
    <t>São José do Piauí/PI</t>
  </si>
  <si>
    <t>São Julião/PI</t>
  </si>
  <si>
    <t>São Lourenço do Piauí/PI</t>
  </si>
  <si>
    <t>São Luis do Piauí/PI</t>
  </si>
  <si>
    <t>São Miguel da Baixa Grande/PI</t>
  </si>
  <si>
    <t>São Miguel do Fidalgo/PI</t>
  </si>
  <si>
    <t>São Miguel do Tapuio/PI</t>
  </si>
  <si>
    <t>São Pedro do Piauí/PI</t>
  </si>
  <si>
    <t>São Raimundo Nonato/PI</t>
  </si>
  <si>
    <t>Sebastião Barros/PI</t>
  </si>
  <si>
    <t>Sebastião Leal/PI</t>
  </si>
  <si>
    <t>Sigefredo Pacheco/PI</t>
  </si>
  <si>
    <t>Simões/PI</t>
  </si>
  <si>
    <t>Simplício Mendes/PI</t>
  </si>
  <si>
    <t>Socorro do Piauí/PI</t>
  </si>
  <si>
    <t>Sussuapara/PI</t>
  </si>
  <si>
    <t>Tamboril do Piauí/PI</t>
  </si>
  <si>
    <t>Tanque do Piauí/PI</t>
  </si>
  <si>
    <t>Teresina/PI</t>
  </si>
  <si>
    <t>União/PI</t>
  </si>
  <si>
    <t>Uruçuí/PI</t>
  </si>
  <si>
    <t>Valença do Piauí/PI</t>
  </si>
  <si>
    <t>Várzea Branca/PI</t>
  </si>
  <si>
    <t>Várzea Grande/PI</t>
  </si>
  <si>
    <t>Vera Mendes/PI</t>
  </si>
  <si>
    <t>Vila Nova do Piauí/PI</t>
  </si>
  <si>
    <t>Wall Ferraz/PI</t>
  </si>
  <si>
    <t>Abaiara/CE</t>
  </si>
  <si>
    <t>Acarapé/CE</t>
  </si>
  <si>
    <t>Acaraú/CE</t>
  </si>
  <si>
    <t>Acopiara/CE</t>
  </si>
  <si>
    <t>Aiuaba/CE</t>
  </si>
  <si>
    <t>Alcântaras/CE</t>
  </si>
  <si>
    <t>Altaneira/CE</t>
  </si>
  <si>
    <t>Alto Santo/CE</t>
  </si>
  <si>
    <t>Amontada/CE</t>
  </si>
  <si>
    <t>Antonina do Norte/CE</t>
  </si>
  <si>
    <t>Apuiarés/CE</t>
  </si>
  <si>
    <t>Aquiraz/CE</t>
  </si>
  <si>
    <t>Aracati/CE</t>
  </si>
  <si>
    <t>Aracoiaba/CE</t>
  </si>
  <si>
    <t>Ararendá/CE</t>
  </si>
  <si>
    <t>Araripe/CE</t>
  </si>
  <si>
    <t>Aratuba/CE</t>
  </si>
  <si>
    <t>Arneiroz/CE</t>
  </si>
  <si>
    <t>Assaré/CE</t>
  </si>
  <si>
    <t>Aurora/CE</t>
  </si>
  <si>
    <t>Baixio/CE</t>
  </si>
  <si>
    <t>Banabuiú/CE</t>
  </si>
  <si>
    <t>Barbalha/CE</t>
  </si>
  <si>
    <t>Barreira/CE</t>
  </si>
  <si>
    <t>Barro/CE</t>
  </si>
  <si>
    <t>Barroquinha/CE</t>
  </si>
  <si>
    <t>Baturité/CE</t>
  </si>
  <si>
    <t>Beberibe/CE</t>
  </si>
  <si>
    <t>Bela Cruz/CE</t>
  </si>
  <si>
    <t>Boa Viagem/CE</t>
  </si>
  <si>
    <t>Brejo Santo/CE</t>
  </si>
  <si>
    <t>Camocim/CE</t>
  </si>
  <si>
    <t>Campos Sales/CE</t>
  </si>
  <si>
    <t>Canindé/CE</t>
  </si>
  <si>
    <t>Capistrano/CE</t>
  </si>
  <si>
    <t>Caridade/CE</t>
  </si>
  <si>
    <t>Cariré/CE</t>
  </si>
  <si>
    <t>Caririaçu/CE</t>
  </si>
  <si>
    <t>Cariús/CE</t>
  </si>
  <si>
    <t>Carnaubal/CE</t>
  </si>
  <si>
    <t>Cascavel/CE</t>
  </si>
  <si>
    <t>Catarina/CE</t>
  </si>
  <si>
    <t>Catunda/CE</t>
  </si>
  <si>
    <t>Caucaia/CE</t>
  </si>
  <si>
    <t>Cedro/CE</t>
  </si>
  <si>
    <t>Chaval/CE</t>
  </si>
  <si>
    <t>Choró/CE</t>
  </si>
  <si>
    <t>Chorozinho/CE</t>
  </si>
  <si>
    <t>Coreaú/CE</t>
  </si>
  <si>
    <t>Crateús/CE</t>
  </si>
  <si>
    <t>Crato/CE</t>
  </si>
  <si>
    <t>Croatá/CE</t>
  </si>
  <si>
    <t>Cruz/CE</t>
  </si>
  <si>
    <t>Deputado Irapuan Pinheiro/CE</t>
  </si>
  <si>
    <t>Ererê/CE</t>
  </si>
  <si>
    <t>Eusébio/CE</t>
  </si>
  <si>
    <t>Farias Brito/CE</t>
  </si>
  <si>
    <t>Forquilha/CE</t>
  </si>
  <si>
    <t>Fortaleza/CE</t>
  </si>
  <si>
    <t>Fortim/CE</t>
  </si>
  <si>
    <t>Frecheirinha/CE</t>
  </si>
  <si>
    <t>General Sampaio/CE</t>
  </si>
  <si>
    <t>Graça/CE</t>
  </si>
  <si>
    <t>Granja/CE</t>
  </si>
  <si>
    <t>Granjeiro/CE</t>
  </si>
  <si>
    <t>Groaíras/CE</t>
  </si>
  <si>
    <t>Guaiúba/CE</t>
  </si>
  <si>
    <t>Guaraciaba do Norte/CE</t>
  </si>
  <si>
    <t>Guaramiranga/CE</t>
  </si>
  <si>
    <t>Hidrolândia/CE</t>
  </si>
  <si>
    <t>Horizonte/CE</t>
  </si>
  <si>
    <t>Ibaretama/CE</t>
  </si>
  <si>
    <t>Ibiapina/CE</t>
  </si>
  <si>
    <t>Ibicuitinga/CE</t>
  </si>
  <si>
    <t>Icapuí/CE</t>
  </si>
  <si>
    <t>Icó/CE</t>
  </si>
  <si>
    <t>Iguatu/CE</t>
  </si>
  <si>
    <t>Independência/CE</t>
  </si>
  <si>
    <t>Ipaporanga/CE</t>
  </si>
  <si>
    <t>Ipaumirim/CE</t>
  </si>
  <si>
    <t>Ipu/CE</t>
  </si>
  <si>
    <t>Ipueiras/CE</t>
  </si>
  <si>
    <t>Iracema/CE</t>
  </si>
  <si>
    <t>Irauçuba/CE</t>
  </si>
  <si>
    <t>Itaiçaba/CE</t>
  </si>
  <si>
    <t>Itaitinga/CE</t>
  </si>
  <si>
    <t>Itapagé/CE</t>
  </si>
  <si>
    <t>Itapipoca/CE</t>
  </si>
  <si>
    <t>Itapiúna/CE</t>
  </si>
  <si>
    <t>Itarema/CE</t>
  </si>
  <si>
    <t>Itatira/CE</t>
  </si>
  <si>
    <t>Jaguaretama/CE</t>
  </si>
  <si>
    <t>Jaguaribara/CE</t>
  </si>
  <si>
    <t>Jaguaribe/CE</t>
  </si>
  <si>
    <t>Jaguaruana/CE</t>
  </si>
  <si>
    <t>Jardim/CE</t>
  </si>
  <si>
    <t>Jati/CE</t>
  </si>
  <si>
    <t>Jijoca de Jericoacoara/CE</t>
  </si>
  <si>
    <t>Juazeiro do Norte/CE</t>
  </si>
  <si>
    <t>Jucás/CE</t>
  </si>
  <si>
    <t>Lavras da Mangabeira/CE</t>
  </si>
  <si>
    <t>Limoeiro do Norte/CE</t>
  </si>
  <si>
    <t>Madalena/CE</t>
  </si>
  <si>
    <t>Maracanaú/CE</t>
  </si>
  <si>
    <t>Maranguape/CE</t>
  </si>
  <si>
    <t>Marco/CE</t>
  </si>
  <si>
    <t>Martinópole/CE</t>
  </si>
  <si>
    <t>Massapê/CE</t>
  </si>
  <si>
    <t>Mauriti/CE</t>
  </si>
  <si>
    <t>Meruoca/CE</t>
  </si>
  <si>
    <t>Milagres/CE</t>
  </si>
  <si>
    <t>Milhã/CE</t>
  </si>
  <si>
    <t>Miraíma/CE</t>
  </si>
  <si>
    <t>Missão Velha/CE</t>
  </si>
  <si>
    <t>Mombaça/CE</t>
  </si>
  <si>
    <t>Monsenhor Tabosa/CE</t>
  </si>
  <si>
    <t>Morada Nova/CE</t>
  </si>
  <si>
    <t>Moraújo/CE</t>
  </si>
  <si>
    <t>Morrinhos/CE</t>
  </si>
  <si>
    <t>Mucambo/CE</t>
  </si>
  <si>
    <t>Mulungu/CE</t>
  </si>
  <si>
    <t>Nova Olinda/CE</t>
  </si>
  <si>
    <t>Nova Russas/CE</t>
  </si>
  <si>
    <t>Novo Oriente/CE</t>
  </si>
  <si>
    <t>Ocara/CE</t>
  </si>
  <si>
    <t>Orós/CE</t>
  </si>
  <si>
    <t>Pacajus/CE</t>
  </si>
  <si>
    <t>Pacatuba/CE</t>
  </si>
  <si>
    <t>Pacoti/CE</t>
  </si>
  <si>
    <t>Pacujá/CE</t>
  </si>
  <si>
    <t>Palhano/CE</t>
  </si>
  <si>
    <t>Palmácia/CE</t>
  </si>
  <si>
    <t>Paracuru/CE</t>
  </si>
  <si>
    <t>Paraipaba/CE</t>
  </si>
  <si>
    <t>Parambu/CE</t>
  </si>
  <si>
    <t>Paramoti/CE</t>
  </si>
  <si>
    <t>Pedra Branca/CE</t>
  </si>
  <si>
    <t>Penaforte/CE</t>
  </si>
  <si>
    <t>Pentecoste/CE</t>
  </si>
  <si>
    <t>Pereiro/CE</t>
  </si>
  <si>
    <t>Pindoretama/CE</t>
  </si>
  <si>
    <t>Piquet Carneiro/CE</t>
  </si>
  <si>
    <t>Pires Ferreira/CE</t>
  </si>
  <si>
    <t>Poranga/CE</t>
  </si>
  <si>
    <t>Porteiras/CE</t>
  </si>
  <si>
    <t>Potengi/CE</t>
  </si>
  <si>
    <t>Potiretama/CE</t>
  </si>
  <si>
    <t>Quiterianópolis/CE</t>
  </si>
  <si>
    <t>Quixadá/CE</t>
  </si>
  <si>
    <t>Quixelô/CE</t>
  </si>
  <si>
    <t>Quixeramobim/CE</t>
  </si>
  <si>
    <t>Quixeré/CE</t>
  </si>
  <si>
    <t>Redenção/CE</t>
  </si>
  <si>
    <t>Reriutaba/CE</t>
  </si>
  <si>
    <t>Russas/CE</t>
  </si>
  <si>
    <t>Saboeiro/CE</t>
  </si>
  <si>
    <t>Salitre/CE</t>
  </si>
  <si>
    <t>Santana do Acaraú/CE</t>
  </si>
  <si>
    <t>Santana do Cariri/CE</t>
  </si>
  <si>
    <t>Santa Quitéria/CE</t>
  </si>
  <si>
    <t>São Benedito/CE</t>
  </si>
  <si>
    <t>São Gonçalo do Amarante/CE</t>
  </si>
  <si>
    <t>São João do Jaguaribe/CE</t>
  </si>
  <si>
    <t>São Luís do Curu/CE</t>
  </si>
  <si>
    <t>Senador Pompeu/CE</t>
  </si>
  <si>
    <t>Senador sá/CE</t>
  </si>
  <si>
    <t>Sobral/CE</t>
  </si>
  <si>
    <t>Solonópole/CE</t>
  </si>
  <si>
    <t>Tabuleiro do Norte/CE</t>
  </si>
  <si>
    <t>Tamboril/CE</t>
  </si>
  <si>
    <t>Tarrafas/CE</t>
  </si>
  <si>
    <t>Tauá/CE</t>
  </si>
  <si>
    <t>Tejuçuoca/CE</t>
  </si>
  <si>
    <t>Tianguá/CE</t>
  </si>
  <si>
    <t>Trairi/CE</t>
  </si>
  <si>
    <t>Tururu/CE</t>
  </si>
  <si>
    <t>Ubajara/CE</t>
  </si>
  <si>
    <t>Umari/CE</t>
  </si>
  <si>
    <t>Umirim/CE</t>
  </si>
  <si>
    <t>Uruburetama/CE</t>
  </si>
  <si>
    <t>Uruoca/CE</t>
  </si>
  <si>
    <t>Varjota/CE</t>
  </si>
  <si>
    <t>Várzea Alegre/CE</t>
  </si>
  <si>
    <t>Viçosa do Ceará/CE</t>
  </si>
  <si>
    <t>Acari/RN</t>
  </si>
  <si>
    <t>Açu/RN</t>
  </si>
  <si>
    <t>Afonso Bezerra/RN</t>
  </si>
  <si>
    <t>Água Nova/RN</t>
  </si>
  <si>
    <t>Alexandria/RN</t>
  </si>
  <si>
    <t>Almino Afonso/RN</t>
  </si>
  <si>
    <t>Alto do Rodrigues/RN</t>
  </si>
  <si>
    <t>Angicos/RN</t>
  </si>
  <si>
    <t>Antônio Martins/RN</t>
  </si>
  <si>
    <t>Apodi/RN</t>
  </si>
  <si>
    <t>Areia Branca/RN</t>
  </si>
  <si>
    <t>Arês/RN</t>
  </si>
  <si>
    <t>Augusto Severo/RN</t>
  </si>
  <si>
    <t>Baía Formosa/RN</t>
  </si>
  <si>
    <t>Baraúna/RN</t>
  </si>
  <si>
    <t>Barcelona/RN</t>
  </si>
  <si>
    <t>Bento Fernandes/RN</t>
  </si>
  <si>
    <t>Bodó/RN</t>
  </si>
  <si>
    <t>Bom Jesus/RN</t>
  </si>
  <si>
    <t>Brejinho/RN</t>
  </si>
  <si>
    <t>Caiçara do Norte/RN</t>
  </si>
  <si>
    <t>Caiçara do Rio do Vento/RN</t>
  </si>
  <si>
    <t>Caicó/RN</t>
  </si>
  <si>
    <t>Campo Redondo/RN</t>
  </si>
  <si>
    <t>Canguaretama/RN</t>
  </si>
  <si>
    <t>Caraúbas/RN</t>
  </si>
  <si>
    <t>Carnaúba Dos Dantas/RN</t>
  </si>
  <si>
    <t>Carnaubais/RN</t>
  </si>
  <si>
    <t>Ceará-mirim/RN</t>
  </si>
  <si>
    <t>Cerro Corá/RN</t>
  </si>
  <si>
    <t>Coronel Ezequiel/RN</t>
  </si>
  <si>
    <t>Coronel João Pessoa/RN</t>
  </si>
  <si>
    <t>Cruzeta/RN</t>
  </si>
  <si>
    <t>Currais Novos/RN</t>
  </si>
  <si>
    <t>Doutor Severiano/RN</t>
  </si>
  <si>
    <t>Parnamirim/RN</t>
  </si>
  <si>
    <t>Encanto/RN</t>
  </si>
  <si>
    <t>Equador/RN</t>
  </si>
  <si>
    <t>Espírito Santo/RN</t>
  </si>
  <si>
    <t>Extremoz/RN</t>
  </si>
  <si>
    <t>Felipe Guerra/RN</t>
  </si>
  <si>
    <t>Fernando Pedroza/RN</t>
  </si>
  <si>
    <t>Florânia/RN</t>
  </si>
  <si>
    <t>Francisco Dantas/RN</t>
  </si>
  <si>
    <t>Frutuoso Gomes/RN</t>
  </si>
  <si>
    <t>Galinhos/RN</t>
  </si>
  <si>
    <t>Goianinha/RN</t>
  </si>
  <si>
    <t>Governador Dix-sept Rosado/RN</t>
  </si>
  <si>
    <t>Grossos/RN</t>
  </si>
  <si>
    <t>Guamaré/RN</t>
  </si>
  <si>
    <t>Ielmo Marinho/RN</t>
  </si>
  <si>
    <t>Ipanguaçu/RN</t>
  </si>
  <si>
    <t>Ipueira/RN</t>
  </si>
  <si>
    <t>Itajá/RN</t>
  </si>
  <si>
    <t>Itaú/RN</t>
  </si>
  <si>
    <t>Jaçanã/RN</t>
  </si>
  <si>
    <t>Jandaíra/RN</t>
  </si>
  <si>
    <t>Janduís/RN</t>
  </si>
  <si>
    <t>Januário Cicco/RN</t>
  </si>
  <si>
    <t>Japi/RN</t>
  </si>
  <si>
    <t>Jardim de Angicos/RN</t>
  </si>
  <si>
    <t>Jardim de Piranhas/RN</t>
  </si>
  <si>
    <t>Jardim do Seridó/RN</t>
  </si>
  <si>
    <t>João Câmara/RN</t>
  </si>
  <si>
    <t>João Dias/RN</t>
  </si>
  <si>
    <t>José da Penha/RN</t>
  </si>
  <si>
    <t>Jucurutu/RN</t>
  </si>
  <si>
    <t>Jundiá/RN</t>
  </si>
  <si>
    <t>Lagoa D´anta/RN</t>
  </si>
  <si>
    <t>Lagoa de Pedras/RN</t>
  </si>
  <si>
    <t>Lagoa de Velhos/RN</t>
  </si>
  <si>
    <t>Lagoa Nova/RN</t>
  </si>
  <si>
    <t>Lagoa Salgada/RN</t>
  </si>
  <si>
    <t>Lajes/RN</t>
  </si>
  <si>
    <t>Lajes Pintadas/RN</t>
  </si>
  <si>
    <t>Lucrécia/RN</t>
  </si>
  <si>
    <t>Luís Gomes/RN</t>
  </si>
  <si>
    <t>Macaíba/RN</t>
  </si>
  <si>
    <t>Macau/RN</t>
  </si>
  <si>
    <t>Major Sales/RN</t>
  </si>
  <si>
    <t>Marcelino Vieira/RN</t>
  </si>
  <si>
    <t>Martins/RN</t>
  </si>
  <si>
    <t>Maxaranguape/RN</t>
  </si>
  <si>
    <t>Messias Targino/RN</t>
  </si>
  <si>
    <t>Montanhas/RN</t>
  </si>
  <si>
    <t>Monte Alegre/RN</t>
  </si>
  <si>
    <t>Monte Das Gameleiras/RN</t>
  </si>
  <si>
    <t>Mossoró/RN</t>
  </si>
  <si>
    <t>Natal/RN</t>
  </si>
  <si>
    <t>Nísia Floresta/RN</t>
  </si>
  <si>
    <t>Nova Cruz/RN</t>
  </si>
  <si>
    <t>Olho-d´água do Borges/RN</t>
  </si>
  <si>
    <t>Ouro Branco/RN</t>
  </si>
  <si>
    <t>Paraná/RN</t>
  </si>
  <si>
    <t>Paraú/RN</t>
  </si>
  <si>
    <t>Parazinho/RN</t>
  </si>
  <si>
    <t>Parelhas/RN</t>
  </si>
  <si>
    <t>Rio do Fogo/RN</t>
  </si>
  <si>
    <t>Passa e Fica/RN</t>
  </si>
  <si>
    <t>Passagem/RN</t>
  </si>
  <si>
    <t>Patu/RN</t>
  </si>
  <si>
    <t>Santa Maria/RN</t>
  </si>
  <si>
    <t>Pau Dos Ferros/RN</t>
  </si>
  <si>
    <t>Pedra Grande/RN</t>
  </si>
  <si>
    <t>Pedra Preta/RN</t>
  </si>
  <si>
    <t>Pedro Avelino/RN</t>
  </si>
  <si>
    <t>Pedro Velho/RN</t>
  </si>
  <si>
    <t>Pendências/RN</t>
  </si>
  <si>
    <t>Pilões/RN</t>
  </si>
  <si>
    <t>Poço Branco/RN</t>
  </si>
  <si>
    <t>Portalegre/RN</t>
  </si>
  <si>
    <t>Porto do Mangue/RN</t>
  </si>
  <si>
    <t>Presidente Juscelino/RN</t>
  </si>
  <si>
    <t>Pureza/RN</t>
  </si>
  <si>
    <t>Rafael Fernandes/RN</t>
  </si>
  <si>
    <t>Rafael Godeiro/RN</t>
  </si>
  <si>
    <t>Riacho da Cruz/RN</t>
  </si>
  <si>
    <t>Riacho de Santana/RN</t>
  </si>
  <si>
    <t>Riachuelo/RN</t>
  </si>
  <si>
    <t>Rodolfo Fernandes/RN</t>
  </si>
  <si>
    <t>Tibau/RN</t>
  </si>
  <si>
    <t>Ruy Barbosa/RN</t>
  </si>
  <si>
    <t>Santa Cruz/RN</t>
  </si>
  <si>
    <t>Santana do Matos/RN</t>
  </si>
  <si>
    <t>Santana do Seridó/RN</t>
  </si>
  <si>
    <t>Santo Antônio/RN</t>
  </si>
  <si>
    <t>São Bento do Norte/RN</t>
  </si>
  <si>
    <t>São Bento do Trairí/RN</t>
  </si>
  <si>
    <t>São Fernando/RN</t>
  </si>
  <si>
    <t>São Francisco do Oeste/RN</t>
  </si>
  <si>
    <t>São Gonçalo do Amarante/RN</t>
  </si>
  <si>
    <t>São João do Sabugi/RN</t>
  </si>
  <si>
    <t>São José de Mipibu/RN</t>
  </si>
  <si>
    <t>São José do Campestre/RN</t>
  </si>
  <si>
    <t>São José do Seridó/RN</t>
  </si>
  <si>
    <t>São Miguel/RN</t>
  </si>
  <si>
    <t>São Miguel do Gostoso/RN</t>
  </si>
  <si>
    <t>São Paulo do Potengi/RN</t>
  </si>
  <si>
    <t>São Pedro/RN</t>
  </si>
  <si>
    <t>São Rafael/RN</t>
  </si>
  <si>
    <t>São Tomé/RN</t>
  </si>
  <si>
    <t>São Vicente/RN</t>
  </si>
  <si>
    <t>Senador Elói de Souza/RN</t>
  </si>
  <si>
    <t>Senador Georgino Avelino/RN</t>
  </si>
  <si>
    <t>Serra de São Bento/RN</t>
  </si>
  <si>
    <t>Serra do Mel/RN</t>
  </si>
  <si>
    <t>Serra Negra do Norte/RN</t>
  </si>
  <si>
    <t>Serrinha/RN</t>
  </si>
  <si>
    <t>Serrinha Dos Pintos/RN</t>
  </si>
  <si>
    <t>Severiano Melo/RN</t>
  </si>
  <si>
    <t>Sítio Novo/RN</t>
  </si>
  <si>
    <t>Taboleiro Grande/RN</t>
  </si>
  <si>
    <t>Taipu/RN</t>
  </si>
  <si>
    <t>Tangará/RN</t>
  </si>
  <si>
    <t>Tenente Ananias/RN</t>
  </si>
  <si>
    <t>Tenente Laurentino Cruz/RN</t>
  </si>
  <si>
    <t>Tibau do Sul/RN</t>
  </si>
  <si>
    <t>Timbaúba Dos Batistas/RN</t>
  </si>
  <si>
    <t>Touros/RN</t>
  </si>
  <si>
    <t>Triunfo Potiguar/RN</t>
  </si>
  <si>
    <t>Umarizal/RN</t>
  </si>
  <si>
    <t>Upanema/RN</t>
  </si>
  <si>
    <t>Várzea/RN</t>
  </si>
  <si>
    <t>Venha-ver/RN</t>
  </si>
  <si>
    <t>Vera Cruz/RN</t>
  </si>
  <si>
    <t>Viçosa/RN</t>
  </si>
  <si>
    <t>Vila Flor/RN</t>
  </si>
  <si>
    <t>Água Branca/PB</t>
  </si>
  <si>
    <t>Aguiar/PB</t>
  </si>
  <si>
    <t>Alagoa Grande/PB</t>
  </si>
  <si>
    <t>Alagoa Nova/PB</t>
  </si>
  <si>
    <t>Alagoinha/PB</t>
  </si>
  <si>
    <t>Alcantil/PB</t>
  </si>
  <si>
    <t>Algodão de Jandaíra/PB</t>
  </si>
  <si>
    <t>Alhandra/PB</t>
  </si>
  <si>
    <t>São João do Rio do Peixe/PB</t>
  </si>
  <si>
    <t>Amparo/PB</t>
  </si>
  <si>
    <t>Aparecida/PB</t>
  </si>
  <si>
    <t>Araçagi/PB</t>
  </si>
  <si>
    <t>Arara/PB</t>
  </si>
  <si>
    <t>Araruna/PB</t>
  </si>
  <si>
    <t>Areia/PB</t>
  </si>
  <si>
    <t>Areia de Baraúnas/PB</t>
  </si>
  <si>
    <t>Areial/PB</t>
  </si>
  <si>
    <t>Aroeiras/PB</t>
  </si>
  <si>
    <t>Assunção/PB</t>
  </si>
  <si>
    <t>Baía da Traição/PB</t>
  </si>
  <si>
    <t>Bananeiras/PB</t>
  </si>
  <si>
    <t>Baraúna/PB</t>
  </si>
  <si>
    <t>Barra de Santana/PB</t>
  </si>
  <si>
    <t>Barra de Santa Rosa/PB</t>
  </si>
  <si>
    <t>Barra de São Miguel/PB</t>
  </si>
  <si>
    <t>Bayeux/PB</t>
  </si>
  <si>
    <t>Belém/PB</t>
  </si>
  <si>
    <t>Belém do Brejo do Cruz/PB</t>
  </si>
  <si>
    <t>Bernardino Batista/PB</t>
  </si>
  <si>
    <t>Boa Ventura/PB</t>
  </si>
  <si>
    <t>Boa Vista/PB</t>
  </si>
  <si>
    <t>Bom Jesus/PB</t>
  </si>
  <si>
    <t>Bom Sucesso/PB</t>
  </si>
  <si>
    <t>Bonito de Santa fé/PB</t>
  </si>
  <si>
    <t>Boqueirão/PB</t>
  </si>
  <si>
    <t>Igaracy/PB</t>
  </si>
  <si>
    <t>Borborema/PB</t>
  </si>
  <si>
    <t>Brejo do Cruz/PB</t>
  </si>
  <si>
    <t>Brejo Dos Santos/PB</t>
  </si>
  <si>
    <t>Caaporã/PB</t>
  </si>
  <si>
    <t>Cabaceiras/PB</t>
  </si>
  <si>
    <t>Cabedelo/PB</t>
  </si>
  <si>
    <t>Cachoeira Dos Índios/PB</t>
  </si>
  <si>
    <t>Cacimba de Areia/PB</t>
  </si>
  <si>
    <t>Cacimba de Dentro/PB</t>
  </si>
  <si>
    <t>Cacimbas/PB</t>
  </si>
  <si>
    <t>Caiçara/PB</t>
  </si>
  <si>
    <t>Cajazeiras/PB</t>
  </si>
  <si>
    <t>Cajazeirinhas/PB</t>
  </si>
  <si>
    <t>Caldas Brandão/PB</t>
  </si>
  <si>
    <t>Camalaú/PB</t>
  </si>
  <si>
    <t>Campina Grande/PB</t>
  </si>
  <si>
    <t>Capim/PB</t>
  </si>
  <si>
    <t>Caraúbas/PB</t>
  </si>
  <si>
    <t>Carrapateira/PB</t>
  </si>
  <si>
    <t>Casserengue/PB</t>
  </si>
  <si>
    <t>Catingueira/PB</t>
  </si>
  <si>
    <t>Catolé do Rocha/PB</t>
  </si>
  <si>
    <t>Caturité/PB</t>
  </si>
  <si>
    <t>Conceição/PB</t>
  </si>
  <si>
    <t>Condado/PB</t>
  </si>
  <si>
    <t>Conde/PB</t>
  </si>
  <si>
    <t>Congo/PB</t>
  </si>
  <si>
    <t>Coremas/PB</t>
  </si>
  <si>
    <t>Coxixola/PB</t>
  </si>
  <si>
    <t>Cruz do Espírito Santo/PB</t>
  </si>
  <si>
    <t>Cubati/PB</t>
  </si>
  <si>
    <t>Cuité/PB</t>
  </si>
  <si>
    <t>Cuitegi/PB</t>
  </si>
  <si>
    <t>Cuité de Mamanguape/PB</t>
  </si>
  <si>
    <t>Curral de Cima/PB</t>
  </si>
  <si>
    <t>Curral Velho/PB</t>
  </si>
  <si>
    <t>Damião/PB</t>
  </si>
  <si>
    <t>Desterro/PB</t>
  </si>
  <si>
    <t>Vista Serrana/PB</t>
  </si>
  <si>
    <t>Diamante/PB</t>
  </si>
  <si>
    <t>Dona Inês/PB</t>
  </si>
  <si>
    <t>Duas Estradas/PB</t>
  </si>
  <si>
    <t>Emas/PB</t>
  </si>
  <si>
    <t>Esperança/PB</t>
  </si>
  <si>
    <t>Fagundes/PB</t>
  </si>
  <si>
    <t>Frei Martinho/PB</t>
  </si>
  <si>
    <t>Gado Bravo/PB</t>
  </si>
  <si>
    <t>Guarabira/PB</t>
  </si>
  <si>
    <t>Gurinhém/PB</t>
  </si>
  <si>
    <t>Gurjão/PB</t>
  </si>
  <si>
    <t>Ibiara/PB</t>
  </si>
  <si>
    <t>Imaculada/PB</t>
  </si>
  <si>
    <t>Ingá/PB</t>
  </si>
  <si>
    <t>Itabaiana/PB</t>
  </si>
  <si>
    <t>Itaporanga/PB</t>
  </si>
  <si>
    <t>Itapororoca/PB</t>
  </si>
  <si>
    <t>Itatuba/PB</t>
  </si>
  <si>
    <t>Jacaraú/PB</t>
  </si>
  <si>
    <t>Jericó/PB</t>
  </si>
  <si>
    <t>João Pessoa/PB</t>
  </si>
  <si>
    <t>Juarez Távora/PB</t>
  </si>
  <si>
    <t>Juazeirinho/PB</t>
  </si>
  <si>
    <t>Junco do Seridó/PB</t>
  </si>
  <si>
    <t>Juripiranga/PB</t>
  </si>
  <si>
    <t>Juru/PB</t>
  </si>
  <si>
    <t>Lagoa/PB</t>
  </si>
  <si>
    <t>Lagoa de Dentro/PB</t>
  </si>
  <si>
    <t>Lagoa Seca/PB</t>
  </si>
  <si>
    <t>Lastro/PB</t>
  </si>
  <si>
    <t>Livramento/PB</t>
  </si>
  <si>
    <t>Logradouro/PB</t>
  </si>
  <si>
    <t>Lucena/PB</t>
  </si>
  <si>
    <t>Mãe D´água/PB</t>
  </si>
  <si>
    <t>Malta/PB</t>
  </si>
  <si>
    <t>Mamanguape/PB</t>
  </si>
  <si>
    <t>Manaíra/PB</t>
  </si>
  <si>
    <t>Marcação/PB</t>
  </si>
  <si>
    <t>Mari/PB</t>
  </si>
  <si>
    <t>Marizópolis/PB</t>
  </si>
  <si>
    <t>Massaranduba/PB</t>
  </si>
  <si>
    <t>Mataraca/PB</t>
  </si>
  <si>
    <t>Matinhas/PB</t>
  </si>
  <si>
    <t>Mato Grosso/PB</t>
  </si>
  <si>
    <t>Maturéia/PB</t>
  </si>
  <si>
    <t>Mogeiro/PB</t>
  </si>
  <si>
    <t>Montadas/PB</t>
  </si>
  <si>
    <t>Monte Horebe/PB</t>
  </si>
  <si>
    <t>Monteiro/PB</t>
  </si>
  <si>
    <t>Mulungu/PB</t>
  </si>
  <si>
    <t>Natuba/PB</t>
  </si>
  <si>
    <t>Nazarezinho/PB</t>
  </si>
  <si>
    <t>Nova Floresta/PB</t>
  </si>
  <si>
    <t>Nova Olinda/PB</t>
  </si>
  <si>
    <t>Nova Palmeira/PB</t>
  </si>
  <si>
    <t>Olho D´água/PB</t>
  </si>
  <si>
    <t>Olivedos/PB</t>
  </si>
  <si>
    <t>Ouro Velho/PB</t>
  </si>
  <si>
    <t>Parari/PB</t>
  </si>
  <si>
    <t>Passagem/PB</t>
  </si>
  <si>
    <t>Patos/PB</t>
  </si>
  <si>
    <t>Paulista/PB</t>
  </si>
  <si>
    <t>Pedra Branca/PB</t>
  </si>
  <si>
    <t>Pedra Lavrada/PB</t>
  </si>
  <si>
    <t>Pedras de Fogo/PB</t>
  </si>
  <si>
    <t>Piancó/PB</t>
  </si>
  <si>
    <t>Picuí/PB</t>
  </si>
  <si>
    <t>Pilar/PB</t>
  </si>
  <si>
    <t>Pilões/PB</t>
  </si>
  <si>
    <t>Pilõezinhos/PB</t>
  </si>
  <si>
    <t>Pirpirituba/PB</t>
  </si>
  <si>
    <t>Pitimbu/PB</t>
  </si>
  <si>
    <t>Pocinhos/PB</t>
  </si>
  <si>
    <t>Poço Dantas/PB</t>
  </si>
  <si>
    <t>Poço de José de Moura/PB</t>
  </si>
  <si>
    <t>Pombal/PB</t>
  </si>
  <si>
    <t>Prata/PB</t>
  </si>
  <si>
    <t>Princesa Isabel/PB</t>
  </si>
  <si>
    <t>Puxinanã/PB</t>
  </si>
  <si>
    <t>Queimadas/PB</t>
  </si>
  <si>
    <t>Quixabá/PB</t>
  </si>
  <si>
    <t>Remígio/PB</t>
  </si>
  <si>
    <t>Pedro Régis/PB</t>
  </si>
  <si>
    <t>Riachão/PB</t>
  </si>
  <si>
    <t>Riachão do Bacamarte/PB</t>
  </si>
  <si>
    <t>Riachão do Poço/PB</t>
  </si>
  <si>
    <t>Riacho de Santo Antônio/PB</t>
  </si>
  <si>
    <t>Riacho Dos Cavalos/PB</t>
  </si>
  <si>
    <t>Rio Tinto/PB</t>
  </si>
  <si>
    <t>Salgadinho/PB</t>
  </si>
  <si>
    <t>Salgado de São Félix/PB</t>
  </si>
  <si>
    <t>Santa Cecília/PB</t>
  </si>
  <si>
    <t>Santa Cruz/PB</t>
  </si>
  <si>
    <t>Santa Helena/PB</t>
  </si>
  <si>
    <t>Santa Inês/PB</t>
  </si>
  <si>
    <t>Santa Luzia/PB</t>
  </si>
  <si>
    <t>Santana de Mangueira/PB</t>
  </si>
  <si>
    <t>Santana Dos Garrotes/PB</t>
  </si>
  <si>
    <t>Santarém/PB</t>
  </si>
  <si>
    <t>Santa Rita/PB</t>
  </si>
  <si>
    <t>Santa Teresinha/PB</t>
  </si>
  <si>
    <t>Santo André/PB</t>
  </si>
  <si>
    <t>São Bento/PB</t>
  </si>
  <si>
    <t>São Bentinho/PB</t>
  </si>
  <si>
    <t>São Domingos do Cariri/PB</t>
  </si>
  <si>
    <t>São Domingos de Pombal/PB</t>
  </si>
  <si>
    <t>São Francisco/PB</t>
  </si>
  <si>
    <t>São João do Cariri/PB</t>
  </si>
  <si>
    <t>São João do Tigre/PB</t>
  </si>
  <si>
    <t>São José da Lagoa Tapada/PB</t>
  </si>
  <si>
    <t>São José de Caiana/PB</t>
  </si>
  <si>
    <t>São José de Espinharas/PB</t>
  </si>
  <si>
    <t>São José Dos Ramos/PB</t>
  </si>
  <si>
    <t>São José de Piranhas/PB</t>
  </si>
  <si>
    <t>São José de Princesa/PB</t>
  </si>
  <si>
    <t>São José do Bonfim/PB</t>
  </si>
  <si>
    <t>São José do Brejo do Cruz/PB</t>
  </si>
  <si>
    <t>São José do Sabugi/PB</t>
  </si>
  <si>
    <t>São José Dos Cordeiros/PB</t>
  </si>
  <si>
    <t>São Mamede/PB</t>
  </si>
  <si>
    <t>São Miguel de Taipu/PB</t>
  </si>
  <si>
    <t>São Sebastião de Lagoa de Roça/PB</t>
  </si>
  <si>
    <t>São Sebastião do Umbuzeiro/PB</t>
  </si>
  <si>
    <t>Sapé/PB</t>
  </si>
  <si>
    <t>Seridó/PB</t>
  </si>
  <si>
    <t>Serra Branca/PB</t>
  </si>
  <si>
    <t>Serra da Raiz/PB</t>
  </si>
  <si>
    <t>Serra Grande/PB</t>
  </si>
  <si>
    <t>Serra Redonda/PB</t>
  </si>
  <si>
    <t>Serraria/PB</t>
  </si>
  <si>
    <t>Sertãozinho/PB</t>
  </si>
  <si>
    <t>Sobrado/PB</t>
  </si>
  <si>
    <t>Solânea/PB</t>
  </si>
  <si>
    <t>Soledade/PB</t>
  </si>
  <si>
    <t>Sossêgo/PB</t>
  </si>
  <si>
    <t>Sousa/PB</t>
  </si>
  <si>
    <t>Sumé/PB</t>
  </si>
  <si>
    <t>Campo de Santana/PB</t>
  </si>
  <si>
    <t>Taperoá/PB</t>
  </si>
  <si>
    <t>Tavares/PB</t>
  </si>
  <si>
    <t>Teixeira/PB</t>
  </si>
  <si>
    <t>Tenório/PB</t>
  </si>
  <si>
    <t>Triunfo/PB</t>
  </si>
  <si>
    <t>Uiraúna/PB</t>
  </si>
  <si>
    <t>Umbuzeiro/PB</t>
  </si>
  <si>
    <t>Várzea/PB</t>
  </si>
  <si>
    <t>Vieirópolis/PB</t>
  </si>
  <si>
    <t>Zabelê/PB</t>
  </si>
  <si>
    <t>Abreu e Lima/PE</t>
  </si>
  <si>
    <t>Afogados da Ingazeira/PE</t>
  </si>
  <si>
    <t>Afrânio/PE</t>
  </si>
  <si>
    <t>Agrestina/PE</t>
  </si>
  <si>
    <t>Água Preta/PE</t>
  </si>
  <si>
    <t>Águas Belas/PE</t>
  </si>
  <si>
    <t>Alagoinha/PE</t>
  </si>
  <si>
    <t>Aliança/PE</t>
  </si>
  <si>
    <t>Altinho/PE</t>
  </si>
  <si>
    <t>Amaraji/PE</t>
  </si>
  <si>
    <t>Angelim/PE</t>
  </si>
  <si>
    <t>Araçoiaba/PE</t>
  </si>
  <si>
    <t>Araripina/PE</t>
  </si>
  <si>
    <t>Arcoverde/PE</t>
  </si>
  <si>
    <t>Barra de Guabiraba/PE</t>
  </si>
  <si>
    <t>Barreiros/PE</t>
  </si>
  <si>
    <t>Belém de Maria/PE</t>
  </si>
  <si>
    <t>Belém de São Francisco/PE</t>
  </si>
  <si>
    <t>Belo Jardim/PE</t>
  </si>
  <si>
    <t>Betânia/PE</t>
  </si>
  <si>
    <t>Bezerros/PE</t>
  </si>
  <si>
    <t>Bodocó/PE</t>
  </si>
  <si>
    <t>Bom Conselho/PE</t>
  </si>
  <si>
    <t>Bom Jardim/PE</t>
  </si>
  <si>
    <t>Bonito/PE</t>
  </si>
  <si>
    <t>Brejão/PE</t>
  </si>
  <si>
    <t>Brejinho/PE</t>
  </si>
  <si>
    <t>Brejo da Madre de Deus/PE</t>
  </si>
  <si>
    <t>Buenos Aires/PE</t>
  </si>
  <si>
    <t>Buíque/PE</t>
  </si>
  <si>
    <t>Cabo de Santo Agostinho/PE</t>
  </si>
  <si>
    <t>Cabrobó/PE</t>
  </si>
  <si>
    <t>Cachoeirinha/PE</t>
  </si>
  <si>
    <t>Caetés/PE</t>
  </si>
  <si>
    <t>Calçado/PE</t>
  </si>
  <si>
    <t>Calumbi/PE</t>
  </si>
  <si>
    <t>Camaragibe/PE</t>
  </si>
  <si>
    <t>Camocim de São Félix/PE</t>
  </si>
  <si>
    <t>Camutanga/PE</t>
  </si>
  <si>
    <t>Canhotinho/PE</t>
  </si>
  <si>
    <t>Capoeiras/PE</t>
  </si>
  <si>
    <t>Carnaíba/PE</t>
  </si>
  <si>
    <t>Carnaubeira da Penha/PE</t>
  </si>
  <si>
    <t>Carpina/PE</t>
  </si>
  <si>
    <t>Caruaru/PE</t>
  </si>
  <si>
    <t>Casinhas/PE</t>
  </si>
  <si>
    <t>Catende/PE</t>
  </si>
  <si>
    <t>Cedro/PE</t>
  </si>
  <si>
    <t>Chã de Alegria/PE</t>
  </si>
  <si>
    <t>Chã Grande/PE</t>
  </si>
  <si>
    <t>Condado/PE</t>
  </si>
  <si>
    <t>Correntes/PE</t>
  </si>
  <si>
    <t>Cortês/PE</t>
  </si>
  <si>
    <t>Cumaru/PE</t>
  </si>
  <si>
    <t>Cupira/PE</t>
  </si>
  <si>
    <t>Custódia/PE</t>
  </si>
  <si>
    <t>Dormentes/PE</t>
  </si>
  <si>
    <t>Escada/PE</t>
  </si>
  <si>
    <t>Exu/PE</t>
  </si>
  <si>
    <t>Feira Nova/PE</t>
  </si>
  <si>
    <t>Fernando de Noronha/PE</t>
  </si>
  <si>
    <t>Ferreiros/PE</t>
  </si>
  <si>
    <t>Flores/PE</t>
  </si>
  <si>
    <t>Floresta/PE</t>
  </si>
  <si>
    <t>Frei Miguelinho/PE</t>
  </si>
  <si>
    <t>Gameleira/PE</t>
  </si>
  <si>
    <t>Garanhuns/PE</t>
  </si>
  <si>
    <t>Glória do Goitá/PE</t>
  </si>
  <si>
    <t>Goiana/PE</t>
  </si>
  <si>
    <t>Granito/PE</t>
  </si>
  <si>
    <t>Gravatá/PE</t>
  </si>
  <si>
    <t>Iati/PE</t>
  </si>
  <si>
    <t>Ibimirim/PE</t>
  </si>
  <si>
    <t>Ibirajuba/PE</t>
  </si>
  <si>
    <t>Igarassu/PE</t>
  </si>
  <si>
    <t>Iguaraci/PE</t>
  </si>
  <si>
    <t>Inajá/PE</t>
  </si>
  <si>
    <t>Ingazeira/PE</t>
  </si>
  <si>
    <t>Ipojuca/PE</t>
  </si>
  <si>
    <t>Ipubi/PE</t>
  </si>
  <si>
    <t>Itacuruba/PE</t>
  </si>
  <si>
    <t>Itaíba/PE</t>
  </si>
  <si>
    <t>Ilha de Itamaracá/PE</t>
  </si>
  <si>
    <t>Itambé/PE</t>
  </si>
  <si>
    <t>Itapetim/PE</t>
  </si>
  <si>
    <t>Itapissuma/PE</t>
  </si>
  <si>
    <t>Itaquitinga/PE</t>
  </si>
  <si>
    <t>Jaboatão Dos Guararapes/PE</t>
  </si>
  <si>
    <t>Jaqueira/PE</t>
  </si>
  <si>
    <t>Jataúba/PE</t>
  </si>
  <si>
    <t>Jatobá/PE</t>
  </si>
  <si>
    <t>João Alfredo/PE</t>
  </si>
  <si>
    <t>Joaquim Nabuco/PE</t>
  </si>
  <si>
    <t>Jucati/PE</t>
  </si>
  <si>
    <t>Jupi/PE</t>
  </si>
  <si>
    <t>Jurema/PE</t>
  </si>
  <si>
    <t>Lagoa do Carro/PE</t>
  </si>
  <si>
    <t>Lagoa do Itaenga/PE</t>
  </si>
  <si>
    <t>Lagoa do Ouro/PE</t>
  </si>
  <si>
    <t>Lagoa Dos Gatos/PE</t>
  </si>
  <si>
    <t>Lagoa Grande/PE</t>
  </si>
  <si>
    <t>Lajedo/PE</t>
  </si>
  <si>
    <t>Limoeiro/PE</t>
  </si>
  <si>
    <t>Macaparana/PE</t>
  </si>
  <si>
    <t>Machados/PE</t>
  </si>
  <si>
    <t>Manari/PE</t>
  </si>
  <si>
    <t>Maraial/PE</t>
  </si>
  <si>
    <t>Mirandiba/PE</t>
  </si>
  <si>
    <t>Moreno/PE</t>
  </si>
  <si>
    <t>Nazaré da Mata/PE</t>
  </si>
  <si>
    <t>Olinda/PE</t>
  </si>
  <si>
    <t>Orobó/PE</t>
  </si>
  <si>
    <t>Orocó/PE</t>
  </si>
  <si>
    <t>Ouricuri/PE</t>
  </si>
  <si>
    <t>Palmares/PE</t>
  </si>
  <si>
    <t>Palmeirina/PE</t>
  </si>
  <si>
    <t>Panelas/PE</t>
  </si>
  <si>
    <t>Paranatama/PE</t>
  </si>
  <si>
    <t>Parnamirim/PE</t>
  </si>
  <si>
    <t>Passira/PE</t>
  </si>
  <si>
    <t>Paudalho/PE</t>
  </si>
  <si>
    <t>Paulista/PE</t>
  </si>
  <si>
    <t>Pedra/PE</t>
  </si>
  <si>
    <t>Pesqueira/PE</t>
  </si>
  <si>
    <t>Petrolândia/PE</t>
  </si>
  <si>
    <t>Petrolina/PE</t>
  </si>
  <si>
    <t>Poção/PE</t>
  </si>
  <si>
    <t>Pombos/PE</t>
  </si>
  <si>
    <t>Primavera/PE</t>
  </si>
  <si>
    <t>Quipapá/PE</t>
  </si>
  <si>
    <t>Quixaba/PE</t>
  </si>
  <si>
    <t>Recife/PE</t>
  </si>
  <si>
    <t>Riacho Das Almas/PE</t>
  </si>
  <si>
    <t>Ribeirão/PE</t>
  </si>
  <si>
    <t>Rio Formoso/PE</t>
  </si>
  <si>
    <t>Sairé/PE</t>
  </si>
  <si>
    <t>Salgadinho/PE</t>
  </si>
  <si>
    <t>Salgueiro/PE</t>
  </si>
  <si>
    <t>Saloá/PE</t>
  </si>
  <si>
    <t>Sanharó/PE</t>
  </si>
  <si>
    <t>Santa Cruz/PE</t>
  </si>
  <si>
    <t>Santa Cruz da Baixa Verde/PE</t>
  </si>
  <si>
    <t>Santa Cruz do Capibaribe/PE</t>
  </si>
  <si>
    <t>Santa Filomena/PE</t>
  </si>
  <si>
    <t>Santa Maria da Boa Vista/PE</t>
  </si>
  <si>
    <t>Santa Maria do Cambucá/PE</t>
  </si>
  <si>
    <t>Santa Terezinha/PE</t>
  </si>
  <si>
    <t>São Benedito do Sul/PE</t>
  </si>
  <si>
    <t>São Bento do Una/PE</t>
  </si>
  <si>
    <t>São Caitano/PE</t>
  </si>
  <si>
    <t>São João/PE</t>
  </si>
  <si>
    <t>São Joaquim do Monte/PE</t>
  </si>
  <si>
    <t>São José da Coroa Grande/PE</t>
  </si>
  <si>
    <t>São José do Belmonte/PE</t>
  </si>
  <si>
    <t>São José do Egito/PE</t>
  </si>
  <si>
    <t>São Lourenço da Mata/PE</t>
  </si>
  <si>
    <t>São Vicente Ferrer/PE</t>
  </si>
  <si>
    <t>Serra Talhada/PE</t>
  </si>
  <si>
    <t>Serrita/PE</t>
  </si>
  <si>
    <t>Sertânia/PE</t>
  </si>
  <si>
    <t>Sirinhaém/PE</t>
  </si>
  <si>
    <t>Moreilândia/PE</t>
  </si>
  <si>
    <t>Solidão/PE</t>
  </si>
  <si>
    <t>Surubim/PE</t>
  </si>
  <si>
    <t>Tabira/PE</t>
  </si>
  <si>
    <t>Tacaimbó/PE</t>
  </si>
  <si>
    <t>Tacaratu/PE</t>
  </si>
  <si>
    <t>Tamandaré/PE</t>
  </si>
  <si>
    <t>Taquaritinga do Norte/PE</t>
  </si>
  <si>
    <t>Terezinha/PE</t>
  </si>
  <si>
    <t>Terra Nova/PE</t>
  </si>
  <si>
    <t>Timbaúba/PE</t>
  </si>
  <si>
    <t>Toritama/PE</t>
  </si>
  <si>
    <t>Tracunhaém/PE</t>
  </si>
  <si>
    <t>Trindade/PE</t>
  </si>
  <si>
    <t>Triunfo/PE</t>
  </si>
  <si>
    <t>Tupanatinga/PE</t>
  </si>
  <si>
    <t>Tuparetama/PE</t>
  </si>
  <si>
    <t>Venturosa/PE</t>
  </si>
  <si>
    <t>Verdejante/PE</t>
  </si>
  <si>
    <t>Vertente do Lério/PE</t>
  </si>
  <si>
    <t>Vertentes/PE</t>
  </si>
  <si>
    <t>Vicência/PE</t>
  </si>
  <si>
    <t>Vitória de Santo Antão/PE</t>
  </si>
  <si>
    <t>Xexéu/PE</t>
  </si>
  <si>
    <t>Água Branca/AL</t>
  </si>
  <si>
    <t>Anadia/AL</t>
  </si>
  <si>
    <t>Arapiraca/AL</t>
  </si>
  <si>
    <t>Atalaia/AL</t>
  </si>
  <si>
    <t>Barra de Santo Antônio/AL</t>
  </si>
  <si>
    <t>Barra de São Miguel/AL</t>
  </si>
  <si>
    <t>Batalha/AL</t>
  </si>
  <si>
    <t>Belém/AL</t>
  </si>
  <si>
    <t>Belo Monte/AL</t>
  </si>
  <si>
    <t>Boca da Mata/AL</t>
  </si>
  <si>
    <t>Branquinha/AL</t>
  </si>
  <si>
    <t>Cacimbinhas/AL</t>
  </si>
  <si>
    <t>Cajueiro/AL</t>
  </si>
  <si>
    <t>Campestre/AL</t>
  </si>
  <si>
    <t>Campo Alegre/AL</t>
  </si>
  <si>
    <t>Campo Grande/AL</t>
  </si>
  <si>
    <t>Canapi/AL</t>
  </si>
  <si>
    <t>Capela/AL</t>
  </si>
  <si>
    <t>Carneiros/AL</t>
  </si>
  <si>
    <t>Chã Preta/AL</t>
  </si>
  <si>
    <t>Coité do Nóia/AL</t>
  </si>
  <si>
    <t>Colônia Leopoldina/AL</t>
  </si>
  <si>
    <t>Coqueiro Seco/AL</t>
  </si>
  <si>
    <t>Coruripe/AL</t>
  </si>
  <si>
    <t>Craíbas/AL</t>
  </si>
  <si>
    <t>Delmiro Gouveia/AL</t>
  </si>
  <si>
    <t>Dois Riachos/AL</t>
  </si>
  <si>
    <t>Estrela de Alagoas/AL</t>
  </si>
  <si>
    <t>Feira Grande/AL</t>
  </si>
  <si>
    <t>Feliz Deserto/AL</t>
  </si>
  <si>
    <t>Flexeiras/AL</t>
  </si>
  <si>
    <t>Girau do Ponciano/AL</t>
  </si>
  <si>
    <t>Ibateguara/AL</t>
  </si>
  <si>
    <t>Igaci/AL</t>
  </si>
  <si>
    <t>Igreja Nova/AL</t>
  </si>
  <si>
    <t>Inhapi/AL</t>
  </si>
  <si>
    <t>Jacaré Dos Homens/AL</t>
  </si>
  <si>
    <t>Jacuípe/AL</t>
  </si>
  <si>
    <t>Japaratinga/AL</t>
  </si>
  <si>
    <t>Jaramataia/AL</t>
  </si>
  <si>
    <t>Jequiá da Praia/AL</t>
  </si>
  <si>
    <t>Joaquim Gomes/AL</t>
  </si>
  <si>
    <t>Jundiá/AL</t>
  </si>
  <si>
    <t>Junqueiro/AL</t>
  </si>
  <si>
    <t>Lagoa da Canoa/AL</t>
  </si>
  <si>
    <t>Limoeiro de Anadia/AL</t>
  </si>
  <si>
    <t>Maceió/AL</t>
  </si>
  <si>
    <t>Major Isidoro/AL</t>
  </si>
  <si>
    <t>Maragogi/AL</t>
  </si>
  <si>
    <t>Maravilha/AL</t>
  </si>
  <si>
    <t>Marechal Deodoro/AL</t>
  </si>
  <si>
    <t>Maribondo/AL</t>
  </si>
  <si>
    <t>Mar Vermelho/AL</t>
  </si>
  <si>
    <t>Mata Grande/AL</t>
  </si>
  <si>
    <t>Matriz de Camaragibe/AL</t>
  </si>
  <si>
    <t>Messias/AL</t>
  </si>
  <si>
    <t>Minador do Negrão/AL</t>
  </si>
  <si>
    <t>Monteirópolis/AL</t>
  </si>
  <si>
    <t>Murici/AL</t>
  </si>
  <si>
    <t>Novo Lino/AL</t>
  </si>
  <si>
    <t>Olho D´água Das Flores/AL</t>
  </si>
  <si>
    <t>Olho D´água do Casado/AL</t>
  </si>
  <si>
    <t>Olho D´água Grande/AL</t>
  </si>
  <si>
    <t>Olivença/AL</t>
  </si>
  <si>
    <t>Ouro Branco/AL</t>
  </si>
  <si>
    <t>Palestina/AL</t>
  </si>
  <si>
    <t>Palmeira Dos Índios/AL</t>
  </si>
  <si>
    <t>Pão de Açúcar/AL</t>
  </si>
  <si>
    <t>Pariconha/AL</t>
  </si>
  <si>
    <t>Paripueira/AL</t>
  </si>
  <si>
    <t>Passo de Camaragibe/AL</t>
  </si>
  <si>
    <t>Paulo Jacinto/AL</t>
  </si>
  <si>
    <t>Penedo/AL</t>
  </si>
  <si>
    <t>Piaçabuçu/AL</t>
  </si>
  <si>
    <t>Pilar/AL</t>
  </si>
  <si>
    <t>Pindoba/AL</t>
  </si>
  <si>
    <t>Piranhas/AL</t>
  </si>
  <si>
    <t>Poço Das Trincheiras/AL</t>
  </si>
  <si>
    <t>Porto Calvo/AL</t>
  </si>
  <si>
    <t>Porto de Pedras/AL</t>
  </si>
  <si>
    <t>Porto Real do Colégio/AL</t>
  </si>
  <si>
    <t>Quebrangulo/AL</t>
  </si>
  <si>
    <t>Rio Largo/AL</t>
  </si>
  <si>
    <t>Roteiro/AL</t>
  </si>
  <si>
    <t>Santa Luzia do Norte/AL</t>
  </si>
  <si>
    <t>Santana do Ipanema/AL</t>
  </si>
  <si>
    <t>Santana do Mundaú/AL</t>
  </si>
  <si>
    <t>São Brás/AL</t>
  </si>
  <si>
    <t>São José da Laje/AL</t>
  </si>
  <si>
    <t>São José da Tapera/AL</t>
  </si>
  <si>
    <t>São Luís do Quitunde/AL</t>
  </si>
  <si>
    <t>São Miguel Dos Campos/AL</t>
  </si>
  <si>
    <t>São Miguel Dos Milagres/AL</t>
  </si>
  <si>
    <t>São Sebastião/AL</t>
  </si>
  <si>
    <t>Satuba/AL</t>
  </si>
  <si>
    <t>Senador Rui Palmeira/AL</t>
  </si>
  <si>
    <t>Tanque D´arca/AL</t>
  </si>
  <si>
    <t>Taquarana/AL</t>
  </si>
  <si>
    <t>Teotônio Vilela/AL</t>
  </si>
  <si>
    <t>Traipu/AL</t>
  </si>
  <si>
    <t>União Dos Palmares/AL</t>
  </si>
  <si>
    <t>Viçosa/AL</t>
  </si>
  <si>
    <t>Amparo de São Francisco/SE</t>
  </si>
  <si>
    <t>Aquidabã/SE</t>
  </si>
  <si>
    <t>Aracaju/SE</t>
  </si>
  <si>
    <t>Arauá/SE</t>
  </si>
  <si>
    <t>Areia Branca/SE</t>
  </si>
  <si>
    <t>Barra Dos Coqueiros/SE</t>
  </si>
  <si>
    <t>Boquim/SE</t>
  </si>
  <si>
    <t>Brejo Grande/SE</t>
  </si>
  <si>
    <t>Campo do Brito/SE</t>
  </si>
  <si>
    <t>Canhoba/SE</t>
  </si>
  <si>
    <t>Canindé de São Francisco/SE</t>
  </si>
  <si>
    <t>Capela/SE</t>
  </si>
  <si>
    <t>Carira/SE</t>
  </si>
  <si>
    <t>Carmópolis/SE</t>
  </si>
  <si>
    <t>Cedro de São João/SE</t>
  </si>
  <si>
    <t>Cristinápolis/SE</t>
  </si>
  <si>
    <t>Cumbe/SE</t>
  </si>
  <si>
    <t>Divina Pastora/SE</t>
  </si>
  <si>
    <t>Estância/SE</t>
  </si>
  <si>
    <t>Feira Nova/SE</t>
  </si>
  <si>
    <t>Frei Paulo/SE</t>
  </si>
  <si>
    <t>Gararu/SE</t>
  </si>
  <si>
    <t>General Maynard/SE</t>
  </si>
  <si>
    <t>Gracho Cardoso/SE</t>
  </si>
  <si>
    <t>Ilha Das Flores/SE</t>
  </si>
  <si>
    <t>Indiaroba/SE</t>
  </si>
  <si>
    <t>Itabaiana/SE</t>
  </si>
  <si>
    <t>Itabaianinha/SE</t>
  </si>
  <si>
    <t>Itabi/SE</t>
  </si>
  <si>
    <t>Itaporanga D´ajuda/SE</t>
  </si>
  <si>
    <t>Japaratuba/SE</t>
  </si>
  <si>
    <t>Japoatã/SE</t>
  </si>
  <si>
    <t>Lagarto/SE</t>
  </si>
  <si>
    <t>Laranjeiras/SE</t>
  </si>
  <si>
    <t>Macambira/SE</t>
  </si>
  <si>
    <t>Malhada Dos Bois/SE</t>
  </si>
  <si>
    <t>Malhador/SE</t>
  </si>
  <si>
    <t>Maruim/SE</t>
  </si>
  <si>
    <t>Moita Bonita/SE</t>
  </si>
  <si>
    <t>Monte Alegre de Sergipe/SE</t>
  </si>
  <si>
    <t>Muribeca/SE</t>
  </si>
  <si>
    <t>Neópolis/SE</t>
  </si>
  <si>
    <t>Nossa Senhora Aparecida/SE</t>
  </si>
  <si>
    <t>Nossa Senhora da Glória/SE</t>
  </si>
  <si>
    <t>Nossa Senhora Das Dores/SE</t>
  </si>
  <si>
    <t>Nossa Senhora de Lourdes/SE</t>
  </si>
  <si>
    <t>Nossa Senhora do Socorro/SE</t>
  </si>
  <si>
    <t>Pacatuba/SE</t>
  </si>
  <si>
    <t>Pedra Mole/SE</t>
  </si>
  <si>
    <t>Pedrinhas/SE</t>
  </si>
  <si>
    <t>Pinhão/SE</t>
  </si>
  <si>
    <t>Pirambu/SE</t>
  </si>
  <si>
    <t>Poço Redondo/SE</t>
  </si>
  <si>
    <t>Poço Verde/SE</t>
  </si>
  <si>
    <t>Porto da Folha/SE</t>
  </si>
  <si>
    <t>Propriá/SE</t>
  </si>
  <si>
    <t>Riachão do Dantas/SE</t>
  </si>
  <si>
    <t>Riachuelo/SE</t>
  </si>
  <si>
    <t>Ribeirópolis/SE</t>
  </si>
  <si>
    <t>Rosário do Catete/SE</t>
  </si>
  <si>
    <t>Salgado/SE</t>
  </si>
  <si>
    <t>Santa Luzia do Itanhy/SE</t>
  </si>
  <si>
    <t>Santana do São Francisco/SE</t>
  </si>
  <si>
    <t>Santa Rosa de Lima/SE</t>
  </si>
  <si>
    <t>Santo Amaro Das Brotas/SE</t>
  </si>
  <si>
    <t>São Cristóvão/SE</t>
  </si>
  <si>
    <t>São Domingos/SE</t>
  </si>
  <si>
    <t>São Francisco/SE</t>
  </si>
  <si>
    <t>São Miguel do Aleixo/SE</t>
  </si>
  <si>
    <t>Simão Dias/SE</t>
  </si>
  <si>
    <t>Siriri/SE</t>
  </si>
  <si>
    <t>Telha/SE</t>
  </si>
  <si>
    <t>Tobias Barreto/SE</t>
  </si>
  <si>
    <t>Tomar do Geru/SE</t>
  </si>
  <si>
    <t>Umbaúba/SE</t>
  </si>
  <si>
    <t>Abaíra/BA</t>
  </si>
  <si>
    <t>Abaré/BA</t>
  </si>
  <si>
    <t>Acajutiba/BA</t>
  </si>
  <si>
    <t>Adustina/BA</t>
  </si>
  <si>
    <t>Água Fria/BA</t>
  </si>
  <si>
    <t>Érico Cardoso/BA</t>
  </si>
  <si>
    <t>Aiquara/BA</t>
  </si>
  <si>
    <t>Alagoinhas/BA</t>
  </si>
  <si>
    <t>Alcobaça/BA</t>
  </si>
  <si>
    <t>Almadina/BA</t>
  </si>
  <si>
    <t>Amargosa/BA</t>
  </si>
  <si>
    <t>Amélia Rodrigues/BA</t>
  </si>
  <si>
    <t>América Dourada/BA</t>
  </si>
  <si>
    <t>Anagé/BA</t>
  </si>
  <si>
    <t>Andaraí/BA</t>
  </si>
  <si>
    <t>Andorinha/BA</t>
  </si>
  <si>
    <t>Angical/BA</t>
  </si>
  <si>
    <t>Anguera/BA</t>
  </si>
  <si>
    <t>Antas/BA</t>
  </si>
  <si>
    <t>Antônio Cardoso/BA</t>
  </si>
  <si>
    <t>Antônio Gonçalves/BA</t>
  </si>
  <si>
    <t>Aporá/BA</t>
  </si>
  <si>
    <t>Apuarema/BA</t>
  </si>
  <si>
    <t>Aracatu/BA</t>
  </si>
  <si>
    <t>Araças/BA</t>
  </si>
  <si>
    <t>Araci/BA</t>
  </si>
  <si>
    <t>Aramari/BA</t>
  </si>
  <si>
    <t>Arataca/BA</t>
  </si>
  <si>
    <t>Aratuípe/BA</t>
  </si>
  <si>
    <t>Aurelino Leal/BA</t>
  </si>
  <si>
    <t>Baianópolis/BA</t>
  </si>
  <si>
    <t>Baixa Grande/BA</t>
  </si>
  <si>
    <t>Banzaê/BA</t>
  </si>
  <si>
    <t>Barra/BA</t>
  </si>
  <si>
    <t>Barra da Estiva/BA</t>
  </si>
  <si>
    <t>Barra do Choça/BA</t>
  </si>
  <si>
    <t>Barra do Mendes/BA</t>
  </si>
  <si>
    <t>Barra do Rocha/BA</t>
  </si>
  <si>
    <t>Barreiras/BA</t>
  </si>
  <si>
    <t>Barro Alto/BA</t>
  </si>
  <si>
    <t>Barrocas/BA</t>
  </si>
  <si>
    <t>Governador Lomanto Júnior/BA</t>
  </si>
  <si>
    <t>Belmonte/BA</t>
  </si>
  <si>
    <t>Belo Campo/BA</t>
  </si>
  <si>
    <t>Biritinga/BA</t>
  </si>
  <si>
    <t>Boa Nova/BA</t>
  </si>
  <si>
    <t>Boa Vista do Tupim/BA</t>
  </si>
  <si>
    <t>Bom Jesus da Lapa/BA</t>
  </si>
  <si>
    <t>Bom Jesus da Serra/BA</t>
  </si>
  <si>
    <t>Boninal/BA</t>
  </si>
  <si>
    <t>Bonito/BA</t>
  </si>
  <si>
    <t>Boquira/BA</t>
  </si>
  <si>
    <t>Botuporã/BA</t>
  </si>
  <si>
    <t>Brejões/BA</t>
  </si>
  <si>
    <t>Brejolândia/BA</t>
  </si>
  <si>
    <t>Brotas de Macaúbas/BA</t>
  </si>
  <si>
    <t>Brumado/BA</t>
  </si>
  <si>
    <t>Buerarema/BA</t>
  </si>
  <si>
    <t>Buritirama/BA</t>
  </si>
  <si>
    <t>Caatiba/BA</t>
  </si>
  <si>
    <t>Cabaceiras do Paraguaçu/BA</t>
  </si>
  <si>
    <t>Cachoeira/BA</t>
  </si>
  <si>
    <t>Caculé/BA</t>
  </si>
  <si>
    <t>Caém/BA</t>
  </si>
  <si>
    <t>Caetanos/BA</t>
  </si>
  <si>
    <t>Caetité/BA</t>
  </si>
  <si>
    <t>Cafarnaum/BA</t>
  </si>
  <si>
    <t>Cairu/BA</t>
  </si>
  <si>
    <t>Caldeirão Grande/BA</t>
  </si>
  <si>
    <t>Camacan/BA</t>
  </si>
  <si>
    <t>Camaçari/BA</t>
  </si>
  <si>
    <t>Camamu/BA</t>
  </si>
  <si>
    <t>Campo Alegre de Lourdes/BA</t>
  </si>
  <si>
    <t>Campo Formoso/BA</t>
  </si>
  <si>
    <t>Canápolis/BA</t>
  </si>
  <si>
    <t>Canarana/BA</t>
  </si>
  <si>
    <t>Canavieiras/BA</t>
  </si>
  <si>
    <t>Candeal/BA</t>
  </si>
  <si>
    <t>Candeias/BA</t>
  </si>
  <si>
    <t>Candiba/BA</t>
  </si>
  <si>
    <t>Cândido Sales/BA</t>
  </si>
  <si>
    <t>Cansanção/BA</t>
  </si>
  <si>
    <t>Canudos/BA</t>
  </si>
  <si>
    <t>Capela do Alto Alegre/BA</t>
  </si>
  <si>
    <t>Capim Grosso/BA</t>
  </si>
  <si>
    <t>Caraíbas/BA</t>
  </si>
  <si>
    <t>Caravelas/BA</t>
  </si>
  <si>
    <t>Cardeal da Silva/BA</t>
  </si>
  <si>
    <t>Carinhanha/BA</t>
  </si>
  <si>
    <t>Casa Nova/BA</t>
  </si>
  <si>
    <t>Castro Alves/BA</t>
  </si>
  <si>
    <t>Catolândia/BA</t>
  </si>
  <si>
    <t>Catu/BA</t>
  </si>
  <si>
    <t>Caturama/BA</t>
  </si>
  <si>
    <t>Central/BA</t>
  </si>
  <si>
    <t>Chorrochó/BA</t>
  </si>
  <si>
    <t>Cícero Dantas/BA</t>
  </si>
  <si>
    <t>Cipó/BA</t>
  </si>
  <si>
    <t>Coaraci/BA</t>
  </si>
  <si>
    <t>Cocos/BA</t>
  </si>
  <si>
    <t>Conceição da Feira/BA</t>
  </si>
  <si>
    <t>Conceição do Almeida/BA</t>
  </si>
  <si>
    <t>Conceição do Coité/BA</t>
  </si>
  <si>
    <t>Conceição do Jacuípe/BA</t>
  </si>
  <si>
    <t>Conde/BA</t>
  </si>
  <si>
    <t>Condeúba/BA</t>
  </si>
  <si>
    <t>Contendas do Sincorá/BA</t>
  </si>
  <si>
    <t>Coração de Maria/BA</t>
  </si>
  <si>
    <t>Cordeiros/BA</t>
  </si>
  <si>
    <t>Coribe/BA</t>
  </si>
  <si>
    <t>Coronel João sá/BA</t>
  </si>
  <si>
    <t>Correntina/BA</t>
  </si>
  <si>
    <t>Cotegipe/BA</t>
  </si>
  <si>
    <t>Cravolândia/BA</t>
  </si>
  <si>
    <t>Crisópolis/BA</t>
  </si>
  <si>
    <t>Cristópolis/BA</t>
  </si>
  <si>
    <t>Cruz Das Almas/BA</t>
  </si>
  <si>
    <t>Curaçá/BA</t>
  </si>
  <si>
    <t>Dário Meira/BA</t>
  </si>
  <si>
    <t>Dias D´ávila/BA</t>
  </si>
  <si>
    <t>Dom Basílio/BA</t>
  </si>
  <si>
    <t>Dom Macedo Costa/BA</t>
  </si>
  <si>
    <t>Elísio Medrado/BA</t>
  </si>
  <si>
    <t>Encruzilhada/BA</t>
  </si>
  <si>
    <t>Entre Rios/BA</t>
  </si>
  <si>
    <t>Esplanada/BA</t>
  </si>
  <si>
    <t>Euclides da Cunha/BA</t>
  </si>
  <si>
    <t>Eunápolis/BA</t>
  </si>
  <si>
    <t>Fátima/BA</t>
  </si>
  <si>
    <t>Feira da Mata/BA</t>
  </si>
  <si>
    <t>Feira de Santana/BA</t>
  </si>
  <si>
    <t>Filadélfia/BA</t>
  </si>
  <si>
    <t>Firmino Alves/BA</t>
  </si>
  <si>
    <t>Floresta Azul/BA</t>
  </si>
  <si>
    <t>Formosa do Rio Preto/BA</t>
  </si>
  <si>
    <t>Gandu/BA</t>
  </si>
  <si>
    <t>Gavião/BA</t>
  </si>
  <si>
    <t>Gentio do Ouro/BA</t>
  </si>
  <si>
    <t>Glória/BA</t>
  </si>
  <si>
    <t>Gongogi/BA</t>
  </si>
  <si>
    <t>Governador Mangabeira/BA</t>
  </si>
  <si>
    <t>Guajeru/BA</t>
  </si>
  <si>
    <t>Guanambi/BA</t>
  </si>
  <si>
    <t>Guaratinga/BA</t>
  </si>
  <si>
    <t>Heliópolis/BA</t>
  </si>
  <si>
    <t>Iaçu/BA</t>
  </si>
  <si>
    <t>Ibiassucê/BA</t>
  </si>
  <si>
    <t>Ibicaraí/BA</t>
  </si>
  <si>
    <t>Ibicoara/BA</t>
  </si>
  <si>
    <t>Ibicuí/BA</t>
  </si>
  <si>
    <t>Ibipeba/BA</t>
  </si>
  <si>
    <t>Ibipitanga/BA</t>
  </si>
  <si>
    <t>Ibiquera/BA</t>
  </si>
  <si>
    <t>Ibirapitanga/BA</t>
  </si>
  <si>
    <t>Ibirapuã/BA</t>
  </si>
  <si>
    <t>Ibirataia/BA</t>
  </si>
  <si>
    <t>Ibitiara/BA</t>
  </si>
  <si>
    <t>Ibititá/BA</t>
  </si>
  <si>
    <t>Ibotirama/BA</t>
  </si>
  <si>
    <t>Ichu/BA</t>
  </si>
  <si>
    <t>Igaporã/BA</t>
  </si>
  <si>
    <t>Igrapiúna/BA</t>
  </si>
  <si>
    <t>Iguaí/BA</t>
  </si>
  <si>
    <t>Ilhéus/BA</t>
  </si>
  <si>
    <t>Inhambupe/BA</t>
  </si>
  <si>
    <t>Ipecaetá/BA</t>
  </si>
  <si>
    <t>Ipiaú/BA</t>
  </si>
  <si>
    <t>Ipirá/BA</t>
  </si>
  <si>
    <t>Ipupiara/BA</t>
  </si>
  <si>
    <t>Irajuba/BA</t>
  </si>
  <si>
    <t>Iramaia/BA</t>
  </si>
  <si>
    <t>Iraquara/BA</t>
  </si>
  <si>
    <t>Irará/BA</t>
  </si>
  <si>
    <t>Irecê/BA</t>
  </si>
  <si>
    <t>Itabela/BA</t>
  </si>
  <si>
    <t>Itaberaba/BA</t>
  </si>
  <si>
    <t>Itabuna/BA</t>
  </si>
  <si>
    <t>Itacaré/BA</t>
  </si>
  <si>
    <t>Itaeté/BA</t>
  </si>
  <si>
    <t>Itagi/BA</t>
  </si>
  <si>
    <t>Itagibá/BA</t>
  </si>
  <si>
    <t>Itagimirim/BA</t>
  </si>
  <si>
    <t>Itaguaçu da Bahia/BA</t>
  </si>
  <si>
    <t>Itaju do Colônia/BA</t>
  </si>
  <si>
    <t>Itajuípe/BA</t>
  </si>
  <si>
    <t>Itamaraju/BA</t>
  </si>
  <si>
    <t>Itamari/BA</t>
  </si>
  <si>
    <t>Itambé/BA</t>
  </si>
  <si>
    <t>Itanagra/BA</t>
  </si>
  <si>
    <t>Itanhém/BA</t>
  </si>
  <si>
    <t>Itaparica/BA</t>
  </si>
  <si>
    <t>Itapé/BA</t>
  </si>
  <si>
    <t>Itapebi/BA</t>
  </si>
  <si>
    <t>Itapetinga/BA</t>
  </si>
  <si>
    <t>Itapicuru/BA</t>
  </si>
  <si>
    <t>Itapitanga/BA</t>
  </si>
  <si>
    <t>Itaquara/BA</t>
  </si>
  <si>
    <t>Itarantim/BA</t>
  </si>
  <si>
    <t>Itatim/BA</t>
  </si>
  <si>
    <t>Itiruçu/BA</t>
  </si>
  <si>
    <t>Itiúba/BA</t>
  </si>
  <si>
    <t>Itororó/BA</t>
  </si>
  <si>
    <t>Ituaçu/BA</t>
  </si>
  <si>
    <t>Ituberá/BA</t>
  </si>
  <si>
    <t>Iuiú/BA</t>
  </si>
  <si>
    <t>Jaborandi/BA</t>
  </si>
  <si>
    <t>Jacaraci/BA</t>
  </si>
  <si>
    <t>Jacobina/BA</t>
  </si>
  <si>
    <t>Jaguaquara/BA</t>
  </si>
  <si>
    <t>Jaguarari/BA</t>
  </si>
  <si>
    <t>Jaguaripe/BA</t>
  </si>
  <si>
    <t>Jandaíra/BA</t>
  </si>
  <si>
    <t>Jequié/BA</t>
  </si>
  <si>
    <t>Jeremoabo/BA</t>
  </si>
  <si>
    <t>Jiquiriçá/BA</t>
  </si>
  <si>
    <t>Jitaúna/BA</t>
  </si>
  <si>
    <t>João Dourado/BA</t>
  </si>
  <si>
    <t>Juazeiro/BA</t>
  </si>
  <si>
    <t>Jucuruçu/BA</t>
  </si>
  <si>
    <t>Jussara/BA</t>
  </si>
  <si>
    <t>Jussari/BA</t>
  </si>
  <si>
    <t>Jussiape/BA</t>
  </si>
  <si>
    <t>Lafaiete Coutinho/BA</t>
  </si>
  <si>
    <t>Lagoa Real/BA</t>
  </si>
  <si>
    <t>Laje/BA</t>
  </si>
  <si>
    <t>Lajedão/BA</t>
  </si>
  <si>
    <t>Lajedinho/BA</t>
  </si>
  <si>
    <t>Lajedo do Tabocal/BA</t>
  </si>
  <si>
    <t>Lamarão/BA</t>
  </si>
  <si>
    <t>Lapão/BA</t>
  </si>
  <si>
    <t>Lauro de Freitas/BA</t>
  </si>
  <si>
    <t>Lençóis/BA</t>
  </si>
  <si>
    <t>Licínio de Almeida/BA</t>
  </si>
  <si>
    <t>Livramento de Nossa Senhora/BA</t>
  </si>
  <si>
    <t>Luís Eduardo Magalhães/BA</t>
  </si>
  <si>
    <t>Macajuba/BA</t>
  </si>
  <si>
    <t>Macarani/BA</t>
  </si>
  <si>
    <t>Macaúbas/BA</t>
  </si>
  <si>
    <t>Macururé/BA</t>
  </si>
  <si>
    <t>Madre de Deus/BA</t>
  </si>
  <si>
    <t>Maetinga/BA</t>
  </si>
  <si>
    <t>Maiquinique/BA</t>
  </si>
  <si>
    <t>Mairi/BA</t>
  </si>
  <si>
    <t>Malhada/BA</t>
  </si>
  <si>
    <t>Malhada de Pedras/BA</t>
  </si>
  <si>
    <t>Manoel Vitorino/BA</t>
  </si>
  <si>
    <t>Mansidão/BA</t>
  </si>
  <si>
    <t>Maracás/BA</t>
  </si>
  <si>
    <t>Maragogipe/BA</t>
  </si>
  <si>
    <t>Maraú/BA</t>
  </si>
  <si>
    <t>Marcionílio Souza/BA</t>
  </si>
  <si>
    <t>Mascote/BA</t>
  </si>
  <si>
    <t>Mata de São João/BA</t>
  </si>
  <si>
    <t>Matina/BA</t>
  </si>
  <si>
    <t>Medeiros Neto/BA</t>
  </si>
  <si>
    <t>Miguel Calmon/BA</t>
  </si>
  <si>
    <t>Milagres/BA</t>
  </si>
  <si>
    <t>Mirangaba/BA</t>
  </si>
  <si>
    <t>Mirante/BA</t>
  </si>
  <si>
    <t>Monte Santo/BA</t>
  </si>
  <si>
    <t>Morpará/BA</t>
  </si>
  <si>
    <t>Morro do Chapéu/BA</t>
  </si>
  <si>
    <t>Mortugaba/BA</t>
  </si>
  <si>
    <t>Mucugê/BA</t>
  </si>
  <si>
    <t>Mucuri/BA</t>
  </si>
  <si>
    <t>Mulungu do Morro/BA</t>
  </si>
  <si>
    <t>Mundo Novo/BA</t>
  </si>
  <si>
    <t>Muniz Ferreira/BA</t>
  </si>
  <si>
    <t>Muquém de São Francisco/BA</t>
  </si>
  <si>
    <t>Muritiba/BA</t>
  </si>
  <si>
    <t>Mutuípe/BA</t>
  </si>
  <si>
    <t>Nazaré/BA</t>
  </si>
  <si>
    <t>Nilo Peçanha/BA</t>
  </si>
  <si>
    <t>Nordestina/BA</t>
  </si>
  <si>
    <t>Nova Canaã/BA</t>
  </si>
  <si>
    <t>Nova Fátima/BA</t>
  </si>
  <si>
    <t>Nova Ibiá/BA</t>
  </si>
  <si>
    <t>Nova Itarana/BA</t>
  </si>
  <si>
    <t>Nova Redenção/BA</t>
  </si>
  <si>
    <t>Nova Soure/BA</t>
  </si>
  <si>
    <t>Nova Viçosa/BA</t>
  </si>
  <si>
    <t>Novo Horizonte/BA</t>
  </si>
  <si>
    <t>Novo Triunfo/BA</t>
  </si>
  <si>
    <t>Olindina/BA</t>
  </si>
  <si>
    <t>Oliveira Dos Brejinhos/BA</t>
  </si>
  <si>
    <t>Ouriçangas/BA</t>
  </si>
  <si>
    <t>Ourolândia/BA</t>
  </si>
  <si>
    <t>Palmas de Monte Alto/BA</t>
  </si>
  <si>
    <t>Palmeiras/BA</t>
  </si>
  <si>
    <t>Paramirim/BA</t>
  </si>
  <si>
    <t>Paratinga/BA</t>
  </si>
  <si>
    <t>Paripiranga/BA</t>
  </si>
  <si>
    <t>Pau Brasil/BA</t>
  </si>
  <si>
    <t>Paulo Afonso/BA</t>
  </si>
  <si>
    <t>pé de Serra/BA</t>
  </si>
  <si>
    <t>Pedrão/BA</t>
  </si>
  <si>
    <t>Pedro Alexandre/BA</t>
  </si>
  <si>
    <t>Piatã/BA</t>
  </si>
  <si>
    <t>Pilão Arcado/BA</t>
  </si>
  <si>
    <t>Pindaí/BA</t>
  </si>
  <si>
    <t>Pindobaçu/BA</t>
  </si>
  <si>
    <t>Pintadas/BA</t>
  </si>
  <si>
    <t>Piraí do Norte/BA</t>
  </si>
  <si>
    <t>Piripá/BA</t>
  </si>
  <si>
    <t>Piritiba/BA</t>
  </si>
  <si>
    <t>Planaltino/BA</t>
  </si>
  <si>
    <t>Planalto/BA</t>
  </si>
  <si>
    <t>Poções/BA</t>
  </si>
  <si>
    <t>Pojuca/BA</t>
  </si>
  <si>
    <t>Ponto Novo/BA</t>
  </si>
  <si>
    <t>Porto Seguro/BA</t>
  </si>
  <si>
    <t>Potiraguá/BA</t>
  </si>
  <si>
    <t>Prado/BA</t>
  </si>
  <si>
    <t>Presidente Dutra/BA</t>
  </si>
  <si>
    <t>Presidente Jânio Quadros/BA</t>
  </si>
  <si>
    <t>Presidente Tancredo Neves/BA</t>
  </si>
  <si>
    <t>Queimadas/BA</t>
  </si>
  <si>
    <t>Quijingue/BA</t>
  </si>
  <si>
    <t>Quixabeira/BA</t>
  </si>
  <si>
    <t>Rafael Jambeiro/BA</t>
  </si>
  <si>
    <t>Remanso/BA</t>
  </si>
  <si>
    <t>Retirolândia/BA</t>
  </si>
  <si>
    <t>Riachão Das Neves/BA</t>
  </si>
  <si>
    <t>Riachão do Jacuípe/BA</t>
  </si>
  <si>
    <t>Riacho de Santana/BA</t>
  </si>
  <si>
    <t>Ribeira do Amparo/BA</t>
  </si>
  <si>
    <t>Ribeira do Pombal/BA</t>
  </si>
  <si>
    <t>Ribeirão do Largo/BA</t>
  </si>
  <si>
    <t>Rio de Contas/BA</t>
  </si>
  <si>
    <t>Rio do Antônio/BA</t>
  </si>
  <si>
    <t>Rio do Pires/BA</t>
  </si>
  <si>
    <t>Rio Real/BA</t>
  </si>
  <si>
    <t>Rodelas/BA</t>
  </si>
  <si>
    <t>Ruy Barbosa/BA</t>
  </si>
  <si>
    <t>Salinas da Margarida/BA</t>
  </si>
  <si>
    <t>Salvador/BA</t>
  </si>
  <si>
    <t>Santa Bárbara/BA</t>
  </si>
  <si>
    <t>Santa Brígida/BA</t>
  </si>
  <si>
    <t>Santa Cruz Cabrália/BA</t>
  </si>
  <si>
    <t>Santa Cruz da Vitória/BA</t>
  </si>
  <si>
    <t>Santa Inês/BA</t>
  </si>
  <si>
    <t>Santaluz/BA</t>
  </si>
  <si>
    <t>Santa Luzia/BA</t>
  </si>
  <si>
    <t>Santa Maria da Vitória/BA</t>
  </si>
  <si>
    <t>Santana/BA</t>
  </si>
  <si>
    <t>Santanópolis/BA</t>
  </si>
  <si>
    <t>Santa Rita de Cássia/BA</t>
  </si>
  <si>
    <t>Santa Teresinha/BA</t>
  </si>
  <si>
    <t>Santo Amaro/BA</t>
  </si>
  <si>
    <t>Santo Antônio de Jesus/BA</t>
  </si>
  <si>
    <t>Santo Estêvão/BA</t>
  </si>
  <si>
    <t>São Desidério/BA</t>
  </si>
  <si>
    <t>São Domingos/BA</t>
  </si>
  <si>
    <t>São Félix/BA</t>
  </si>
  <si>
    <t>São Félix do Coribe/BA</t>
  </si>
  <si>
    <t>São Felipe/BA</t>
  </si>
  <si>
    <t>São Francisco do Conde/BA</t>
  </si>
  <si>
    <t>São Gabriel/BA</t>
  </si>
  <si>
    <t>São Gonçalo Dos Campos/BA</t>
  </si>
  <si>
    <t>São José da Vitória/BA</t>
  </si>
  <si>
    <t>São José do Jacuípe/BA</t>
  </si>
  <si>
    <t>São Miguel Das Matas/BA</t>
  </si>
  <si>
    <t>São Sebastião do Passé/BA</t>
  </si>
  <si>
    <t>Sapeaçu/BA</t>
  </si>
  <si>
    <t>Sátiro Dias/BA</t>
  </si>
  <si>
    <t>Saubara/BA</t>
  </si>
  <si>
    <t>Saúde/BA</t>
  </si>
  <si>
    <t>Seabra/BA</t>
  </si>
  <si>
    <t>Sebastião Laranjeiras/BA</t>
  </si>
  <si>
    <t>Senhor do Bonfim/BA</t>
  </si>
  <si>
    <t>Serra do Ramalho/BA</t>
  </si>
  <si>
    <t>Sento sé/BA</t>
  </si>
  <si>
    <t>Serra Dourada/BA</t>
  </si>
  <si>
    <t>Serra Preta/BA</t>
  </si>
  <si>
    <t>Serrinha/BA</t>
  </si>
  <si>
    <t>Serrolândia/BA</t>
  </si>
  <si>
    <t>Simões Filho/BA</t>
  </si>
  <si>
    <t>Sítio do Mato/BA</t>
  </si>
  <si>
    <t>Sítio do Quinto/BA</t>
  </si>
  <si>
    <t>Sobradinho/BA</t>
  </si>
  <si>
    <t>Souto Soares/BA</t>
  </si>
  <si>
    <t>Tabocas do Brejo Velho/BA</t>
  </si>
  <si>
    <t>Tanhaçu/BA</t>
  </si>
  <si>
    <t>Tanque Novo/BA</t>
  </si>
  <si>
    <t>Tanquinho/BA</t>
  </si>
  <si>
    <t>Taperoá/BA</t>
  </si>
  <si>
    <t>Tapiramutá/BA</t>
  </si>
  <si>
    <t>Teixeira de Freitas/BA</t>
  </si>
  <si>
    <t>Teodoro Sampaio/BA</t>
  </si>
  <si>
    <t>Teofilândia/BA</t>
  </si>
  <si>
    <t>Teolândia/BA</t>
  </si>
  <si>
    <t>Terra Nova/BA</t>
  </si>
  <si>
    <t>Tremedal/BA</t>
  </si>
  <si>
    <t>Tucano/BA</t>
  </si>
  <si>
    <t>Uauá/BA</t>
  </si>
  <si>
    <t>Ubaíra/BA</t>
  </si>
  <si>
    <t>Ubaitaba/BA</t>
  </si>
  <si>
    <t>Ubatã/BA</t>
  </si>
  <si>
    <t>Uibaí/BA</t>
  </si>
  <si>
    <t>Umburanas/BA</t>
  </si>
  <si>
    <t>Una/BA</t>
  </si>
  <si>
    <t>Urandi/BA</t>
  </si>
  <si>
    <t>Uruçuca/BA</t>
  </si>
  <si>
    <t>Utinga/BA</t>
  </si>
  <si>
    <t>Valença/BA</t>
  </si>
  <si>
    <t>Valente/BA</t>
  </si>
  <si>
    <t>Várzea da Roça/BA</t>
  </si>
  <si>
    <t>Várzea do Poço/BA</t>
  </si>
  <si>
    <t>Várzea Nova/BA</t>
  </si>
  <si>
    <t>Varzedo/BA</t>
  </si>
  <si>
    <t>Vera Cruz/BA</t>
  </si>
  <si>
    <t>Vereda/BA</t>
  </si>
  <si>
    <t>Vitória da Conquista/BA</t>
  </si>
  <si>
    <t>Wagner/BA</t>
  </si>
  <si>
    <t>Wanderley/BA</t>
  </si>
  <si>
    <t>Wenceslau Guimarães/BA</t>
  </si>
  <si>
    <t>Xique-xique/BA</t>
  </si>
  <si>
    <t>Abadia Dos Dourados/MG</t>
  </si>
  <si>
    <t>Abaeté/MG</t>
  </si>
  <si>
    <t>Abre Campo/MG</t>
  </si>
  <si>
    <t>Acaiaca/MG</t>
  </si>
  <si>
    <t>Açucena/MG</t>
  </si>
  <si>
    <t>Água Boa/MG</t>
  </si>
  <si>
    <t>Água Comprida/MG</t>
  </si>
  <si>
    <t>Aguanil/MG</t>
  </si>
  <si>
    <t>Águas Formosas/MG</t>
  </si>
  <si>
    <t>Águas Vermelhas/MG</t>
  </si>
  <si>
    <t>Aimorés/MG</t>
  </si>
  <si>
    <t>Aiuruoca/MG</t>
  </si>
  <si>
    <t>Alagoa/MG</t>
  </si>
  <si>
    <t>Albertina/MG</t>
  </si>
  <si>
    <t>Além Paraíba/MG</t>
  </si>
  <si>
    <t>Alfenas/MG</t>
  </si>
  <si>
    <t>Alfredo Vasconcelos/MG</t>
  </si>
  <si>
    <t>Almenara/MG</t>
  </si>
  <si>
    <t>Alpercata/MG</t>
  </si>
  <si>
    <t>Alpinópolis/MG</t>
  </si>
  <si>
    <t>Alterosa/MG</t>
  </si>
  <si>
    <t>Alto Caparaó/MG</t>
  </si>
  <si>
    <t>Alto Rio Doce/MG</t>
  </si>
  <si>
    <t>Alvarenga/MG</t>
  </si>
  <si>
    <t>Alvinópolis/MG</t>
  </si>
  <si>
    <t>Alvorada de Minas/MG</t>
  </si>
  <si>
    <t>Amparo do Serra/MG</t>
  </si>
  <si>
    <t>Andradas/MG</t>
  </si>
  <si>
    <t>Cachoeira de Pajeú/MG</t>
  </si>
  <si>
    <t>Andrelândia/MG</t>
  </si>
  <si>
    <t>Angelândia/MG</t>
  </si>
  <si>
    <t>Antônio Carlos/MG</t>
  </si>
  <si>
    <t>Antônio Dias/MG</t>
  </si>
  <si>
    <t>Antônio Prado de Minas/MG</t>
  </si>
  <si>
    <t>Araçaí/MG</t>
  </si>
  <si>
    <t>Aracitaba/MG</t>
  </si>
  <si>
    <t>Araçuaí/MG</t>
  </si>
  <si>
    <t>Araguari/MG</t>
  </si>
  <si>
    <t>Arantina/MG</t>
  </si>
  <si>
    <t>Araponga/MG</t>
  </si>
  <si>
    <t>Araporã/MG</t>
  </si>
  <si>
    <t>Arapuá/MG</t>
  </si>
  <si>
    <t>Araújos/MG</t>
  </si>
  <si>
    <t>Araxá/MG</t>
  </si>
  <si>
    <t>Arceburgo/MG</t>
  </si>
  <si>
    <t>Arcos/MG</t>
  </si>
  <si>
    <t>Areado/MG</t>
  </si>
  <si>
    <t>Argirita/MG</t>
  </si>
  <si>
    <t>Aricanduva/MG</t>
  </si>
  <si>
    <t>Arinos/MG</t>
  </si>
  <si>
    <t>Astolfo Dutra/MG</t>
  </si>
  <si>
    <t>Ataléia/MG</t>
  </si>
  <si>
    <t>Augusto de Lima/MG</t>
  </si>
  <si>
    <t>Baependi/MG</t>
  </si>
  <si>
    <t>Baldim/MG</t>
  </si>
  <si>
    <t>Bambuí/MG</t>
  </si>
  <si>
    <t>Bandeira/MG</t>
  </si>
  <si>
    <t>Bandeira do Sul/MG</t>
  </si>
  <si>
    <t>Barão de Cocais/MG</t>
  </si>
  <si>
    <t>Barão de Monte Alto/MG</t>
  </si>
  <si>
    <t>Barbacena/MG</t>
  </si>
  <si>
    <t>Barra Longa/MG</t>
  </si>
  <si>
    <t>Barroso/MG</t>
  </si>
  <si>
    <t>Bela Vista de Minas/MG</t>
  </si>
  <si>
    <t>Belmiro Braga/MG</t>
  </si>
  <si>
    <t>Belo Horizonte/MG</t>
  </si>
  <si>
    <t>Belo Oriente/MG</t>
  </si>
  <si>
    <t>Belo Vale/MG</t>
  </si>
  <si>
    <t>Berilo/MG</t>
  </si>
  <si>
    <t>Bertópolis/MG</t>
  </si>
  <si>
    <t>Berizal/MG</t>
  </si>
  <si>
    <t>Betim/MG</t>
  </si>
  <si>
    <t>Bias Fortes/MG</t>
  </si>
  <si>
    <t>Bicas/MG</t>
  </si>
  <si>
    <t>Biquinhas/MG</t>
  </si>
  <si>
    <t>Boa Esperança/MG</t>
  </si>
  <si>
    <t>Bocaina de Minas/MG</t>
  </si>
  <si>
    <t>Bocaiúva/MG</t>
  </si>
  <si>
    <t>Bom Despacho/MG</t>
  </si>
  <si>
    <t>Bom Jardim de Minas/MG</t>
  </si>
  <si>
    <t>Bom Jesus da Penha/MG</t>
  </si>
  <si>
    <t>Bom Jesus do Amparo/MG</t>
  </si>
  <si>
    <t>Bom Jesus do Galho/MG</t>
  </si>
  <si>
    <t>Bom Repouso/MG</t>
  </si>
  <si>
    <t>Bom Sucesso/MG</t>
  </si>
  <si>
    <t>Bonfim/MG</t>
  </si>
  <si>
    <t>Bonfinópolis de Minas/MG</t>
  </si>
  <si>
    <t>Bonito de Minas/MG</t>
  </si>
  <si>
    <t>Borda da Mata/MG</t>
  </si>
  <si>
    <t>Botelhos/MG</t>
  </si>
  <si>
    <t>Botumirim/MG</t>
  </si>
  <si>
    <t>Brasilândia de Minas/MG</t>
  </si>
  <si>
    <t>Brasília de Minas/MG</t>
  </si>
  <si>
    <t>Brás Pires/MG</t>
  </si>
  <si>
    <t>Braúnas/MG</t>
  </si>
  <si>
    <t>Brasópolis/MG</t>
  </si>
  <si>
    <t>Brumadinho/MG</t>
  </si>
  <si>
    <t>Bueno Brandão/MG</t>
  </si>
  <si>
    <t>Buenópolis/MG</t>
  </si>
  <si>
    <t>Bugre/MG</t>
  </si>
  <si>
    <t>Buritis/MG</t>
  </si>
  <si>
    <t>Buritizeiro/MG</t>
  </si>
  <si>
    <t>Cabeceira Grande/MG</t>
  </si>
  <si>
    <t>Cabo Verde/MG</t>
  </si>
  <si>
    <t>Cachoeira da Prata/MG</t>
  </si>
  <si>
    <t>Cachoeira de Minas/MG</t>
  </si>
  <si>
    <t>Cachoeira Dourada/MG</t>
  </si>
  <si>
    <t>Caetanópolis/MG</t>
  </si>
  <si>
    <t>Caeté/MG</t>
  </si>
  <si>
    <t>Caiana/MG</t>
  </si>
  <si>
    <t>Cajuri/MG</t>
  </si>
  <si>
    <t>Caldas/MG</t>
  </si>
  <si>
    <t>Camacho/MG</t>
  </si>
  <si>
    <t>Camanducaia/MG</t>
  </si>
  <si>
    <t>Cambuí/MG</t>
  </si>
  <si>
    <t>Cambuquira/MG</t>
  </si>
  <si>
    <t>Campanário/MG</t>
  </si>
  <si>
    <t>Campanha/MG</t>
  </si>
  <si>
    <t>Campestre/MG</t>
  </si>
  <si>
    <t>Campina Verde/MG</t>
  </si>
  <si>
    <t>Campo Azul/MG</t>
  </si>
  <si>
    <t>Campo Belo/MG</t>
  </si>
  <si>
    <t>Campo do Meio/MG</t>
  </si>
  <si>
    <t>Campo Florido/MG</t>
  </si>
  <si>
    <t>Campos Altos/MG</t>
  </si>
  <si>
    <t>Campos Gerais/MG</t>
  </si>
  <si>
    <t>Canaã/MG</t>
  </si>
  <si>
    <t>Canápolis/MG</t>
  </si>
  <si>
    <t>Cana Verde/MG</t>
  </si>
  <si>
    <t>Candeias/MG</t>
  </si>
  <si>
    <t>Cantagalo/MG</t>
  </si>
  <si>
    <t>Caparaó/MG</t>
  </si>
  <si>
    <t>Capela Nova/MG</t>
  </si>
  <si>
    <t>Capelinha/MG</t>
  </si>
  <si>
    <t>Capetinga/MG</t>
  </si>
  <si>
    <t>Capim Branco/MG</t>
  </si>
  <si>
    <t>Capinópolis/MG</t>
  </si>
  <si>
    <t>Capitão Andrade/MG</t>
  </si>
  <si>
    <t>Capitão Enéas/MG</t>
  </si>
  <si>
    <t>Capitólio/MG</t>
  </si>
  <si>
    <t>Caputira/MG</t>
  </si>
  <si>
    <t>Caraí/MG</t>
  </si>
  <si>
    <t>Caranaíba/MG</t>
  </si>
  <si>
    <t>Carandaí/MG</t>
  </si>
  <si>
    <t>Carangola/MG</t>
  </si>
  <si>
    <t>Caratinga/MG</t>
  </si>
  <si>
    <t>Carbonita/MG</t>
  </si>
  <si>
    <t>Careaçu/MG</t>
  </si>
  <si>
    <t>Carlos Chagas/MG</t>
  </si>
  <si>
    <t>Carmésia/MG</t>
  </si>
  <si>
    <t>Carmo da Cachoeira/MG</t>
  </si>
  <si>
    <t>Carmo da Mata/MG</t>
  </si>
  <si>
    <t>Carmo de Minas/MG</t>
  </si>
  <si>
    <t>Carmo do Cajuru/MG</t>
  </si>
  <si>
    <t>Carmo do Paranaíba/MG</t>
  </si>
  <si>
    <t>Carmo do Rio Claro/MG</t>
  </si>
  <si>
    <t>Carmópolis de Minas/MG</t>
  </si>
  <si>
    <t>Carneirinho/MG</t>
  </si>
  <si>
    <t>Carrancas/MG</t>
  </si>
  <si>
    <t>Carvalhópolis/MG</t>
  </si>
  <si>
    <t>Carvalhos/MG</t>
  </si>
  <si>
    <t>Casa Grande/MG</t>
  </si>
  <si>
    <t>Cascalho Rico/MG</t>
  </si>
  <si>
    <t>Cássia/MG</t>
  </si>
  <si>
    <t>Conceição da Barra de Minas/MG</t>
  </si>
  <si>
    <t>Cataguases/MG</t>
  </si>
  <si>
    <t>Catas Altas/MG</t>
  </si>
  <si>
    <t>Catas Altas da Noruega/MG</t>
  </si>
  <si>
    <t>Catuji/MG</t>
  </si>
  <si>
    <t>Catuti/MG</t>
  </si>
  <si>
    <t>Caxambu/MG</t>
  </si>
  <si>
    <t>Cedro do Abaeté/MG</t>
  </si>
  <si>
    <t>Central de Minas/MG</t>
  </si>
  <si>
    <t>Centralina/MG</t>
  </si>
  <si>
    <t>Chácara/MG</t>
  </si>
  <si>
    <t>Chalé/MG</t>
  </si>
  <si>
    <t>Chapada do Norte/MG</t>
  </si>
  <si>
    <t>Chapada Gaúcha/MG</t>
  </si>
  <si>
    <t>Chiador/MG</t>
  </si>
  <si>
    <t>Cipotânea/MG</t>
  </si>
  <si>
    <t>Claraval/MG</t>
  </si>
  <si>
    <t>Claro Dos Poções/MG</t>
  </si>
  <si>
    <t>Cláudio/MG</t>
  </si>
  <si>
    <t>Coimbra/MG</t>
  </si>
  <si>
    <t>Coluna/MG</t>
  </si>
  <si>
    <t>Comendador Gomes/MG</t>
  </si>
  <si>
    <t>Comercinho/MG</t>
  </si>
  <si>
    <t>Conceição da Aparecida/MG</t>
  </si>
  <si>
    <t>Conceição Das Pedras/MG</t>
  </si>
  <si>
    <t>Conceição Das Alagoas/MG</t>
  </si>
  <si>
    <t>Conceição de Ipanema/MG</t>
  </si>
  <si>
    <t>Conceição do Mato Dentro/MG</t>
  </si>
  <si>
    <t>Conceição do Pará/MG</t>
  </si>
  <si>
    <t>Conceição do Rio Verde/MG</t>
  </si>
  <si>
    <t>Conceição Dos Ouros/MG</t>
  </si>
  <si>
    <t>Cônego Marinho/MG</t>
  </si>
  <si>
    <t>Confins/MG</t>
  </si>
  <si>
    <t>Congonhal/MG</t>
  </si>
  <si>
    <t>Congonhas/MG</t>
  </si>
  <si>
    <t>Congonhas do Norte/MG</t>
  </si>
  <si>
    <t>Conquista/MG</t>
  </si>
  <si>
    <t>Conselheiro Lafaiete/MG</t>
  </si>
  <si>
    <t>Conselheiro Pena/MG</t>
  </si>
  <si>
    <t>Consolação/MG</t>
  </si>
  <si>
    <t>Contagem/MG</t>
  </si>
  <si>
    <t>Coqueiral/MG</t>
  </si>
  <si>
    <t>Coração de Jesus/MG</t>
  </si>
  <si>
    <t>Cordisburgo/MG</t>
  </si>
  <si>
    <t>Cordislândia/MG</t>
  </si>
  <si>
    <t>Corinto/MG</t>
  </si>
  <si>
    <t>Coroaci/MG</t>
  </si>
  <si>
    <t>Coromandel/MG</t>
  </si>
  <si>
    <t>Coronel Fabriciano/MG</t>
  </si>
  <si>
    <t>Coronel Murta/MG</t>
  </si>
  <si>
    <t>Coronel Pacheco/MG</t>
  </si>
  <si>
    <t>Coronel Xavier Chaves/MG</t>
  </si>
  <si>
    <t>Córrego Danta/MG</t>
  </si>
  <si>
    <t>Córrego do Bom Jesus/MG</t>
  </si>
  <si>
    <t>Córrego Fundo/MG</t>
  </si>
  <si>
    <t>Córrego Novo/MG</t>
  </si>
  <si>
    <t>Couto de Magalhães de Minas/MG</t>
  </si>
  <si>
    <t>Crisólita/MG</t>
  </si>
  <si>
    <t>Cristais/MG</t>
  </si>
  <si>
    <t>Cristália/MG</t>
  </si>
  <si>
    <t>Cristiano Otoni/MG</t>
  </si>
  <si>
    <t>Cristina/MG</t>
  </si>
  <si>
    <t>Crucilândia/MG</t>
  </si>
  <si>
    <t>Cruzeiro da Fortaleza/MG</t>
  </si>
  <si>
    <t>Cruzília/MG</t>
  </si>
  <si>
    <t>Cuparaque/MG</t>
  </si>
  <si>
    <t>Curral de Dentro/MG</t>
  </si>
  <si>
    <t>Curvelo/MG</t>
  </si>
  <si>
    <t>Datas/MG</t>
  </si>
  <si>
    <t>Delfim Moreira/MG</t>
  </si>
  <si>
    <t>Delfinópolis/MG</t>
  </si>
  <si>
    <t>Delta/MG</t>
  </si>
  <si>
    <t>Descoberto/MG</t>
  </si>
  <si>
    <t>Desterro de Entre Rios/MG</t>
  </si>
  <si>
    <t>Desterro do Melo/MG</t>
  </si>
  <si>
    <t>Diamantina/MG</t>
  </si>
  <si>
    <t>Diogo de Vasconcelos/MG</t>
  </si>
  <si>
    <t>Dionísio/MG</t>
  </si>
  <si>
    <t>Divinésia/MG</t>
  </si>
  <si>
    <t>Divino/MG</t>
  </si>
  <si>
    <t>Divino Das Laranjeiras/MG</t>
  </si>
  <si>
    <t>Divinolândia de Minas/MG</t>
  </si>
  <si>
    <t>Divinópolis/MG</t>
  </si>
  <si>
    <t>Divisa Alegre/MG</t>
  </si>
  <si>
    <t>Divisa Nova/MG</t>
  </si>
  <si>
    <t>Divisópolis/MG</t>
  </si>
  <si>
    <t>Dom Bosco/MG</t>
  </si>
  <si>
    <t>Dom Cavati/MG</t>
  </si>
  <si>
    <t>Dom Joaquim/MG</t>
  </si>
  <si>
    <t>Dom Silvério/MG</t>
  </si>
  <si>
    <t>Dom Viçoso/MG</t>
  </si>
  <si>
    <t>Dona Eusébia/MG</t>
  </si>
  <si>
    <t>Dores de Campos/MG</t>
  </si>
  <si>
    <t>Dores de Guanhães/MG</t>
  </si>
  <si>
    <t>Dores do Indaiá/MG</t>
  </si>
  <si>
    <t>Dores do Turvo/MG</t>
  </si>
  <si>
    <t>Doresópolis/MG</t>
  </si>
  <si>
    <t>Douradoquara/MG</t>
  </si>
  <si>
    <t>Durandé/MG</t>
  </si>
  <si>
    <t>Elói Mendes/MG</t>
  </si>
  <si>
    <t>Engenheiro Caldas/MG</t>
  </si>
  <si>
    <t>Engenheiro Navarro/MG</t>
  </si>
  <si>
    <t>Entre Folhas/MG</t>
  </si>
  <si>
    <t>Entre Rios de Minas/MG</t>
  </si>
  <si>
    <t>Ervália/MG</t>
  </si>
  <si>
    <t>Esmeraldas/MG</t>
  </si>
  <si>
    <t>Espera Feliz/MG</t>
  </si>
  <si>
    <t>Espinosa/MG</t>
  </si>
  <si>
    <t>Espírito Santo do Dourado/MG</t>
  </si>
  <si>
    <t>Estiva/MG</t>
  </si>
  <si>
    <t>Estrela Dalva/MG</t>
  </si>
  <si>
    <t>Estrela do Indaiá/MG</t>
  </si>
  <si>
    <t>Estrela do Sul/MG</t>
  </si>
  <si>
    <t>Eugenópolis/MG</t>
  </si>
  <si>
    <t>Ewbank da Câmara/MG</t>
  </si>
  <si>
    <t>Extrema/MG</t>
  </si>
  <si>
    <t>Fama/MG</t>
  </si>
  <si>
    <t>Faria Lemos/MG</t>
  </si>
  <si>
    <t>Felício Dos Santos/MG</t>
  </si>
  <si>
    <t>São Gonçalo do Rio Preto/MG</t>
  </si>
  <si>
    <t>Felisburgo/MG</t>
  </si>
  <si>
    <t>Felixlândia/MG</t>
  </si>
  <si>
    <t>Fernandes Tourinho/MG</t>
  </si>
  <si>
    <t>Ferros/MG</t>
  </si>
  <si>
    <t>Fervedouro/MG</t>
  </si>
  <si>
    <t>Florestal/MG</t>
  </si>
  <si>
    <t>Formiga/MG</t>
  </si>
  <si>
    <t>Formoso/MG</t>
  </si>
  <si>
    <t>Fortaleza de Minas/MG</t>
  </si>
  <si>
    <t>Fortuna de Minas/MG</t>
  </si>
  <si>
    <t>Francisco Badaró/MG</t>
  </si>
  <si>
    <t>Francisco Dumont/MG</t>
  </si>
  <si>
    <t>Francisco sá/MG</t>
  </si>
  <si>
    <t>Franciscópolis/MG</t>
  </si>
  <si>
    <t>Frei Gaspar/MG</t>
  </si>
  <si>
    <t>Frei Inocêncio/MG</t>
  </si>
  <si>
    <t>Frei Lagonegro/MG</t>
  </si>
  <si>
    <t>Fronteira/MG</t>
  </si>
  <si>
    <t>Fronteira Dos Vales/MG</t>
  </si>
  <si>
    <t>Fruta de Leite/MG</t>
  </si>
  <si>
    <t>Frutal/MG</t>
  </si>
  <si>
    <t>Funilândia/MG</t>
  </si>
  <si>
    <t>Galiléia/MG</t>
  </si>
  <si>
    <t>Gameleiras/MG</t>
  </si>
  <si>
    <t>Glaucilândia/MG</t>
  </si>
  <si>
    <t>Goiabeira/MG</t>
  </si>
  <si>
    <t>Goianá/MG</t>
  </si>
  <si>
    <t>Gonçalves/MG</t>
  </si>
  <si>
    <t>Gonzaga/MG</t>
  </si>
  <si>
    <t>Gouveia/MG</t>
  </si>
  <si>
    <t>Governador Valadares/MG</t>
  </si>
  <si>
    <t>Grão Mogol/MG</t>
  </si>
  <si>
    <t>Grupiara/MG</t>
  </si>
  <si>
    <t>Guanhães/MG</t>
  </si>
  <si>
    <t>Guapé/MG</t>
  </si>
  <si>
    <t>Guaraciaba/MG</t>
  </si>
  <si>
    <t>Guaraciama/MG</t>
  </si>
  <si>
    <t>Guaranésia/MG</t>
  </si>
  <si>
    <t>Guarani/MG</t>
  </si>
  <si>
    <t>Guarará/MG</t>
  </si>
  <si>
    <t>Guarda-mor/MG</t>
  </si>
  <si>
    <t>Guaxupé/MG</t>
  </si>
  <si>
    <t>Guidoval/MG</t>
  </si>
  <si>
    <t>Guimarânia/MG</t>
  </si>
  <si>
    <t>Guiricema/MG</t>
  </si>
  <si>
    <t>Gurinhatã/MG</t>
  </si>
  <si>
    <t>Heliodora/MG</t>
  </si>
  <si>
    <t>Iapu/MG</t>
  </si>
  <si>
    <t>Ibertioga/MG</t>
  </si>
  <si>
    <t>Ibiá/MG</t>
  </si>
  <si>
    <t>Ibiaí/MG</t>
  </si>
  <si>
    <t>Ibiracatu/MG</t>
  </si>
  <si>
    <t>Ibiraci/MG</t>
  </si>
  <si>
    <t>Ibirité/MG</t>
  </si>
  <si>
    <t>Ibitiúra de Minas/MG</t>
  </si>
  <si>
    <t>Ibituruna/MG</t>
  </si>
  <si>
    <t>Icaraí de Minas/MG</t>
  </si>
  <si>
    <t>Igarapé/MG</t>
  </si>
  <si>
    <t>Igaratinga/MG</t>
  </si>
  <si>
    <t>Iguatama/MG</t>
  </si>
  <si>
    <t>Ijaci/MG</t>
  </si>
  <si>
    <t>Ilicínea/MG</t>
  </si>
  <si>
    <t>Imbé de Minas/MG</t>
  </si>
  <si>
    <t>Inconfidentes/MG</t>
  </si>
  <si>
    <t>Indaiabira/MG</t>
  </si>
  <si>
    <t>Indianópolis/MG</t>
  </si>
  <si>
    <t>Ingaí/MG</t>
  </si>
  <si>
    <t>Inhapim/MG</t>
  </si>
  <si>
    <t>Inhaúma/MG</t>
  </si>
  <si>
    <t>Inimutaba/MG</t>
  </si>
  <si>
    <t>Ipaba/MG</t>
  </si>
  <si>
    <t>Ipanema/MG</t>
  </si>
  <si>
    <t>Ipatinga/MG</t>
  </si>
  <si>
    <t>Ipiaçu/MG</t>
  </si>
  <si>
    <t>Ipuiúna/MG</t>
  </si>
  <si>
    <t>Iraí de Minas/MG</t>
  </si>
  <si>
    <t>Itabira/MG</t>
  </si>
  <si>
    <t>Itabirinha/MG</t>
  </si>
  <si>
    <t>Itabirito/MG</t>
  </si>
  <si>
    <t>Itacambira/MG</t>
  </si>
  <si>
    <t>Itacarambi/MG</t>
  </si>
  <si>
    <t>Itaguara/MG</t>
  </si>
  <si>
    <t>Itaipé/MG</t>
  </si>
  <si>
    <t>Itajubá/MG</t>
  </si>
  <si>
    <t>Itamarandiba/MG</t>
  </si>
  <si>
    <t>Itamarati de Minas/MG</t>
  </si>
  <si>
    <t>Itambacuri/MG</t>
  </si>
  <si>
    <t>Itambé do Mato Dentro/MG</t>
  </si>
  <si>
    <t>Itamogi/MG</t>
  </si>
  <si>
    <t>Itamonte/MG</t>
  </si>
  <si>
    <t>Itanhandu/MG</t>
  </si>
  <si>
    <t>Itanhomi/MG</t>
  </si>
  <si>
    <t>Itaobim/MG</t>
  </si>
  <si>
    <t>Itapagipe/MG</t>
  </si>
  <si>
    <t>Itapecerica/MG</t>
  </si>
  <si>
    <t>Itapeva/MG</t>
  </si>
  <si>
    <t>Itatiaiuçu/MG</t>
  </si>
  <si>
    <t>Itaú de Minas/MG</t>
  </si>
  <si>
    <t>Itaúna/MG</t>
  </si>
  <si>
    <t>Itaverava/MG</t>
  </si>
  <si>
    <t>Itinga/MG</t>
  </si>
  <si>
    <t>Itueta/MG</t>
  </si>
  <si>
    <t>Ituiutaba/MG</t>
  </si>
  <si>
    <t>Itumirim/MG</t>
  </si>
  <si>
    <t>Iturama/MG</t>
  </si>
  <si>
    <t>Itutinga/MG</t>
  </si>
  <si>
    <t>Jaboticatubas/MG</t>
  </si>
  <si>
    <t>Jacinto/MG</t>
  </si>
  <si>
    <t>Jacuí/MG</t>
  </si>
  <si>
    <t>Jacutinga/MG</t>
  </si>
  <si>
    <t>Jaguaraçu/MG</t>
  </si>
  <si>
    <t>Jaíba/MG</t>
  </si>
  <si>
    <t>Jampruca/MG</t>
  </si>
  <si>
    <t>Janaúba/MG</t>
  </si>
  <si>
    <t>Januária/MG</t>
  </si>
  <si>
    <t>Japaraíba/MG</t>
  </si>
  <si>
    <t>Japonvar/MG</t>
  </si>
  <si>
    <t>Jeceaba/MG</t>
  </si>
  <si>
    <t>Jenipapo de Minas/MG</t>
  </si>
  <si>
    <t>Jequeri/MG</t>
  </si>
  <si>
    <t>Jequitaí/MG</t>
  </si>
  <si>
    <t>Jequitibá/MG</t>
  </si>
  <si>
    <t>Jequitinhonha/MG</t>
  </si>
  <si>
    <t>Jesuânia/MG</t>
  </si>
  <si>
    <t>Joaíma/MG</t>
  </si>
  <si>
    <t>Joanésia/MG</t>
  </si>
  <si>
    <t>João Monlevade/MG</t>
  </si>
  <si>
    <t>João Pinheiro/MG</t>
  </si>
  <si>
    <t>Joaquim Felício/MG</t>
  </si>
  <si>
    <t>Jordânia/MG</t>
  </si>
  <si>
    <t>José Gonçalves de Minas/MG</t>
  </si>
  <si>
    <t>José Raydan/MG</t>
  </si>
  <si>
    <t>Josenópolis/MG</t>
  </si>
  <si>
    <t>Nova União/MG</t>
  </si>
  <si>
    <t>Juatuba/MG</t>
  </si>
  <si>
    <t>Juiz de Fora/MG</t>
  </si>
  <si>
    <t>Juramento/MG</t>
  </si>
  <si>
    <t>Juruaia/MG</t>
  </si>
  <si>
    <t>Juvenília/MG</t>
  </si>
  <si>
    <t>Ladainha/MG</t>
  </si>
  <si>
    <t>Lagamar/MG</t>
  </si>
  <si>
    <t>Lagoa da Prata/MG</t>
  </si>
  <si>
    <t>Lagoa Dos Patos/MG</t>
  </si>
  <si>
    <t>Lagoa Dourada/MG</t>
  </si>
  <si>
    <t>Lagoa Formosa/MG</t>
  </si>
  <si>
    <t>Lagoa Grande/MG</t>
  </si>
  <si>
    <t>Lagoa Santa/MG</t>
  </si>
  <si>
    <t>Lajinha/MG</t>
  </si>
  <si>
    <t>Lambari/MG</t>
  </si>
  <si>
    <t>Lamim/MG</t>
  </si>
  <si>
    <t>Laranjal/MG</t>
  </si>
  <si>
    <t>Lassance/MG</t>
  </si>
  <si>
    <t>Lavras/MG</t>
  </si>
  <si>
    <t>Leandro Ferreira/MG</t>
  </si>
  <si>
    <t>Leme do Prado/MG</t>
  </si>
  <si>
    <t>Leopoldina/MG</t>
  </si>
  <si>
    <t>Liberdade/MG</t>
  </si>
  <si>
    <t>Lima Duarte/MG</t>
  </si>
  <si>
    <t>Limeira do Oeste/MG</t>
  </si>
  <si>
    <t>Lontra/MG</t>
  </si>
  <si>
    <t>Luisburgo/MG</t>
  </si>
  <si>
    <t>Luislândia/MG</t>
  </si>
  <si>
    <t>Luminárias/MG</t>
  </si>
  <si>
    <t>Luz/MG</t>
  </si>
  <si>
    <t>Machacalis/MG</t>
  </si>
  <si>
    <t>Machado/MG</t>
  </si>
  <si>
    <t>Madre de Deus de Minas/MG</t>
  </si>
  <si>
    <t>Malacacheta/MG</t>
  </si>
  <si>
    <t>Mamonas/MG</t>
  </si>
  <si>
    <t>Manga/MG</t>
  </si>
  <si>
    <t>Manhuaçu/MG</t>
  </si>
  <si>
    <t>Manhumirim/MG</t>
  </si>
  <si>
    <t>Mantena/MG</t>
  </si>
  <si>
    <t>Maravilhas/MG</t>
  </si>
  <si>
    <t>Mar de Espanha/MG</t>
  </si>
  <si>
    <t>Maria da fé/MG</t>
  </si>
  <si>
    <t>Mariana/MG</t>
  </si>
  <si>
    <t>Marilac/MG</t>
  </si>
  <si>
    <t>Mário Campos/MG</t>
  </si>
  <si>
    <t>Maripá de Minas/MG</t>
  </si>
  <si>
    <t>Marliéria/MG</t>
  </si>
  <si>
    <t>Marmelópolis/MG</t>
  </si>
  <si>
    <t>Martinho Campos/MG</t>
  </si>
  <si>
    <t>Martins Soares/MG</t>
  </si>
  <si>
    <t>Mata Verde/MG</t>
  </si>
  <si>
    <t>Materlândia/MG</t>
  </si>
  <si>
    <t>Mateus Leme/MG</t>
  </si>
  <si>
    <t>Matias Barbosa/MG</t>
  </si>
  <si>
    <t>Matias Cardoso/MG</t>
  </si>
  <si>
    <t>Matipó/MG</t>
  </si>
  <si>
    <t>Mato Verde/MG</t>
  </si>
  <si>
    <t>Matozinhos/MG</t>
  </si>
  <si>
    <t>Matutina/MG</t>
  </si>
  <si>
    <t>Medeiros/MG</t>
  </si>
  <si>
    <t>Medina/MG</t>
  </si>
  <si>
    <t>Mendes Pimentel/MG</t>
  </si>
  <si>
    <t>Mercês/MG</t>
  </si>
  <si>
    <t>Mesquita/MG</t>
  </si>
  <si>
    <t>Minas Novas/MG</t>
  </si>
  <si>
    <t>Minduri/MG</t>
  </si>
  <si>
    <t>Mirabela/MG</t>
  </si>
  <si>
    <t>Miradouro/MG</t>
  </si>
  <si>
    <t>Miraí/MG</t>
  </si>
  <si>
    <t>Miravânia/MG</t>
  </si>
  <si>
    <t>Moeda/MG</t>
  </si>
  <si>
    <t>Moema/MG</t>
  </si>
  <si>
    <t>Monjolos/MG</t>
  </si>
  <si>
    <t>Monsenhor Paulo/MG</t>
  </si>
  <si>
    <t>Montalvânia/MG</t>
  </si>
  <si>
    <t>Monte Alegre de Minas/MG</t>
  </si>
  <si>
    <t>Monte Azul/MG</t>
  </si>
  <si>
    <t>Monte Belo/MG</t>
  </si>
  <si>
    <t>Monte Carmelo/MG</t>
  </si>
  <si>
    <t>Monte Formoso/MG</t>
  </si>
  <si>
    <t>Monte Santo de Minas/MG</t>
  </si>
  <si>
    <t>Montes Claros/MG</t>
  </si>
  <si>
    <t>Monte Sião/MG</t>
  </si>
  <si>
    <t>Montezuma/MG</t>
  </si>
  <si>
    <t>Morada Nova de Minas/MG</t>
  </si>
  <si>
    <t>Morro da Garça/MG</t>
  </si>
  <si>
    <t>Morro do Pilar/MG</t>
  </si>
  <si>
    <t>Munhoz/MG</t>
  </si>
  <si>
    <t>Muriaé/MG</t>
  </si>
  <si>
    <t>Mutum/MG</t>
  </si>
  <si>
    <t>Muzambinho/MG</t>
  </si>
  <si>
    <t>Nacip Raydan/MG</t>
  </si>
  <si>
    <t>Nanuque/MG</t>
  </si>
  <si>
    <t>Naque/MG</t>
  </si>
  <si>
    <t>Natalândia/MG</t>
  </si>
  <si>
    <t>Natércia/MG</t>
  </si>
  <si>
    <t>Nazareno/MG</t>
  </si>
  <si>
    <t>Nepomuceno/MG</t>
  </si>
  <si>
    <t>Ninheira/MG</t>
  </si>
  <si>
    <t>Nova Belém/MG</t>
  </si>
  <si>
    <t>Nova Era/MG</t>
  </si>
  <si>
    <t>Nova Lima/MG</t>
  </si>
  <si>
    <t>Nova Módica/MG</t>
  </si>
  <si>
    <t>Nova Ponte/MG</t>
  </si>
  <si>
    <t>Nova Porteirinha/MG</t>
  </si>
  <si>
    <t>Nova Resende/MG</t>
  </si>
  <si>
    <t>Nova Serrana/MG</t>
  </si>
  <si>
    <t>Novo Cruzeiro/MG</t>
  </si>
  <si>
    <t>Novo Oriente de Minas/MG</t>
  </si>
  <si>
    <t>Novorizonte/MG</t>
  </si>
  <si>
    <t>Olaria/MG</t>
  </si>
  <si>
    <t>Olhos-d´água/MG</t>
  </si>
  <si>
    <t>Olímpio Noronha/MG</t>
  </si>
  <si>
    <t>Oliveira/MG</t>
  </si>
  <si>
    <t>Oliveira Fortes/MG</t>
  </si>
  <si>
    <t>Onça de Pitangui/MG</t>
  </si>
  <si>
    <t>Oratórios/MG</t>
  </si>
  <si>
    <t>Orizânia/MG</t>
  </si>
  <si>
    <t>Ouro Branco/MG</t>
  </si>
  <si>
    <t>Ouro Fino/MG</t>
  </si>
  <si>
    <t>Ouro Preto/MG</t>
  </si>
  <si>
    <t>Ouro Verde de Minas/MG</t>
  </si>
  <si>
    <t>Padre Carvalho/MG</t>
  </si>
  <si>
    <t>Padre Paraíso/MG</t>
  </si>
  <si>
    <t>Paineiras/MG</t>
  </si>
  <si>
    <t>Pains/MG</t>
  </si>
  <si>
    <t>Pai Pedro/MG</t>
  </si>
  <si>
    <t>Paiva/MG</t>
  </si>
  <si>
    <t>Palma/MG</t>
  </si>
  <si>
    <t>Palmópolis/MG</t>
  </si>
  <si>
    <t>Papagaios/MG</t>
  </si>
  <si>
    <t>Paracatu/MG</t>
  </si>
  <si>
    <t>Pará de Minas/MG</t>
  </si>
  <si>
    <t>Paraguaçu/MG</t>
  </si>
  <si>
    <t>Paraisópolis/MG</t>
  </si>
  <si>
    <t>Paraopeba/MG</t>
  </si>
  <si>
    <t>Passabém/MG</t>
  </si>
  <si>
    <t>Passa Quatro/MG</t>
  </si>
  <si>
    <t>Passa Tempo/MG</t>
  </si>
  <si>
    <t>Passa-vinte/MG</t>
  </si>
  <si>
    <t>Passos/MG</t>
  </si>
  <si>
    <t>Patis/MG</t>
  </si>
  <si>
    <t>Patos de Minas/MG</t>
  </si>
  <si>
    <t>Patrocínio/MG</t>
  </si>
  <si>
    <t>Patrocínio do Muriaé/MG</t>
  </si>
  <si>
    <t>Paula Cândido/MG</t>
  </si>
  <si>
    <t>Paulistas/MG</t>
  </si>
  <si>
    <t>Pavão/MG</t>
  </si>
  <si>
    <t>Peçanha/MG</t>
  </si>
  <si>
    <t>Pedra Azul/MG</t>
  </si>
  <si>
    <t>Pedra Bonita/MG</t>
  </si>
  <si>
    <t>Pedra do Anta/MG</t>
  </si>
  <si>
    <t>Pedra do Indaiá/MG</t>
  </si>
  <si>
    <t>Pedra Dourada/MG</t>
  </si>
  <si>
    <t>Pedralva/MG</t>
  </si>
  <si>
    <t>Pedras de Maria da Cruz/MG</t>
  </si>
  <si>
    <t>Pedrinópolis/MG</t>
  </si>
  <si>
    <t>Pedro Leopoldo/MG</t>
  </si>
  <si>
    <t>Pedro Teixeira/MG</t>
  </si>
  <si>
    <t>Pequeri/MG</t>
  </si>
  <si>
    <t>Pequi/MG</t>
  </si>
  <si>
    <t>Perdigão/MG</t>
  </si>
  <si>
    <t>Perdizes/MG</t>
  </si>
  <si>
    <t>Perdões/MG</t>
  </si>
  <si>
    <t>Periquito/MG</t>
  </si>
  <si>
    <t>Pescador/MG</t>
  </si>
  <si>
    <t>Piau/MG</t>
  </si>
  <si>
    <t>Piedade de Caratinga/MG</t>
  </si>
  <si>
    <t>Piedade de Ponte Nova/MG</t>
  </si>
  <si>
    <t>Piedade do Rio Grande/MG</t>
  </si>
  <si>
    <t>Piedade Dos Gerais/MG</t>
  </si>
  <si>
    <t>Pimenta/MG</t>
  </si>
  <si>
    <t>Pingo-d´água/MG</t>
  </si>
  <si>
    <t>Pintópolis/MG</t>
  </si>
  <si>
    <t>Piracema/MG</t>
  </si>
  <si>
    <t>Pirajuba/MG</t>
  </si>
  <si>
    <t>Piranga/MG</t>
  </si>
  <si>
    <t>Piranguçu/MG</t>
  </si>
  <si>
    <t>Piranguinho/MG</t>
  </si>
  <si>
    <t>Pirapetinga/MG</t>
  </si>
  <si>
    <t>Pirapora/MG</t>
  </si>
  <si>
    <t>Piraúba/MG</t>
  </si>
  <si>
    <t>Pitangui/MG</t>
  </si>
  <si>
    <t>Piumhi/MG</t>
  </si>
  <si>
    <t>Planura/MG</t>
  </si>
  <si>
    <t>Poço Fundo/MG</t>
  </si>
  <si>
    <t>Poços de Caldas/MG</t>
  </si>
  <si>
    <t>Pocrane/MG</t>
  </si>
  <si>
    <t>Pompéu/MG</t>
  </si>
  <si>
    <t>Ponte Nova/MG</t>
  </si>
  <si>
    <t>Ponto Chique/MG</t>
  </si>
  <si>
    <t>Ponto Dos Volantes/MG</t>
  </si>
  <si>
    <t>Porteirinha/MG</t>
  </si>
  <si>
    <t>Porto Firme/MG</t>
  </si>
  <si>
    <t>Poté/MG</t>
  </si>
  <si>
    <t>Pouso Alegre/MG</t>
  </si>
  <si>
    <t>Pouso Alto/MG</t>
  </si>
  <si>
    <t>Prados/MG</t>
  </si>
  <si>
    <t>Prata/MG</t>
  </si>
  <si>
    <t>Pratápolis/MG</t>
  </si>
  <si>
    <t>Pratinha/MG</t>
  </si>
  <si>
    <t>Presidente Bernardes/MG</t>
  </si>
  <si>
    <t>Presidente Juscelino/MG</t>
  </si>
  <si>
    <t>Presidente Kubitschek/MG</t>
  </si>
  <si>
    <t>Presidente Olegário/MG</t>
  </si>
  <si>
    <t>Alto Jequitibá/MG</t>
  </si>
  <si>
    <t>Prudente de Morais/MG</t>
  </si>
  <si>
    <t>Quartel Geral/MG</t>
  </si>
  <si>
    <t>Queluzito/MG</t>
  </si>
  <si>
    <t>Raposos/MG</t>
  </si>
  <si>
    <t>Raul Soares/MG</t>
  </si>
  <si>
    <t>Recreio/MG</t>
  </si>
  <si>
    <t>Reduto/MG</t>
  </si>
  <si>
    <t>Resende Costa/MG</t>
  </si>
  <si>
    <t>Resplendor/MG</t>
  </si>
  <si>
    <t>Ressaquinha/MG</t>
  </si>
  <si>
    <t>Riachinho/MG</t>
  </si>
  <si>
    <t>Riacho Dos Machados/MG</t>
  </si>
  <si>
    <t>Ribeirão Das Neves/MG</t>
  </si>
  <si>
    <t>Ribeirão Vermelho/MG</t>
  </si>
  <si>
    <t>Rio Acima/MG</t>
  </si>
  <si>
    <t>Rio Casca/MG</t>
  </si>
  <si>
    <t>Rio Doce/MG</t>
  </si>
  <si>
    <t>Rio do Prado/MG</t>
  </si>
  <si>
    <t>Rio Espera/MG</t>
  </si>
  <si>
    <t>Rio Manso/MG</t>
  </si>
  <si>
    <t>Rio Novo/MG</t>
  </si>
  <si>
    <t>Rio Paranaíba/MG</t>
  </si>
  <si>
    <t>Rio Pardo de Minas/MG</t>
  </si>
  <si>
    <t>Rio Piracicaba/MG</t>
  </si>
  <si>
    <t>Rio Pomba/MG</t>
  </si>
  <si>
    <t>Rio Preto/MG</t>
  </si>
  <si>
    <t>Rio Vermelho/MG</t>
  </si>
  <si>
    <t>Ritápolis/MG</t>
  </si>
  <si>
    <t>Rochedo de Minas/MG</t>
  </si>
  <si>
    <t>Rodeiro/MG</t>
  </si>
  <si>
    <t>Romaria/MG</t>
  </si>
  <si>
    <t>Rosário da Limeira/MG</t>
  </si>
  <si>
    <t>Rubelita/MG</t>
  </si>
  <si>
    <t>Rubim/MG</t>
  </si>
  <si>
    <t>Sabará/MG</t>
  </si>
  <si>
    <t>Sabinópolis/MG</t>
  </si>
  <si>
    <t>Sacramento/MG</t>
  </si>
  <si>
    <t>Salinas/MG</t>
  </si>
  <si>
    <t>Salto da Divisa/MG</t>
  </si>
  <si>
    <t>Santa Bárbara/MG</t>
  </si>
  <si>
    <t>Santa Bárbara do Leste/MG</t>
  </si>
  <si>
    <t>Santa Bárbara do Monte Verde/MG</t>
  </si>
  <si>
    <t>Santa Bárbara do Tugúrio/MG</t>
  </si>
  <si>
    <t>Santa Cruz de Minas/MG</t>
  </si>
  <si>
    <t>Santa Cruz de Salinas/MG</t>
  </si>
  <si>
    <t>Santa Cruz do Escalvado/MG</t>
  </si>
  <si>
    <t>Santa Efigênia de Minas/MG</t>
  </si>
  <si>
    <t>Santa fé de Minas/MG</t>
  </si>
  <si>
    <t>Santa Helena de Minas/MG</t>
  </si>
  <si>
    <t>Santa Juliana/MG</t>
  </si>
  <si>
    <t>Santa Luzia/MG</t>
  </si>
  <si>
    <t>Santa Margarida/MG</t>
  </si>
  <si>
    <t>Santa Maria de Itabira/MG</t>
  </si>
  <si>
    <t>Santa Maria do Salto/MG</t>
  </si>
  <si>
    <t>Santa Maria do Suaçuí/MG</t>
  </si>
  <si>
    <t>Santana da Vargem/MG</t>
  </si>
  <si>
    <t>Santana de Cataguases/MG</t>
  </si>
  <si>
    <t>Santana de Pirapama/MG</t>
  </si>
  <si>
    <t>Santana do Deserto/MG</t>
  </si>
  <si>
    <t>Santana do Garambéu/MG</t>
  </si>
  <si>
    <t>Santana do Jacaré/MG</t>
  </si>
  <si>
    <t>Santana do Manhuaçu/MG</t>
  </si>
  <si>
    <t>Santana do Paraíso/MG</t>
  </si>
  <si>
    <t>Santana do Riacho/MG</t>
  </si>
  <si>
    <t>Santana Dos Montes/MG</t>
  </si>
  <si>
    <t>Santa Rita de Caldas/MG</t>
  </si>
  <si>
    <t>Santa Rita de Jacutinga/MG</t>
  </si>
  <si>
    <t>Santa Rita de Minas/MG</t>
  </si>
  <si>
    <t>Santa Rita de Ibitipoca/MG</t>
  </si>
  <si>
    <t>Santa Rita do Itueto/MG</t>
  </si>
  <si>
    <t>Santa Rita do Sapucaí/MG</t>
  </si>
  <si>
    <t>Santa Rosa da Serra/MG</t>
  </si>
  <si>
    <t>Santa Vitória/MG</t>
  </si>
  <si>
    <t>Santo Antônio do Amparo/MG</t>
  </si>
  <si>
    <t>Santo Antônio do Aventureiro/MG</t>
  </si>
  <si>
    <t>Santo Antônio do Grama/MG</t>
  </si>
  <si>
    <t>Santo Antônio do Itambé/MG</t>
  </si>
  <si>
    <t>Santo Antônio do Jacinto/MG</t>
  </si>
  <si>
    <t>Santo Antônio do Monte/MG</t>
  </si>
  <si>
    <t>Santo Antônio do Retiro/MG</t>
  </si>
  <si>
    <t>Santo Antônio do Rio Abaixo/MG</t>
  </si>
  <si>
    <t>Santo Hipólito/MG</t>
  </si>
  <si>
    <t>Santos Dumont/MG</t>
  </si>
  <si>
    <t>São Bento Abade/MG</t>
  </si>
  <si>
    <t>São Brás do Suaçuí/MG</t>
  </si>
  <si>
    <t>São Domingos Das Dores/MG</t>
  </si>
  <si>
    <t>São Domingos do Prata/MG</t>
  </si>
  <si>
    <t>São Félix de Minas/MG</t>
  </si>
  <si>
    <t>São Francisco/MG</t>
  </si>
  <si>
    <t>São Francisco de Paula/MG</t>
  </si>
  <si>
    <t>São Francisco de Sales/MG</t>
  </si>
  <si>
    <t>São Francisco do Glória/MG</t>
  </si>
  <si>
    <t>São Geraldo/MG</t>
  </si>
  <si>
    <t>São Geraldo da Piedade/MG</t>
  </si>
  <si>
    <t>São Geraldo do Baixio/MG</t>
  </si>
  <si>
    <t>São Gonçalo do Abaeté/MG</t>
  </si>
  <si>
    <t>São Gonçalo do Pará/MG</t>
  </si>
  <si>
    <t>São Gonçalo do Rio Abaixo/MG</t>
  </si>
  <si>
    <t>São Gonçalo do Sapucaí/MG</t>
  </si>
  <si>
    <t>São Gotardo/MG</t>
  </si>
  <si>
    <t>São João Batista do Glória/MG</t>
  </si>
  <si>
    <t>São João da Lagoa/MG</t>
  </si>
  <si>
    <t>São João da Mata/MG</t>
  </si>
  <si>
    <t>São João da Ponte/MG</t>
  </si>
  <si>
    <t>São João Das Missões/MG</t>
  </si>
  <si>
    <t>São João Del Rei/MG</t>
  </si>
  <si>
    <t>São João do Manhuaçu/MG</t>
  </si>
  <si>
    <t>São João do Manteninha/MG</t>
  </si>
  <si>
    <t>São João do Oriente/MG</t>
  </si>
  <si>
    <t>São João do Pacuí/MG</t>
  </si>
  <si>
    <t>São João do Paraíso/MG</t>
  </si>
  <si>
    <t>São João Evangelista/MG</t>
  </si>
  <si>
    <t>São João Nepomuceno/MG</t>
  </si>
  <si>
    <t>São Joaquim de Bicas/MG</t>
  </si>
  <si>
    <t>São José da Barra/MG</t>
  </si>
  <si>
    <t>São José da Lapa/MG</t>
  </si>
  <si>
    <t>São José da Safira/MG</t>
  </si>
  <si>
    <t>São José da Varginha/MG</t>
  </si>
  <si>
    <t>São José do Alegre/MG</t>
  </si>
  <si>
    <t>São José do Divino/MG</t>
  </si>
  <si>
    <t>São José do Goiabal/MG</t>
  </si>
  <si>
    <t>São José do Jacuri/MG</t>
  </si>
  <si>
    <t>São José do Mantimento/MG</t>
  </si>
  <si>
    <t>São Lourenço/MG</t>
  </si>
  <si>
    <t>São Miguel do Anta/MG</t>
  </si>
  <si>
    <t>São Pedro da União/MG</t>
  </si>
  <si>
    <t>São Pedro Dos Ferros/MG</t>
  </si>
  <si>
    <t>São Pedro do Suaçuí/MG</t>
  </si>
  <si>
    <t>São Romão/MG</t>
  </si>
  <si>
    <t>São Roque de Minas/MG</t>
  </si>
  <si>
    <t>São Sebastião da Bela Vista/MG</t>
  </si>
  <si>
    <t>São Sebastião da Vargem Alegre/MG</t>
  </si>
  <si>
    <t>São Sebastião do Anta/MG</t>
  </si>
  <si>
    <t>São Sebastião do Maranhão/MG</t>
  </si>
  <si>
    <t>São Sebastião do Oeste/MG</t>
  </si>
  <si>
    <t>São Sebastião do Paraíso/MG</t>
  </si>
  <si>
    <t>São Sebastião do Rio Preto/MG</t>
  </si>
  <si>
    <t>São Sebastião do Rio Verde/MG</t>
  </si>
  <si>
    <t>São Tiago/MG</t>
  </si>
  <si>
    <t>São Tomás de Aquino/MG</t>
  </si>
  <si>
    <t>São Thomé Das Letras/MG</t>
  </si>
  <si>
    <t>São Vicente de Minas/MG</t>
  </si>
  <si>
    <t>Sapucaí-mirim/MG</t>
  </si>
  <si>
    <t>Sardoá/MG</t>
  </si>
  <si>
    <t>Sarzedo/MG</t>
  </si>
  <si>
    <t>Setubinha/MG</t>
  </si>
  <si>
    <t>Sem-peixe/MG</t>
  </si>
  <si>
    <t>Senador Amaral/MG</t>
  </si>
  <si>
    <t>Senador Cortes/MG</t>
  </si>
  <si>
    <t>Senador Firmino/MG</t>
  </si>
  <si>
    <t>Senador José Bento/MG</t>
  </si>
  <si>
    <t>Senador Modestino Gonçalves/MG</t>
  </si>
  <si>
    <t>Senhora de Oliveira/MG</t>
  </si>
  <si>
    <t>Senhora do Porto/MG</t>
  </si>
  <si>
    <t>Senhora Dos Remédios/MG</t>
  </si>
  <si>
    <t>Sericita/MG</t>
  </si>
  <si>
    <t>Seritinga/MG</t>
  </si>
  <si>
    <t>Serra Azul de Minas/MG</t>
  </si>
  <si>
    <t>Serra da Saudade/MG</t>
  </si>
  <si>
    <t>Serra Dos Aimorés/MG</t>
  </si>
  <si>
    <t>Serra do Salitre/MG</t>
  </si>
  <si>
    <t>Serrania/MG</t>
  </si>
  <si>
    <t>Serranópolis de Minas/MG</t>
  </si>
  <si>
    <t>Serranos/MG</t>
  </si>
  <si>
    <t>Serro/MG</t>
  </si>
  <si>
    <t>Sete Lagoas/MG</t>
  </si>
  <si>
    <t>Silveirânia/MG</t>
  </si>
  <si>
    <t>Silvianópolis/MG</t>
  </si>
  <si>
    <t>Simão Pereira/MG</t>
  </si>
  <si>
    <t>Simonésia/MG</t>
  </si>
  <si>
    <t>Sobrália/MG</t>
  </si>
  <si>
    <t>Soledade de Minas/MG</t>
  </si>
  <si>
    <t>Tabuleiro/MG</t>
  </si>
  <si>
    <t>Taiobeiras/MG</t>
  </si>
  <si>
    <t>Taparuba/MG</t>
  </si>
  <si>
    <t>Tapira/MG</t>
  </si>
  <si>
    <t>Tapiraí/MG</t>
  </si>
  <si>
    <t>Taquaraçu de Minas/MG</t>
  </si>
  <si>
    <t>Tarumirim/MG</t>
  </si>
  <si>
    <t>Teixeiras/MG</t>
  </si>
  <si>
    <t>Teófilo Otoni/MG</t>
  </si>
  <si>
    <t>Timóteo/MG</t>
  </si>
  <si>
    <t>Tiradentes/MG</t>
  </si>
  <si>
    <t>Tiros/MG</t>
  </si>
  <si>
    <t>Tocantins/MG</t>
  </si>
  <si>
    <t>Tocos do Moji/MG</t>
  </si>
  <si>
    <t>Toledo/MG</t>
  </si>
  <si>
    <t>Tombos/MG</t>
  </si>
  <si>
    <t>Três Corações/MG</t>
  </si>
  <si>
    <t>Três Marias/MG</t>
  </si>
  <si>
    <t>Três Pontas/MG</t>
  </si>
  <si>
    <t>Tumiritinga/MG</t>
  </si>
  <si>
    <t>Tupaciguara/MG</t>
  </si>
  <si>
    <t>Turmalina/MG</t>
  </si>
  <si>
    <t>Turvolândia/MG</t>
  </si>
  <si>
    <t>Ubá/MG</t>
  </si>
  <si>
    <t>Ubaí/MG</t>
  </si>
  <si>
    <t>Ubaporanga/MG</t>
  </si>
  <si>
    <t>Uberaba/MG</t>
  </si>
  <si>
    <t>Uberlândia/MG</t>
  </si>
  <si>
    <t>Umburatiba/MG</t>
  </si>
  <si>
    <t>Unaí/MG</t>
  </si>
  <si>
    <t>União de Minas/MG</t>
  </si>
  <si>
    <t>Uruana de Minas/MG</t>
  </si>
  <si>
    <t>Urucânia/MG</t>
  </si>
  <si>
    <t>Urucuia/MG</t>
  </si>
  <si>
    <t>Vargem Alegre/MG</t>
  </si>
  <si>
    <t>Vargem Bonita/MG</t>
  </si>
  <si>
    <t>Vargem Grande do Rio Pardo/MG</t>
  </si>
  <si>
    <t>Varginha/MG</t>
  </si>
  <si>
    <t>Varjão de Minas/MG</t>
  </si>
  <si>
    <t>Várzea da Palma/MG</t>
  </si>
  <si>
    <t>Varzelândia/MG</t>
  </si>
  <si>
    <t>Vazante/MG</t>
  </si>
  <si>
    <t>Verdelândia/MG</t>
  </si>
  <si>
    <t>Veredinha/MG</t>
  </si>
  <si>
    <t>Veríssimo/MG</t>
  </si>
  <si>
    <t>Vermelho Novo/MG</t>
  </si>
  <si>
    <t>Vespasiano/MG</t>
  </si>
  <si>
    <t>Viçosa/MG</t>
  </si>
  <si>
    <t>Vieiras/MG</t>
  </si>
  <si>
    <t>Mathias Lobato/MG</t>
  </si>
  <si>
    <t>Virgem da Lapa/MG</t>
  </si>
  <si>
    <t>Virgínia/MG</t>
  </si>
  <si>
    <t>Virginópolis/MG</t>
  </si>
  <si>
    <t>Virgolândia/MG</t>
  </si>
  <si>
    <t>Visconde do Rio Branco/MG</t>
  </si>
  <si>
    <t>Volta Grande/MG</t>
  </si>
  <si>
    <t>Wenceslau Braz/MG</t>
  </si>
  <si>
    <t>Afonso Cláudio/ES</t>
  </si>
  <si>
    <t>Águia Branca/ES</t>
  </si>
  <si>
    <t>Água Doce do Norte/ES</t>
  </si>
  <si>
    <t>Alegre/ES</t>
  </si>
  <si>
    <t>Alfredo Chaves/ES</t>
  </si>
  <si>
    <t>Alto Rio Novo/ES</t>
  </si>
  <si>
    <t>Anchieta/ES</t>
  </si>
  <si>
    <t>Apiacá/ES</t>
  </si>
  <si>
    <t>Aracruz/ES</t>
  </si>
  <si>
    <t>Atilio Vivacqua/ES</t>
  </si>
  <si>
    <t>Baixo Guandu/ES</t>
  </si>
  <si>
    <t>Barra de São Francisco/ES</t>
  </si>
  <si>
    <t>Boa Esperança/ES</t>
  </si>
  <si>
    <t>Bom Jesus do Norte/ES</t>
  </si>
  <si>
    <t>Brejetuba/ES</t>
  </si>
  <si>
    <t>Cachoeiro de Itapemirim/ES</t>
  </si>
  <si>
    <t>Cariacica/ES</t>
  </si>
  <si>
    <t>Castelo/ES</t>
  </si>
  <si>
    <t>Colatina/ES</t>
  </si>
  <si>
    <t>Conceição da Barra/ES</t>
  </si>
  <si>
    <t>Conceição do Castelo/ES</t>
  </si>
  <si>
    <t>Divino de São Lourenço/ES</t>
  </si>
  <si>
    <t>Domingos Martins/ES</t>
  </si>
  <si>
    <t>Dores do Rio Preto/ES</t>
  </si>
  <si>
    <t>Ecoporanga/ES</t>
  </si>
  <si>
    <t>Fundão/ES</t>
  </si>
  <si>
    <t>Governador Lindenberg/ES</t>
  </si>
  <si>
    <t>Guaçuí/ES</t>
  </si>
  <si>
    <t>Guarapari/ES</t>
  </si>
  <si>
    <t>Ibatiba/ES</t>
  </si>
  <si>
    <t>Ibiraçu/ES</t>
  </si>
  <si>
    <t>Ibitirama/ES</t>
  </si>
  <si>
    <t>Iconha/ES</t>
  </si>
  <si>
    <t>Irupi/ES</t>
  </si>
  <si>
    <t>Itaguaçu/ES</t>
  </si>
  <si>
    <t>Itapemirim/ES</t>
  </si>
  <si>
    <t>Itarana/ES</t>
  </si>
  <si>
    <t>Iúna/ES</t>
  </si>
  <si>
    <t>Jaguaré/ES</t>
  </si>
  <si>
    <t>Jerônimo Monteiro/ES</t>
  </si>
  <si>
    <t>João Neiva/ES</t>
  </si>
  <si>
    <t>Laranja da Terra/ES</t>
  </si>
  <si>
    <t>Linhares/ES</t>
  </si>
  <si>
    <t>Mantenópolis/ES</t>
  </si>
  <si>
    <t>Marataízes/ES</t>
  </si>
  <si>
    <t>Marechal Floriano/ES</t>
  </si>
  <si>
    <t>Marilândia/ES</t>
  </si>
  <si>
    <t>Mimoso do Sul/ES</t>
  </si>
  <si>
    <t>Montanha/ES</t>
  </si>
  <si>
    <t>Mucurici/ES</t>
  </si>
  <si>
    <t>Muniz Freire/ES</t>
  </si>
  <si>
    <t>Muqui/ES</t>
  </si>
  <si>
    <t>Nova Venécia/ES</t>
  </si>
  <si>
    <t>Pancas/ES</t>
  </si>
  <si>
    <t>Pedro Canário/ES</t>
  </si>
  <si>
    <t>Pinheiros/ES</t>
  </si>
  <si>
    <t>Piúma/ES</t>
  </si>
  <si>
    <t>Ponto Belo/ES</t>
  </si>
  <si>
    <t>Presidente Kennedy/ES</t>
  </si>
  <si>
    <t>Rio Bananal/ES</t>
  </si>
  <si>
    <t>Rio Novo do Sul/ES</t>
  </si>
  <si>
    <t>Santa Leopoldina/ES</t>
  </si>
  <si>
    <t>Santa Maria de Jetibá/ES</t>
  </si>
  <si>
    <t>Santa Teresa/ES</t>
  </si>
  <si>
    <t>São Domingos do Norte/ES</t>
  </si>
  <si>
    <t>São Gabriel da Palha/ES</t>
  </si>
  <si>
    <t>São José do Calçado/ES</t>
  </si>
  <si>
    <t>São Mateus/ES</t>
  </si>
  <si>
    <t>São Roque do Canaã/ES</t>
  </si>
  <si>
    <t>Serra/ES</t>
  </si>
  <si>
    <t>Sooretama/ES</t>
  </si>
  <si>
    <t>Vargem Alta/ES</t>
  </si>
  <si>
    <t>Venda Nova do Imigrante/ES</t>
  </si>
  <si>
    <t>Viana/ES</t>
  </si>
  <si>
    <t>Vila Pavão/ES</t>
  </si>
  <si>
    <t>Vila Valério/ES</t>
  </si>
  <si>
    <t>Vila Velha/ES</t>
  </si>
  <si>
    <t>Vitória/ES</t>
  </si>
  <si>
    <t>Angra Dos Reis/RJ</t>
  </si>
  <si>
    <t>Aperibé/RJ</t>
  </si>
  <si>
    <t>Araruama/RJ</t>
  </si>
  <si>
    <t>Areal/RJ</t>
  </si>
  <si>
    <t>Armação Dos Búzios/RJ</t>
  </si>
  <si>
    <t>Arraial do Cabo/RJ</t>
  </si>
  <si>
    <t>Barra do Piraí/RJ</t>
  </si>
  <si>
    <t>Barra Mansa/RJ</t>
  </si>
  <si>
    <t>Belford Roxo/RJ</t>
  </si>
  <si>
    <t>Bom Jardim/RJ</t>
  </si>
  <si>
    <t>Bom Jesus do Itabapoana/RJ</t>
  </si>
  <si>
    <t>Cabo Frio/RJ</t>
  </si>
  <si>
    <t>Cachoeiras de Macacu/RJ</t>
  </si>
  <si>
    <t>Cambuci/RJ</t>
  </si>
  <si>
    <t>Carapebus/RJ</t>
  </si>
  <si>
    <t>Comendador Levy Gasparian/RJ</t>
  </si>
  <si>
    <t>Campos Dos Goytacazes/RJ</t>
  </si>
  <si>
    <t>Cantagalo/RJ</t>
  </si>
  <si>
    <t>Cardoso Moreira/RJ</t>
  </si>
  <si>
    <t>Carmo/RJ</t>
  </si>
  <si>
    <t>Casimiro de Abreu/RJ</t>
  </si>
  <si>
    <t>Conceição de Macabu/RJ</t>
  </si>
  <si>
    <t>Cordeiro/RJ</t>
  </si>
  <si>
    <t>Duas Barras/RJ</t>
  </si>
  <si>
    <t>Duque de Caxias/RJ</t>
  </si>
  <si>
    <t>Engenheiro Paulo de Frontin/RJ</t>
  </si>
  <si>
    <t>Guapimirim/RJ</t>
  </si>
  <si>
    <t>Iguaba Grande/RJ</t>
  </si>
  <si>
    <t>Itaboraí/RJ</t>
  </si>
  <si>
    <t>Itaguaí/RJ</t>
  </si>
  <si>
    <t>Italva/RJ</t>
  </si>
  <si>
    <t>Itaocara/RJ</t>
  </si>
  <si>
    <t>Itaperuna/RJ</t>
  </si>
  <si>
    <t>Itatiaia/RJ</t>
  </si>
  <si>
    <t>Japeri/RJ</t>
  </si>
  <si>
    <t>Laje do Muriaé/RJ</t>
  </si>
  <si>
    <t>Macaé/RJ</t>
  </si>
  <si>
    <t>Macuco/RJ</t>
  </si>
  <si>
    <t>Magé/RJ</t>
  </si>
  <si>
    <t>Mangaratiba/RJ</t>
  </si>
  <si>
    <t>Maricá/RJ</t>
  </si>
  <si>
    <t>Mendes/RJ</t>
  </si>
  <si>
    <t>Mesquita/RJ</t>
  </si>
  <si>
    <t>Miguel Pereira/RJ</t>
  </si>
  <si>
    <t>Miracema/RJ</t>
  </si>
  <si>
    <t>Natividade/RJ</t>
  </si>
  <si>
    <t>Nilópolis/RJ</t>
  </si>
  <si>
    <t>Niterói/RJ</t>
  </si>
  <si>
    <t>Nova Friburgo/RJ</t>
  </si>
  <si>
    <t>Nova Iguaçu/RJ</t>
  </si>
  <si>
    <t>Paracambi/RJ</t>
  </si>
  <si>
    <t>Paraíba do Sul/RJ</t>
  </si>
  <si>
    <t>Parati/RJ</t>
  </si>
  <si>
    <t>Paty do Alferes/RJ</t>
  </si>
  <si>
    <t>Petrópolis/RJ</t>
  </si>
  <si>
    <t>Pinheiral/RJ</t>
  </si>
  <si>
    <t>Piraí/RJ</t>
  </si>
  <si>
    <t>Porciúncula/RJ</t>
  </si>
  <si>
    <t>Porto Real/RJ</t>
  </si>
  <si>
    <t>Quatis/RJ</t>
  </si>
  <si>
    <t>Queimados/RJ</t>
  </si>
  <si>
    <t>Quissamã/RJ</t>
  </si>
  <si>
    <t>Resende/RJ</t>
  </si>
  <si>
    <t>Rio Bonito/RJ</t>
  </si>
  <si>
    <t>Rio Claro/RJ</t>
  </si>
  <si>
    <t>Rio Das Flores/RJ</t>
  </si>
  <si>
    <t>Rio Das Ostras/RJ</t>
  </si>
  <si>
    <t>Rio de Janeiro/RJ</t>
  </si>
  <si>
    <t>Santa Maria Madalena/RJ</t>
  </si>
  <si>
    <t>Santo Antônio de Pádua/RJ</t>
  </si>
  <si>
    <t>São Francisco de Itabapoana/RJ</t>
  </si>
  <si>
    <t>São Fidélis/RJ</t>
  </si>
  <si>
    <t>São Gonçalo/RJ</t>
  </si>
  <si>
    <t>São João da Barra/RJ</t>
  </si>
  <si>
    <t>São João de Meriti/RJ</t>
  </si>
  <si>
    <t>São José de Ubá/RJ</t>
  </si>
  <si>
    <t>São José do Vale do Rio Preto/RJ</t>
  </si>
  <si>
    <t>São Pedro da Aldeia/RJ</t>
  </si>
  <si>
    <t>São Sebastião do Alto/RJ</t>
  </si>
  <si>
    <t>Sapucaia/RJ</t>
  </si>
  <si>
    <t>Saquarema/RJ</t>
  </si>
  <si>
    <t>Seropédica/RJ</t>
  </si>
  <si>
    <t>Silva Jardim/RJ</t>
  </si>
  <si>
    <t>Sumidouro/RJ</t>
  </si>
  <si>
    <t>Tanguá/RJ</t>
  </si>
  <si>
    <t>Teresópolis/RJ</t>
  </si>
  <si>
    <t>Trajano de Morais/RJ</t>
  </si>
  <si>
    <t>Três Rios/RJ</t>
  </si>
  <si>
    <t>Valença/RJ</t>
  </si>
  <si>
    <t>Varre-sai/RJ</t>
  </si>
  <si>
    <t>Vassouras/RJ</t>
  </si>
  <si>
    <t>Volta Redonda/RJ</t>
  </si>
  <si>
    <t>Adamantina/SP</t>
  </si>
  <si>
    <t>Adolfo/SP</t>
  </si>
  <si>
    <t>Aguaí/SP</t>
  </si>
  <si>
    <t>Águas da Prata/SP</t>
  </si>
  <si>
    <t>Águas de Lindóia/SP</t>
  </si>
  <si>
    <t>Águas de Santa Bárbara/SP</t>
  </si>
  <si>
    <t>Águas de São Pedro/SP</t>
  </si>
  <si>
    <t>Agudos/SP</t>
  </si>
  <si>
    <t>Alambari/SP</t>
  </si>
  <si>
    <t>Alfredo Marcondes/SP</t>
  </si>
  <si>
    <t>Altair/SP</t>
  </si>
  <si>
    <t>Altinópolis/SP</t>
  </si>
  <si>
    <t>Alto Alegre/SP</t>
  </si>
  <si>
    <t>Alumínio/SP</t>
  </si>
  <si>
    <t>Álvares Florence/SP</t>
  </si>
  <si>
    <t>Álvares Machado/SP</t>
  </si>
  <si>
    <t>Álvaro de Carvalho/SP</t>
  </si>
  <si>
    <t>Alvinlândia/SP</t>
  </si>
  <si>
    <t>Americana/SP</t>
  </si>
  <si>
    <t>Américo Brasiliense/SP</t>
  </si>
  <si>
    <t>Américo de Campos/SP</t>
  </si>
  <si>
    <t>Amparo/SP</t>
  </si>
  <si>
    <t>Analândia/SP</t>
  </si>
  <si>
    <t>Andradina/SP</t>
  </si>
  <si>
    <t>Angatuba/SP</t>
  </si>
  <si>
    <t>Anhembi/SP</t>
  </si>
  <si>
    <t>Anhumas/SP</t>
  </si>
  <si>
    <t>Aparecida/SP</t>
  </si>
  <si>
    <t>Aparecida D´oeste/SP</t>
  </si>
  <si>
    <t>Apiaí/SP</t>
  </si>
  <si>
    <t>Araçariguama/SP</t>
  </si>
  <si>
    <t>Araçatuba/SP</t>
  </si>
  <si>
    <t>Araçoiaba da Serra/SP</t>
  </si>
  <si>
    <t>Aramina/SP</t>
  </si>
  <si>
    <t>Arandu/SP</t>
  </si>
  <si>
    <t>Arapeí/SP</t>
  </si>
  <si>
    <t>Araraquara/SP</t>
  </si>
  <si>
    <t>Araras/SP</t>
  </si>
  <si>
    <t>Arco-íris/SP</t>
  </si>
  <si>
    <t>Arealva/SP</t>
  </si>
  <si>
    <t>Areias/SP</t>
  </si>
  <si>
    <t>Areiópolis/SP</t>
  </si>
  <si>
    <t>Ariranha/SP</t>
  </si>
  <si>
    <t>Artur Nogueira/SP</t>
  </si>
  <si>
    <t>Arujá/SP</t>
  </si>
  <si>
    <t>Aspásia/SP</t>
  </si>
  <si>
    <t>Assis/SP</t>
  </si>
  <si>
    <t>Atibaia/SP</t>
  </si>
  <si>
    <t>Auriflama/SP</t>
  </si>
  <si>
    <t>Avaí/SP</t>
  </si>
  <si>
    <t>Avanhandava/SP</t>
  </si>
  <si>
    <t>Avaré/SP</t>
  </si>
  <si>
    <t>Bady Bassitt/SP</t>
  </si>
  <si>
    <t>Balbinos/SP</t>
  </si>
  <si>
    <t>Bálsamo/SP</t>
  </si>
  <si>
    <t>Bananal/SP</t>
  </si>
  <si>
    <t>Barão de Antonina/SP</t>
  </si>
  <si>
    <t>Barbosa/SP</t>
  </si>
  <si>
    <t>Bariri/SP</t>
  </si>
  <si>
    <t>Barra Bonita/SP</t>
  </si>
  <si>
    <t>Barra do Chapéu/SP</t>
  </si>
  <si>
    <t>Barra do Turvo/SP</t>
  </si>
  <si>
    <t>Barretos/SP</t>
  </si>
  <si>
    <t>Barrinha/SP</t>
  </si>
  <si>
    <t>Barueri/SP</t>
  </si>
  <si>
    <t>Bastos/SP</t>
  </si>
  <si>
    <t>Batatais/SP</t>
  </si>
  <si>
    <t>Bauru/SP</t>
  </si>
  <si>
    <t>Bebedouro/SP</t>
  </si>
  <si>
    <t>Bento de Abreu/SP</t>
  </si>
  <si>
    <t>Bernardino de Campos/SP</t>
  </si>
  <si>
    <t>Bertioga/SP</t>
  </si>
  <si>
    <t>Bilac/SP</t>
  </si>
  <si>
    <t>Birigui/SP</t>
  </si>
  <si>
    <t>Biritiba-mirim/SP</t>
  </si>
  <si>
    <t>Boa Esperança do Sul/SP</t>
  </si>
  <si>
    <t>Bocaina/SP</t>
  </si>
  <si>
    <t>Bofete/SP</t>
  </si>
  <si>
    <t>Boituva/SP</t>
  </si>
  <si>
    <t>Bom Jesus Dos Perdões/SP</t>
  </si>
  <si>
    <t>Bom Sucesso de Itararé/SP</t>
  </si>
  <si>
    <t>Borá/SP</t>
  </si>
  <si>
    <t>Boracéia/SP</t>
  </si>
  <si>
    <t>Borborema/SP</t>
  </si>
  <si>
    <t>Borebi/SP</t>
  </si>
  <si>
    <t>Botucatu/SP</t>
  </si>
  <si>
    <t>Bragança Paulista/SP</t>
  </si>
  <si>
    <t>Braúna/SP</t>
  </si>
  <si>
    <t>Brejo Alegre/SP</t>
  </si>
  <si>
    <t>Brodowski/SP</t>
  </si>
  <si>
    <t>Brotas/SP</t>
  </si>
  <si>
    <t>Buri/SP</t>
  </si>
  <si>
    <t>Buritama/SP</t>
  </si>
  <si>
    <t>Buritizal/SP</t>
  </si>
  <si>
    <t>Cabrália Paulista/SP</t>
  </si>
  <si>
    <t>Cabreúva/SP</t>
  </si>
  <si>
    <t>Caçapava/SP</t>
  </si>
  <si>
    <t>Cachoeira Paulista/SP</t>
  </si>
  <si>
    <t>Caconde/SP</t>
  </si>
  <si>
    <t>Cafelândia/SP</t>
  </si>
  <si>
    <t>Caiabu/SP</t>
  </si>
  <si>
    <t>Caieiras/SP</t>
  </si>
  <si>
    <t>Caiuá/SP</t>
  </si>
  <si>
    <t>Cajamar/SP</t>
  </si>
  <si>
    <t>Cajati/SP</t>
  </si>
  <si>
    <t>Cajobi/SP</t>
  </si>
  <si>
    <t>Cajuru/SP</t>
  </si>
  <si>
    <t>Campina do Monte Alegre/SP</t>
  </si>
  <si>
    <t>Campinas/SP</t>
  </si>
  <si>
    <t>Campo Limpo Paulista/SP</t>
  </si>
  <si>
    <t>Campos do Jordão/SP</t>
  </si>
  <si>
    <t>Campos Novos Paulista/SP</t>
  </si>
  <si>
    <t>Cananéia/SP</t>
  </si>
  <si>
    <t>Canas/SP</t>
  </si>
  <si>
    <t>Cândido Mota/SP</t>
  </si>
  <si>
    <t>Cândido Rodrigues/SP</t>
  </si>
  <si>
    <t>Canitar/SP</t>
  </si>
  <si>
    <t>Capão Bonito/SP</t>
  </si>
  <si>
    <t>Capela do Alto/SP</t>
  </si>
  <si>
    <t>Capivari/SP</t>
  </si>
  <si>
    <t>Caraguatatuba/SP</t>
  </si>
  <si>
    <t>Carapicuíba/SP</t>
  </si>
  <si>
    <t>Cardoso/SP</t>
  </si>
  <si>
    <t>Casa Branca/SP</t>
  </si>
  <si>
    <t>Cássia Dos Coqueiros/SP</t>
  </si>
  <si>
    <t>Castilho/SP</t>
  </si>
  <si>
    <t>Catanduva/SP</t>
  </si>
  <si>
    <t>Catiguá/SP</t>
  </si>
  <si>
    <t>Cedral/SP</t>
  </si>
  <si>
    <t>Cerqueira César/SP</t>
  </si>
  <si>
    <t>Cerquilho/SP</t>
  </si>
  <si>
    <t>Cesário Lange/SP</t>
  </si>
  <si>
    <t>Charqueada/SP</t>
  </si>
  <si>
    <t>Clementina/SP</t>
  </si>
  <si>
    <t>Colina/SP</t>
  </si>
  <si>
    <t>Colômbia/SP</t>
  </si>
  <si>
    <t>Conchal/SP</t>
  </si>
  <si>
    <t>Conchas/SP</t>
  </si>
  <si>
    <t>Cordeirópolis/SP</t>
  </si>
  <si>
    <t>Coroados/SP</t>
  </si>
  <si>
    <t>Coronel Macedo/SP</t>
  </si>
  <si>
    <t>Corumbataí/SP</t>
  </si>
  <si>
    <t>Cosmópolis/SP</t>
  </si>
  <si>
    <t>Cosmorama/SP</t>
  </si>
  <si>
    <t>Cotia/SP</t>
  </si>
  <si>
    <t>Cravinhos/SP</t>
  </si>
  <si>
    <t>Cristais Paulista/SP</t>
  </si>
  <si>
    <t>Cruzália/SP</t>
  </si>
  <si>
    <t>Cruzeiro/SP</t>
  </si>
  <si>
    <t>Cubatão/SP</t>
  </si>
  <si>
    <t>Cunha/SP</t>
  </si>
  <si>
    <t>Descalvado/SP</t>
  </si>
  <si>
    <t>Diadema/SP</t>
  </si>
  <si>
    <t>Dirce Reis/SP</t>
  </si>
  <si>
    <t>Divinolândia/SP</t>
  </si>
  <si>
    <t>Dobrada/SP</t>
  </si>
  <si>
    <t>Dois Córregos/SP</t>
  </si>
  <si>
    <t>Dolcinópolis/SP</t>
  </si>
  <si>
    <t>Dourado/SP</t>
  </si>
  <si>
    <t>Dracena/SP</t>
  </si>
  <si>
    <t>Duartina/SP</t>
  </si>
  <si>
    <t>Dumont/SP</t>
  </si>
  <si>
    <t>Echaporã/SP</t>
  </si>
  <si>
    <t>Eldorado/SP</t>
  </si>
  <si>
    <t>Elias Fausto/SP</t>
  </si>
  <si>
    <t>Elisiário/SP</t>
  </si>
  <si>
    <t>Embaúba/SP</t>
  </si>
  <si>
    <t>Embu/SP</t>
  </si>
  <si>
    <t>Embu-guaçu/SP</t>
  </si>
  <si>
    <t>Emilianópolis/SP</t>
  </si>
  <si>
    <t>Engenheiro Coelho/SP</t>
  </si>
  <si>
    <t>Espírito Santo do Pinhal/SP</t>
  </si>
  <si>
    <t>Espírito Santo do Turvo/SP</t>
  </si>
  <si>
    <t>Estrela D´oeste/SP</t>
  </si>
  <si>
    <t>Estrela do Norte/SP</t>
  </si>
  <si>
    <t>Euclides da Cunha Paulista/SP</t>
  </si>
  <si>
    <t>Fartura/SP</t>
  </si>
  <si>
    <t>Fernandópolis/SP</t>
  </si>
  <si>
    <t>Fernando Prestes/SP</t>
  </si>
  <si>
    <t>Fernão/SP</t>
  </si>
  <si>
    <t>Ferraz de Vasconcelos/SP</t>
  </si>
  <si>
    <t>Flora Rica/SP</t>
  </si>
  <si>
    <t>Floreal/SP</t>
  </si>
  <si>
    <t>Flórida Paulista/SP</t>
  </si>
  <si>
    <t>Florínia/SP</t>
  </si>
  <si>
    <t>Franca/SP</t>
  </si>
  <si>
    <t>Francisco Morato/SP</t>
  </si>
  <si>
    <t>Franco da Rocha/SP</t>
  </si>
  <si>
    <t>Gabriel Monteiro/SP</t>
  </si>
  <si>
    <t>Gália/SP</t>
  </si>
  <si>
    <t>Garça/SP</t>
  </si>
  <si>
    <t>Gastão Vidigal/SP</t>
  </si>
  <si>
    <t>Gavião Peixoto/SP</t>
  </si>
  <si>
    <t>General Salgado/SP</t>
  </si>
  <si>
    <t>Getulina/SP</t>
  </si>
  <si>
    <t>Glicério/SP</t>
  </si>
  <si>
    <t>Guaiçara/SP</t>
  </si>
  <si>
    <t>Guaimbê/SP</t>
  </si>
  <si>
    <t>Guaíra/SP</t>
  </si>
  <si>
    <t>Guapiaçu/SP</t>
  </si>
  <si>
    <t>Guapiara/SP</t>
  </si>
  <si>
    <t>Guará/SP</t>
  </si>
  <si>
    <t>Guaraçaí/SP</t>
  </si>
  <si>
    <t>Guaraci/SP</t>
  </si>
  <si>
    <t>Guarani D´oeste/SP</t>
  </si>
  <si>
    <t>Guarantã/SP</t>
  </si>
  <si>
    <t>Guararapes/SP</t>
  </si>
  <si>
    <t>Guararema/SP</t>
  </si>
  <si>
    <t>Guaratinguetá/SP</t>
  </si>
  <si>
    <t>Guareí/SP</t>
  </si>
  <si>
    <t>Guariba/SP</t>
  </si>
  <si>
    <t>Guarujá/SP</t>
  </si>
  <si>
    <t>Guarulhos/SP</t>
  </si>
  <si>
    <t>Guatapará/SP</t>
  </si>
  <si>
    <t>Guzolândia/SP</t>
  </si>
  <si>
    <t>Herculândia/SP</t>
  </si>
  <si>
    <t>Holambra/SP</t>
  </si>
  <si>
    <t>Hortolândia/SP</t>
  </si>
  <si>
    <t>Iacanga/SP</t>
  </si>
  <si>
    <t>Iacri/SP</t>
  </si>
  <si>
    <t>Iaras/SP</t>
  </si>
  <si>
    <t>Ibaté/SP</t>
  </si>
  <si>
    <t>Ibirá/SP</t>
  </si>
  <si>
    <t>Ibirarema/SP</t>
  </si>
  <si>
    <t>Ibitinga/SP</t>
  </si>
  <si>
    <t>Ibiúna/SP</t>
  </si>
  <si>
    <t>Icém/SP</t>
  </si>
  <si>
    <t>Iepê/SP</t>
  </si>
  <si>
    <t>Igaraçu do Tietê/SP</t>
  </si>
  <si>
    <t>Igarapava/SP</t>
  </si>
  <si>
    <t>Igaratá/SP</t>
  </si>
  <si>
    <t>Iguape/SP</t>
  </si>
  <si>
    <t>Ilhabela/SP</t>
  </si>
  <si>
    <t>Ilha Comprida/SP</t>
  </si>
  <si>
    <t>Ilha Solteira/SP</t>
  </si>
  <si>
    <t>Indaiatuba/SP</t>
  </si>
  <si>
    <t>Indiana/SP</t>
  </si>
  <si>
    <t>Indiaporã/SP</t>
  </si>
  <si>
    <t>Inúbia Paulista/SP</t>
  </si>
  <si>
    <t>Ipaussu/SP</t>
  </si>
  <si>
    <t>Iperó/SP</t>
  </si>
  <si>
    <t>Ipeúna/SP</t>
  </si>
  <si>
    <t>Ipiguá/SP</t>
  </si>
  <si>
    <t>Iporanga/SP</t>
  </si>
  <si>
    <t>Ipuã/SP</t>
  </si>
  <si>
    <t>Iracemápolis/SP</t>
  </si>
  <si>
    <t>Irapuã/SP</t>
  </si>
  <si>
    <t>Irapuru/SP</t>
  </si>
  <si>
    <t>Itaberá/SP</t>
  </si>
  <si>
    <t>Itaí/SP</t>
  </si>
  <si>
    <t>Itajobi/SP</t>
  </si>
  <si>
    <t>Itaju/SP</t>
  </si>
  <si>
    <t>Itanhaém/SP</t>
  </si>
  <si>
    <t>Itaóca/SP</t>
  </si>
  <si>
    <t>Itapecerica da Serra/SP</t>
  </si>
  <si>
    <t>Itapetininga/SP</t>
  </si>
  <si>
    <t>Itapeva/SP</t>
  </si>
  <si>
    <t>Itapevi/SP</t>
  </si>
  <si>
    <t>Itapira/SP</t>
  </si>
  <si>
    <t>Itapirapuã Paulista/SP</t>
  </si>
  <si>
    <t>Itápolis/SP</t>
  </si>
  <si>
    <t>Itaporanga/SP</t>
  </si>
  <si>
    <t>Itapuí/SP</t>
  </si>
  <si>
    <t>Itapura/SP</t>
  </si>
  <si>
    <t>Itaquaquecetuba/SP</t>
  </si>
  <si>
    <t>Itararé/SP</t>
  </si>
  <si>
    <t>Itariri/SP</t>
  </si>
  <si>
    <t>Itatiba/SP</t>
  </si>
  <si>
    <t>Itatinga/SP</t>
  </si>
  <si>
    <t>Itirapina/SP</t>
  </si>
  <si>
    <t>Itirapuã/SP</t>
  </si>
  <si>
    <t>Itobi/SP</t>
  </si>
  <si>
    <t>Itu/SP</t>
  </si>
  <si>
    <t>Itupeva/SP</t>
  </si>
  <si>
    <t>Ituverava/SP</t>
  </si>
  <si>
    <t>Jaborandi/SP</t>
  </si>
  <si>
    <t>Jaboticabal/SP</t>
  </si>
  <si>
    <t>Jacareí/SP</t>
  </si>
  <si>
    <t>Jaci/SP</t>
  </si>
  <si>
    <t>Jacupiranga/SP</t>
  </si>
  <si>
    <t>Jaguariúna/SP</t>
  </si>
  <si>
    <t>Jales/SP</t>
  </si>
  <si>
    <t>Jambeiro/SP</t>
  </si>
  <si>
    <t>Jandira/SP</t>
  </si>
  <si>
    <t>Jardinópolis/SP</t>
  </si>
  <si>
    <t>Jarinu/SP</t>
  </si>
  <si>
    <t>Jaú/SP</t>
  </si>
  <si>
    <t>Jeriquara/SP</t>
  </si>
  <si>
    <t>Joanópolis/SP</t>
  </si>
  <si>
    <t>João Ramalho/SP</t>
  </si>
  <si>
    <t>José Bonifácio/SP</t>
  </si>
  <si>
    <t>Júlio Mesquita/SP</t>
  </si>
  <si>
    <t>Jumirim/SP</t>
  </si>
  <si>
    <t>Jundiaí/SP</t>
  </si>
  <si>
    <t>Junqueirópolis/SP</t>
  </si>
  <si>
    <t>Juquiá/SP</t>
  </si>
  <si>
    <t>Juquitiba/SP</t>
  </si>
  <si>
    <t>Lagoinha/SP</t>
  </si>
  <si>
    <t>Laranjal Paulista/SP</t>
  </si>
  <si>
    <t>Lavínia/SP</t>
  </si>
  <si>
    <t>Lavrinhas/SP</t>
  </si>
  <si>
    <t>Leme/SP</t>
  </si>
  <si>
    <t>Lençóis Paulista/SP</t>
  </si>
  <si>
    <t>Limeira/SP</t>
  </si>
  <si>
    <t>Lindóia/SP</t>
  </si>
  <si>
    <t>Lins/SP</t>
  </si>
  <si>
    <t>Lorena/SP</t>
  </si>
  <si>
    <t>Lourdes/SP</t>
  </si>
  <si>
    <t>Louveira/SP</t>
  </si>
  <si>
    <t>Lucélia/SP</t>
  </si>
  <si>
    <t>Lucianópolis/SP</t>
  </si>
  <si>
    <t>Luís Antônio/SP</t>
  </si>
  <si>
    <t>Luiziânia/SP</t>
  </si>
  <si>
    <t>Lupércio/SP</t>
  </si>
  <si>
    <t>Lutécia/SP</t>
  </si>
  <si>
    <t>Macatuba/SP</t>
  </si>
  <si>
    <t>Macaubal/SP</t>
  </si>
  <si>
    <t>Macedônia/SP</t>
  </si>
  <si>
    <t>Magda/SP</t>
  </si>
  <si>
    <t>Mairinque/SP</t>
  </si>
  <si>
    <t>Mairiporã/SP</t>
  </si>
  <si>
    <t>Manduri/SP</t>
  </si>
  <si>
    <t>Marabá Paulista/SP</t>
  </si>
  <si>
    <t>Maracaí/SP</t>
  </si>
  <si>
    <t>Marapoama/SP</t>
  </si>
  <si>
    <t>Mariápolis/SP</t>
  </si>
  <si>
    <t>Marília/SP</t>
  </si>
  <si>
    <t>Marinópolis/SP</t>
  </si>
  <si>
    <t>Martinópolis/SP</t>
  </si>
  <si>
    <t>Matão/SP</t>
  </si>
  <si>
    <t>Mauá/SP</t>
  </si>
  <si>
    <t>Mendonça/SP</t>
  </si>
  <si>
    <t>Meridiano/SP</t>
  </si>
  <si>
    <t>Mesópolis/SP</t>
  </si>
  <si>
    <t>Miguelópolis/SP</t>
  </si>
  <si>
    <t>Mineiros do Tietê/SP</t>
  </si>
  <si>
    <t>Miracatu/SP</t>
  </si>
  <si>
    <t>Mira Estrela/SP</t>
  </si>
  <si>
    <t>Mirandópolis/SP</t>
  </si>
  <si>
    <t>Mirante do Paranapanema/SP</t>
  </si>
  <si>
    <t>Mirassol/SP</t>
  </si>
  <si>
    <t>Mirassolândia/SP</t>
  </si>
  <si>
    <t>Mococa/SP</t>
  </si>
  <si>
    <t>Moji Das Cruzes/SP</t>
  </si>
  <si>
    <t>Mogi Guaçu/SP</t>
  </si>
  <si>
    <t>Moji-mirim/SP</t>
  </si>
  <si>
    <t>Mombuca/SP</t>
  </si>
  <si>
    <t>Monções/SP</t>
  </si>
  <si>
    <t>Mongaguá/SP</t>
  </si>
  <si>
    <t>Monte Alegre do Sul/SP</t>
  </si>
  <si>
    <t>Monte Alto/SP</t>
  </si>
  <si>
    <t>Monte Aprazível/SP</t>
  </si>
  <si>
    <t>Monte Azul Paulista/SP</t>
  </si>
  <si>
    <t>Monte Castelo/SP</t>
  </si>
  <si>
    <t>Monteiro Lobato/SP</t>
  </si>
  <si>
    <t>Monte Mor/SP</t>
  </si>
  <si>
    <t>Morro Agudo/SP</t>
  </si>
  <si>
    <t>Morungaba/SP</t>
  </si>
  <si>
    <t>Motuca/SP</t>
  </si>
  <si>
    <t>Murutinga do Sul/SP</t>
  </si>
  <si>
    <t>Nantes/SP</t>
  </si>
  <si>
    <t>Narandiba/SP</t>
  </si>
  <si>
    <t>Natividade da Serra/SP</t>
  </si>
  <si>
    <t>Nazaré Paulista/SP</t>
  </si>
  <si>
    <t>Neves Paulista/SP</t>
  </si>
  <si>
    <t>Nhandeara/SP</t>
  </si>
  <si>
    <t>Nipoã/SP</t>
  </si>
  <si>
    <t>Nova Aliança/SP</t>
  </si>
  <si>
    <t>Nova Campina/SP</t>
  </si>
  <si>
    <t>Nova Canaã Paulista/SP</t>
  </si>
  <si>
    <t>Nova Castilho/SP</t>
  </si>
  <si>
    <t>Nova Europa/SP</t>
  </si>
  <si>
    <t>Nova Granada/SP</t>
  </si>
  <si>
    <t>Nova Guataporanga/SP</t>
  </si>
  <si>
    <t>Nova Independência/SP</t>
  </si>
  <si>
    <t>Novais/SP</t>
  </si>
  <si>
    <t>Nova Luzitânia/SP</t>
  </si>
  <si>
    <t>Nova Odessa/SP</t>
  </si>
  <si>
    <t>Novo Horizonte/SP</t>
  </si>
  <si>
    <t>Nuporanga/SP</t>
  </si>
  <si>
    <t>Ocauçu/SP</t>
  </si>
  <si>
    <t>Óleo/SP</t>
  </si>
  <si>
    <t>Olímpia/SP</t>
  </si>
  <si>
    <t>Onda Verde/SP</t>
  </si>
  <si>
    <t>Oriente/SP</t>
  </si>
  <si>
    <t>Orindiúva/SP</t>
  </si>
  <si>
    <t>Orlândia/SP</t>
  </si>
  <si>
    <t>Osasco/SP</t>
  </si>
  <si>
    <t>Oscar Bressane/SP</t>
  </si>
  <si>
    <t>Osvaldo Cruz/SP</t>
  </si>
  <si>
    <t>Ourinhos/SP</t>
  </si>
  <si>
    <t>Ouroeste/SP</t>
  </si>
  <si>
    <t>Ouro Verde/SP</t>
  </si>
  <si>
    <t>Pacaembu/SP</t>
  </si>
  <si>
    <t>Palestina/SP</t>
  </si>
  <si>
    <t>Palmares Paulista/SP</t>
  </si>
  <si>
    <t>Palmeira D´oeste/SP</t>
  </si>
  <si>
    <t>Palmital/SP</t>
  </si>
  <si>
    <t>Panorama/SP</t>
  </si>
  <si>
    <t>Paraguaçu Paulista/SP</t>
  </si>
  <si>
    <t>Paraibuna/SP</t>
  </si>
  <si>
    <t>Paraíso/SP</t>
  </si>
  <si>
    <t>Paranapanema/SP</t>
  </si>
  <si>
    <t>Paranapuã/SP</t>
  </si>
  <si>
    <t>Parapuã/SP</t>
  </si>
  <si>
    <t>Pardinho/SP</t>
  </si>
  <si>
    <t>Pariquera-açu/SP</t>
  </si>
  <si>
    <t>Parisi/SP</t>
  </si>
  <si>
    <t>Patrocínio Paulista/SP</t>
  </si>
  <si>
    <t>Paulicéia/SP</t>
  </si>
  <si>
    <t>Paulínia/SP</t>
  </si>
  <si>
    <t>Paulistânia/SP</t>
  </si>
  <si>
    <t>Paulo de Faria/SP</t>
  </si>
  <si>
    <t>Pederneiras/SP</t>
  </si>
  <si>
    <t>Pedra Bela/SP</t>
  </si>
  <si>
    <t>Pedranópolis/SP</t>
  </si>
  <si>
    <t>Pedregulho/SP</t>
  </si>
  <si>
    <t>Pedreira/SP</t>
  </si>
  <si>
    <t>Pedrinhas Paulista/SP</t>
  </si>
  <si>
    <t>Pedro de Toledo/SP</t>
  </si>
  <si>
    <t>Penápolis/SP</t>
  </si>
  <si>
    <t>Pereira Barreto/SP</t>
  </si>
  <si>
    <t>Pereiras/SP</t>
  </si>
  <si>
    <t>Peruíbe/SP</t>
  </si>
  <si>
    <t>Piacatu/SP</t>
  </si>
  <si>
    <t>Piedade/SP</t>
  </si>
  <si>
    <t>Pilar do Sul/SP</t>
  </si>
  <si>
    <t>Pindamonhangaba/SP</t>
  </si>
  <si>
    <t>Pindorama/SP</t>
  </si>
  <si>
    <t>Pinhalzinho/SP</t>
  </si>
  <si>
    <t>Piquerobi/SP</t>
  </si>
  <si>
    <t>Piquete/SP</t>
  </si>
  <si>
    <t>Piracaia/SP</t>
  </si>
  <si>
    <t>Piracicaba/SP</t>
  </si>
  <si>
    <t>Piraju/SP</t>
  </si>
  <si>
    <t>Pirajuí/SP</t>
  </si>
  <si>
    <t>Pirangi/SP</t>
  </si>
  <si>
    <t>Pirapora do Bom Jesus/SP</t>
  </si>
  <si>
    <t>Pirapozinho/SP</t>
  </si>
  <si>
    <t>Pirassununga/SP</t>
  </si>
  <si>
    <t>Piratininga/SP</t>
  </si>
  <si>
    <t>Pitangueiras/SP</t>
  </si>
  <si>
    <t>Planalto/SP</t>
  </si>
  <si>
    <t>Platina/SP</t>
  </si>
  <si>
    <t>Poá/SP</t>
  </si>
  <si>
    <t>Poloni/SP</t>
  </si>
  <si>
    <t>Pompéia/SP</t>
  </si>
  <si>
    <t>Pongaí/SP</t>
  </si>
  <si>
    <t>Pontal/SP</t>
  </si>
  <si>
    <t>Pontalinda/SP</t>
  </si>
  <si>
    <t>Pontes Gestal/SP</t>
  </si>
  <si>
    <t>Populina/SP</t>
  </si>
  <si>
    <t>Porangaba/SP</t>
  </si>
  <si>
    <t>Porto Feliz/SP</t>
  </si>
  <si>
    <t>Porto Ferreira/SP</t>
  </si>
  <si>
    <t>Potim/SP</t>
  </si>
  <si>
    <t>Potirendaba/SP</t>
  </si>
  <si>
    <t>Pracinha/SP</t>
  </si>
  <si>
    <t>Pradópolis/SP</t>
  </si>
  <si>
    <t>Praia Grande/SP</t>
  </si>
  <si>
    <t>Pratânia/SP</t>
  </si>
  <si>
    <t>Presidente Alves/SP</t>
  </si>
  <si>
    <t>Presidente Bernardes/SP</t>
  </si>
  <si>
    <t>Presidente Epitácio/SP</t>
  </si>
  <si>
    <t>Presidente Prudente/SP</t>
  </si>
  <si>
    <t>Presidente Venceslau/SP</t>
  </si>
  <si>
    <t>Promissão/SP</t>
  </si>
  <si>
    <t>Quadra/SP</t>
  </si>
  <si>
    <t>Quatá/SP</t>
  </si>
  <si>
    <t>Queiroz/SP</t>
  </si>
  <si>
    <t>Queluz/SP</t>
  </si>
  <si>
    <t>Quintana/SP</t>
  </si>
  <si>
    <t>Rafard/SP</t>
  </si>
  <si>
    <t>Rancharia/SP</t>
  </si>
  <si>
    <t>Redenção da Serra/SP</t>
  </si>
  <si>
    <t>Regente Feijó/SP</t>
  </si>
  <si>
    <t>Reginópolis/SP</t>
  </si>
  <si>
    <t>Registro/SP</t>
  </si>
  <si>
    <t>Restinga/SP</t>
  </si>
  <si>
    <t>Ribeira/SP</t>
  </si>
  <si>
    <t>Ribeirão Bonito/SP</t>
  </si>
  <si>
    <t>Ribeirão Branco/SP</t>
  </si>
  <si>
    <t>Ribeirão Corrente/SP</t>
  </si>
  <si>
    <t>Ribeirão do Sul/SP</t>
  </si>
  <si>
    <t>Ribeirão Dos Índios/SP</t>
  </si>
  <si>
    <t>Ribeirão Grande/SP</t>
  </si>
  <si>
    <t>Ribeirão Pires/SP</t>
  </si>
  <si>
    <t>Ribeirão Preto/SP</t>
  </si>
  <si>
    <t>Riversul/SP</t>
  </si>
  <si>
    <t>Rifaina/SP</t>
  </si>
  <si>
    <t>Rincão/SP</t>
  </si>
  <si>
    <t>Rinópolis/SP</t>
  </si>
  <si>
    <t>Rio Claro/SP</t>
  </si>
  <si>
    <t>Rio Das Pedras/SP</t>
  </si>
  <si>
    <t>Rio Grande da Serra/SP</t>
  </si>
  <si>
    <t>Riolândia/SP</t>
  </si>
  <si>
    <t>Rosana/SP</t>
  </si>
  <si>
    <t>Roseira/SP</t>
  </si>
  <si>
    <t>Rubiácea/SP</t>
  </si>
  <si>
    <t>Rubinéia/SP</t>
  </si>
  <si>
    <t>Sabino/SP</t>
  </si>
  <si>
    <t>Sagres/SP</t>
  </si>
  <si>
    <t>Sales/SP</t>
  </si>
  <si>
    <t>Sales Oliveira/SP</t>
  </si>
  <si>
    <t>Salesópolis/SP</t>
  </si>
  <si>
    <t>Salmourão/SP</t>
  </si>
  <si>
    <t>Saltinho/SP</t>
  </si>
  <si>
    <t>Salto/SP</t>
  </si>
  <si>
    <t>Salto de Pirapora/SP</t>
  </si>
  <si>
    <t>Salto Grande/SP</t>
  </si>
  <si>
    <t>Sandovalina/SP</t>
  </si>
  <si>
    <t>Santa Adélia/SP</t>
  </si>
  <si>
    <t>Santa Albertina/SP</t>
  </si>
  <si>
    <t>Santa Bárbara D´oeste/SP</t>
  </si>
  <si>
    <t>Santa Branca/SP</t>
  </si>
  <si>
    <t>Santa Clara D´oeste/SP</t>
  </si>
  <si>
    <t>Santa Cruz da Conceição/SP</t>
  </si>
  <si>
    <t>Santa Cruz da Esperança/SP</t>
  </si>
  <si>
    <t>Santa Cruz Das Palmeiras/SP</t>
  </si>
  <si>
    <t>Santa Cruz do Rio Pardo/SP</t>
  </si>
  <si>
    <t>Santa Ernestina/SP</t>
  </si>
  <si>
    <t>Santa fé do Sul/SP</t>
  </si>
  <si>
    <t>Santa Gertrudes/SP</t>
  </si>
  <si>
    <t>Santa Isabel/SP</t>
  </si>
  <si>
    <t>Santa Lúcia/SP</t>
  </si>
  <si>
    <t>Santa Maria da Serra/SP</t>
  </si>
  <si>
    <t>Santa Mercedes/SP</t>
  </si>
  <si>
    <t>Santana da Ponte Pensa/SP</t>
  </si>
  <si>
    <t>Santana de Parnaíba/SP</t>
  </si>
  <si>
    <t>Santa Rita D´oeste/SP</t>
  </si>
  <si>
    <t>Santa Rita do Passa Quatro/SP</t>
  </si>
  <si>
    <t>Santa Rosa de Viterbo/SP</t>
  </si>
  <si>
    <t>Santa Salete/SP</t>
  </si>
  <si>
    <t>Santo Anastácio/SP</t>
  </si>
  <si>
    <t>Santo André/SP</t>
  </si>
  <si>
    <t>Santo Antônio da Alegria/SP</t>
  </si>
  <si>
    <t>Santo Antônio de Posse/SP</t>
  </si>
  <si>
    <t>Santo Antônio do Aracanguá/SP</t>
  </si>
  <si>
    <t>Santo Antônio do Jardim/SP</t>
  </si>
  <si>
    <t>Santo Antônio do Pinhal/SP</t>
  </si>
  <si>
    <t>Santo Expedito/SP</t>
  </si>
  <si>
    <t>Santópolis do Aguapeí/SP</t>
  </si>
  <si>
    <t>Santos/SP</t>
  </si>
  <si>
    <t>São Bento do Sapucaí/SP</t>
  </si>
  <si>
    <t>São Bernardo do Campo/SP</t>
  </si>
  <si>
    <t>São Caetano do Sul/SP</t>
  </si>
  <si>
    <t>São Carlos/SP</t>
  </si>
  <si>
    <t>São Francisco/SP</t>
  </si>
  <si>
    <t>São João da Boa Vista/SP</t>
  </si>
  <si>
    <t>São João Das Duas Pontes/SP</t>
  </si>
  <si>
    <t>São João de Iracema/SP</t>
  </si>
  <si>
    <t>São João do Pau D´alho/SP</t>
  </si>
  <si>
    <t>São Joaquim da Barra/SP</t>
  </si>
  <si>
    <t>São José da Bela Vista/SP</t>
  </si>
  <si>
    <t>São José do Barreiro/SP</t>
  </si>
  <si>
    <t>São José do Rio Pardo/SP</t>
  </si>
  <si>
    <t>São José do Rio Preto/SP</t>
  </si>
  <si>
    <t>São José Dos Campos/SP</t>
  </si>
  <si>
    <t>São Lourenço da Serra/SP</t>
  </si>
  <si>
    <t>São Luís do Paraitinga/SP</t>
  </si>
  <si>
    <t>São Manuel/SP</t>
  </si>
  <si>
    <t>São Miguel Arcanjo/SP</t>
  </si>
  <si>
    <t>São Paulo/SP</t>
  </si>
  <si>
    <t>São Pedro/SP</t>
  </si>
  <si>
    <t>São Pedro do Turvo/SP</t>
  </si>
  <si>
    <t>São Roque/SP</t>
  </si>
  <si>
    <t>São Sebastião/SP</t>
  </si>
  <si>
    <t>São Sebastião da Grama/SP</t>
  </si>
  <si>
    <t>São Simão/SP</t>
  </si>
  <si>
    <t>São Vicente/SP</t>
  </si>
  <si>
    <t>Sarapuí/SP</t>
  </si>
  <si>
    <t>Sarutaiá/SP</t>
  </si>
  <si>
    <t>Sebastianópolis do Sul/SP</t>
  </si>
  <si>
    <t>Serra Azul/SP</t>
  </si>
  <si>
    <t>Serrana/SP</t>
  </si>
  <si>
    <t>Serra Negra/SP</t>
  </si>
  <si>
    <t>Sertãozinho/SP</t>
  </si>
  <si>
    <t>Sete Barras/SP</t>
  </si>
  <si>
    <t>Severínia/SP</t>
  </si>
  <si>
    <t>Silveiras/SP</t>
  </si>
  <si>
    <t>Socorro/SP</t>
  </si>
  <si>
    <t>Sorocaba/SP</t>
  </si>
  <si>
    <t>Sud Mennucci/SP</t>
  </si>
  <si>
    <t>Sumaré/SP</t>
  </si>
  <si>
    <t>Suzano/SP</t>
  </si>
  <si>
    <t>Suzanápolis/SP</t>
  </si>
  <si>
    <t>Tabapuã/SP</t>
  </si>
  <si>
    <t>Tabatinga/SP</t>
  </si>
  <si>
    <t>Taboão da Serra/SP</t>
  </si>
  <si>
    <t>Taciba/SP</t>
  </si>
  <si>
    <t>Taguaí/SP</t>
  </si>
  <si>
    <t>Taiaçu/SP</t>
  </si>
  <si>
    <t>Taiúva/SP</t>
  </si>
  <si>
    <t>Tambaú/SP</t>
  </si>
  <si>
    <t>Tanabi/SP</t>
  </si>
  <si>
    <t>Tapiraí/SP</t>
  </si>
  <si>
    <t>Tapiratiba/SP</t>
  </si>
  <si>
    <t>Taquaral/SP</t>
  </si>
  <si>
    <t>Taquaritinga/SP</t>
  </si>
  <si>
    <t>Taquarituba/SP</t>
  </si>
  <si>
    <t>Taquarivaí/SP</t>
  </si>
  <si>
    <t>Tarabai/SP</t>
  </si>
  <si>
    <t>Tarumã/SP</t>
  </si>
  <si>
    <t>Tatuí/SP</t>
  </si>
  <si>
    <t>Taubaté/SP</t>
  </si>
  <si>
    <t>Tejupá/SP</t>
  </si>
  <si>
    <t>Teodoro Sampaio/SP</t>
  </si>
  <si>
    <t>Terra Roxa/SP</t>
  </si>
  <si>
    <t>Tietê/SP</t>
  </si>
  <si>
    <t>Timburi/SP</t>
  </si>
  <si>
    <t>Torre de Pedra/SP</t>
  </si>
  <si>
    <t>Torrinha/SP</t>
  </si>
  <si>
    <t>Trabiju/SP</t>
  </si>
  <si>
    <t>Tremembé/SP</t>
  </si>
  <si>
    <t>Três Fronteiras/SP</t>
  </si>
  <si>
    <t>Tuiuti/SP</t>
  </si>
  <si>
    <t>Tupã/SP</t>
  </si>
  <si>
    <t>Tupi Paulista/SP</t>
  </si>
  <si>
    <t>Turiúba/SP</t>
  </si>
  <si>
    <t>Turmalina/SP</t>
  </si>
  <si>
    <t>Ubarana/SP</t>
  </si>
  <si>
    <t>Ubatuba/SP</t>
  </si>
  <si>
    <t>Ubirajara/SP</t>
  </si>
  <si>
    <t>Uchoa/SP</t>
  </si>
  <si>
    <t>União Paulista/SP</t>
  </si>
  <si>
    <t>Urânia/SP</t>
  </si>
  <si>
    <t>Uru/SP</t>
  </si>
  <si>
    <t>Urupês/SP</t>
  </si>
  <si>
    <t>Valentim Gentil/SP</t>
  </si>
  <si>
    <t>Valinhos/SP</t>
  </si>
  <si>
    <t>Valparaíso/SP</t>
  </si>
  <si>
    <t>Vargem/SP</t>
  </si>
  <si>
    <t>Vargem Grande do Sul/SP</t>
  </si>
  <si>
    <t>Vargem Grande Paulista/SP</t>
  </si>
  <si>
    <t>Várzea Paulista/SP</t>
  </si>
  <si>
    <t>Vera Cruz/SP</t>
  </si>
  <si>
    <t>Vinhedo/SP</t>
  </si>
  <si>
    <t>Viradouro/SP</t>
  </si>
  <si>
    <t>Vista Alegre do Alto/SP</t>
  </si>
  <si>
    <t>Vitória Brasil/SP</t>
  </si>
  <si>
    <t>Votorantim/SP</t>
  </si>
  <si>
    <t>Votuporanga/SP</t>
  </si>
  <si>
    <t>Zacarias/SP</t>
  </si>
  <si>
    <t>Chavantes/SP</t>
  </si>
  <si>
    <t>Estiva Gerbi/SP</t>
  </si>
  <si>
    <t>Abatiá/PR</t>
  </si>
  <si>
    <t>Adrianópolis/PR</t>
  </si>
  <si>
    <t>Agudos do Sul/PR</t>
  </si>
  <si>
    <t>Almirante Tamandaré/PR</t>
  </si>
  <si>
    <t>Altamira do Paraná/PR</t>
  </si>
  <si>
    <t>Altônia/PR</t>
  </si>
  <si>
    <t>Alto Paraná/PR</t>
  </si>
  <si>
    <t>Alto Piquiri/PR</t>
  </si>
  <si>
    <t>Alvorada do Sul/PR</t>
  </si>
  <si>
    <t>Amaporã/PR</t>
  </si>
  <si>
    <t>Ampére/PR</t>
  </si>
  <si>
    <t>Anahy/PR</t>
  </si>
  <si>
    <t>Andirá/PR</t>
  </si>
  <si>
    <t>Ângulo/PR</t>
  </si>
  <si>
    <t>Antonina/PR</t>
  </si>
  <si>
    <t>Antônio Olinto/PR</t>
  </si>
  <si>
    <t>Apucarana/PR</t>
  </si>
  <si>
    <t>Arapongas/PR</t>
  </si>
  <si>
    <t>Arapoti/PR</t>
  </si>
  <si>
    <t>Arapuã/PR</t>
  </si>
  <si>
    <t>Araruna/PR</t>
  </si>
  <si>
    <t>Araucária/PR</t>
  </si>
  <si>
    <t>Ariranha do Ivaí/PR</t>
  </si>
  <si>
    <t>Assaí/PR</t>
  </si>
  <si>
    <t>Assis Chateaubriand/PR</t>
  </si>
  <si>
    <t>Astorga/PR</t>
  </si>
  <si>
    <t>Atalaia/PR</t>
  </si>
  <si>
    <t>Balsa Nova/PR</t>
  </si>
  <si>
    <t>Bandeirantes/PR</t>
  </si>
  <si>
    <t>Barbosa Ferraz/PR</t>
  </si>
  <si>
    <t>Barracão/PR</t>
  </si>
  <si>
    <t>Barra do Jacaré/PR</t>
  </si>
  <si>
    <t>Bela Vista da Caroba/PR</t>
  </si>
  <si>
    <t>Bela Vista do Paraíso/PR</t>
  </si>
  <si>
    <t>Bituruna/PR</t>
  </si>
  <si>
    <t>Boa Esperança/PR</t>
  </si>
  <si>
    <t>Boa Esperança do Iguaçu/PR</t>
  </si>
  <si>
    <t>Boa Ventura de São Roque/PR</t>
  </si>
  <si>
    <t>Boa Vista da Aparecida/PR</t>
  </si>
  <si>
    <t>Bocaiúva do Sul/PR</t>
  </si>
  <si>
    <t>Bom Jesus do Sul/PR</t>
  </si>
  <si>
    <t>Bom Sucesso/PR</t>
  </si>
  <si>
    <t>Bom Sucesso do Sul/PR</t>
  </si>
  <si>
    <t>Borrazópolis/PR</t>
  </si>
  <si>
    <t>Braganey/PR</t>
  </si>
  <si>
    <t>Brasilândia do Sul/PR</t>
  </si>
  <si>
    <t>Cafeara/PR</t>
  </si>
  <si>
    <t>Cafelândia/PR</t>
  </si>
  <si>
    <t>Cafezal do Sul/PR</t>
  </si>
  <si>
    <t>Califórnia/PR</t>
  </si>
  <si>
    <t>Cambará/PR</t>
  </si>
  <si>
    <t>Cambé/PR</t>
  </si>
  <si>
    <t>Cambira/PR</t>
  </si>
  <si>
    <t>Campina da Lagoa/PR</t>
  </si>
  <si>
    <t>Campina do Simão/PR</t>
  </si>
  <si>
    <t>Campina Grande do Sul/PR</t>
  </si>
  <si>
    <t>Campo Bonito/PR</t>
  </si>
  <si>
    <t>Campo do Tenente/PR</t>
  </si>
  <si>
    <t>Campo Largo/PR</t>
  </si>
  <si>
    <t>Campo Magro/PR</t>
  </si>
  <si>
    <t>Campo Mourão/PR</t>
  </si>
  <si>
    <t>Cândido de Abreu/PR</t>
  </si>
  <si>
    <t>Candói/PR</t>
  </si>
  <si>
    <t>Cantagalo/PR</t>
  </si>
  <si>
    <t>Capanema/PR</t>
  </si>
  <si>
    <t>Capitão Leônidas Marques/PR</t>
  </si>
  <si>
    <t>Carambeí/PR</t>
  </si>
  <si>
    <t>Carlópolis/PR</t>
  </si>
  <si>
    <t>Cascavel/PR</t>
  </si>
  <si>
    <t>Castro/PR</t>
  </si>
  <si>
    <t>Catanduvas/PR</t>
  </si>
  <si>
    <t>Centenário do Sul/PR</t>
  </si>
  <si>
    <t>Cerro Azul/PR</t>
  </si>
  <si>
    <t>Céu Azul/PR</t>
  </si>
  <si>
    <t>Chopinzinho/PR</t>
  </si>
  <si>
    <t>Cianorte/PR</t>
  </si>
  <si>
    <t>Cidade Gaúcha/PR</t>
  </si>
  <si>
    <t>Clevelândia/PR</t>
  </si>
  <si>
    <t>Colombo/PR</t>
  </si>
  <si>
    <t>Colorado/PR</t>
  </si>
  <si>
    <t>Congonhinhas/PR</t>
  </si>
  <si>
    <t>Conselheiro Mairinck/PR</t>
  </si>
  <si>
    <t>Contenda/PR</t>
  </si>
  <si>
    <t>Corbélia/PR</t>
  </si>
  <si>
    <t>Cornélio Procópio/PR</t>
  </si>
  <si>
    <t>Coronel Domingos Soares/PR</t>
  </si>
  <si>
    <t>Coronel Vivida/PR</t>
  </si>
  <si>
    <t>Corumbataí do Sul/PR</t>
  </si>
  <si>
    <t>Cruzeiro do Iguaçu/PR</t>
  </si>
  <si>
    <t>Cruzeiro do Oeste/PR</t>
  </si>
  <si>
    <t>Cruzeiro do Sul/PR</t>
  </si>
  <si>
    <t>Cruz Machado/PR</t>
  </si>
  <si>
    <t>Cruzmaltina/PR</t>
  </si>
  <si>
    <t>Curitiba/PR</t>
  </si>
  <si>
    <t>Curiúva/PR</t>
  </si>
  <si>
    <t>Diamante do Norte/PR</t>
  </si>
  <si>
    <t>Diamante do Sul/PR</t>
  </si>
  <si>
    <t>Diamante D´oeste/PR</t>
  </si>
  <si>
    <t>Dois Vizinhos/PR</t>
  </si>
  <si>
    <t>Douradina/PR</t>
  </si>
  <si>
    <t>Doutor Camargo/PR</t>
  </si>
  <si>
    <t>Enéas Marques/PR</t>
  </si>
  <si>
    <t>Engenheiro Beltrão/PR</t>
  </si>
  <si>
    <t>Esperança Nova/PR</t>
  </si>
  <si>
    <t>Entre Rios do Oeste/PR</t>
  </si>
  <si>
    <t>Espigão Alto do Iguaçu/PR</t>
  </si>
  <si>
    <t>Farol/PR</t>
  </si>
  <si>
    <t>Faxinal/PR</t>
  </si>
  <si>
    <t>Fazenda Rio Grande/PR</t>
  </si>
  <si>
    <t>Fênix/PR</t>
  </si>
  <si>
    <t>Fernandes Pinheiro/PR</t>
  </si>
  <si>
    <t>Figueira/PR</t>
  </si>
  <si>
    <t>Floraí/PR</t>
  </si>
  <si>
    <t>Flor da Serra do Sul/PR</t>
  </si>
  <si>
    <t>Floresta/PR</t>
  </si>
  <si>
    <t>Florestópolis/PR</t>
  </si>
  <si>
    <t>Flórida/PR</t>
  </si>
  <si>
    <t>Formosa do Oeste/PR</t>
  </si>
  <si>
    <t>Foz do Iguaçu/PR</t>
  </si>
  <si>
    <t>Francisco Alves/PR</t>
  </si>
  <si>
    <t>Francisco Beltrão/PR</t>
  </si>
  <si>
    <t>Foz do Jordão/PR</t>
  </si>
  <si>
    <t>General Carneiro/PR</t>
  </si>
  <si>
    <t>Godoy Moreira/PR</t>
  </si>
  <si>
    <t>Goioerê/PR</t>
  </si>
  <si>
    <t>Goioxim/PR</t>
  </si>
  <si>
    <t>Grandes Rios/PR</t>
  </si>
  <si>
    <t>Guaíra/PR</t>
  </si>
  <si>
    <t>Guairaçá/PR</t>
  </si>
  <si>
    <t>Guamiranga/PR</t>
  </si>
  <si>
    <t>Guapirama/PR</t>
  </si>
  <si>
    <t>Guaporema/PR</t>
  </si>
  <si>
    <t>Guaraci/PR</t>
  </si>
  <si>
    <t>Guaraniaçu/PR</t>
  </si>
  <si>
    <t>Guarapuava/PR</t>
  </si>
  <si>
    <t>Guaraqueçaba/PR</t>
  </si>
  <si>
    <t>Guaratuba/PR</t>
  </si>
  <si>
    <t>Honório Serpa/PR</t>
  </si>
  <si>
    <t>Ibaiti/PR</t>
  </si>
  <si>
    <t>Ibema/PR</t>
  </si>
  <si>
    <t>Ibiporã/PR</t>
  </si>
  <si>
    <t>Icaraíma/PR</t>
  </si>
  <si>
    <t>Iguaraçu/PR</t>
  </si>
  <si>
    <t>Iguatu/PR</t>
  </si>
  <si>
    <t>Imbaú/PR</t>
  </si>
  <si>
    <t>Imbituva/PR</t>
  </si>
  <si>
    <t>Inácio Martins/PR</t>
  </si>
  <si>
    <t>Inajá/PR</t>
  </si>
  <si>
    <t>Indianópolis/PR</t>
  </si>
  <si>
    <t>Ipiranga/PR</t>
  </si>
  <si>
    <t>Iporã/PR</t>
  </si>
  <si>
    <t>Iracema do Oeste/PR</t>
  </si>
  <si>
    <t>Irati/PR</t>
  </si>
  <si>
    <t>Iretama/PR</t>
  </si>
  <si>
    <t>Itaguajé/PR</t>
  </si>
  <si>
    <t>Itaipulândia/PR</t>
  </si>
  <si>
    <t>Itambaracá/PR</t>
  </si>
  <si>
    <t>Itambé/PR</t>
  </si>
  <si>
    <t>Itapejara D´oeste/PR</t>
  </si>
  <si>
    <t>Itaperuçu/PR</t>
  </si>
  <si>
    <t>Itaúna do Sul/PR</t>
  </si>
  <si>
    <t>Ivaí/PR</t>
  </si>
  <si>
    <t>Ivaiporã/PR</t>
  </si>
  <si>
    <t>Ivaté/PR</t>
  </si>
  <si>
    <t>Ivatuba/PR</t>
  </si>
  <si>
    <t>Jaboti/PR</t>
  </si>
  <si>
    <t>Jacarezinho/PR</t>
  </si>
  <si>
    <t>Jaguapitã/PR</t>
  </si>
  <si>
    <t>Jaguariaíva/PR</t>
  </si>
  <si>
    <t>Jandaia do Sul/PR</t>
  </si>
  <si>
    <t>Janiópolis/PR</t>
  </si>
  <si>
    <t>Japira/PR</t>
  </si>
  <si>
    <t>Japurá/PR</t>
  </si>
  <si>
    <t>Jardim Alegre/PR</t>
  </si>
  <si>
    <t>Jardim Olinda/PR</t>
  </si>
  <si>
    <t>Jataizinho/PR</t>
  </si>
  <si>
    <t>Jesuítas/PR</t>
  </si>
  <si>
    <t>Joaquim Távora/PR</t>
  </si>
  <si>
    <t>Jundiaí do Sul/PR</t>
  </si>
  <si>
    <t>Juranda/PR</t>
  </si>
  <si>
    <t>Jussara/PR</t>
  </si>
  <si>
    <t>Kaloré/PR</t>
  </si>
  <si>
    <t>Lapa/PR</t>
  </si>
  <si>
    <t>Laranjal/PR</t>
  </si>
  <si>
    <t>Laranjeiras do Sul/PR</t>
  </si>
  <si>
    <t>Leópolis/PR</t>
  </si>
  <si>
    <t>Lidianópolis/PR</t>
  </si>
  <si>
    <t>Lindoeste/PR</t>
  </si>
  <si>
    <t>Loanda/PR</t>
  </si>
  <si>
    <t>Lobato/PR</t>
  </si>
  <si>
    <t>Londrina/PR</t>
  </si>
  <si>
    <t>Luiziana/PR</t>
  </si>
  <si>
    <t>Lunardelli/PR</t>
  </si>
  <si>
    <t>Lupionópolis/PR</t>
  </si>
  <si>
    <t>Mallet/PR</t>
  </si>
  <si>
    <t>Mamborê/PR</t>
  </si>
  <si>
    <t>Mandaguaçu/PR</t>
  </si>
  <si>
    <t>Mandaguari/PR</t>
  </si>
  <si>
    <t>Mandirituba/PR</t>
  </si>
  <si>
    <t>Manfrinópolis/PR</t>
  </si>
  <si>
    <t>Mangueirinha/PR</t>
  </si>
  <si>
    <t>Manoel Ribas/PR</t>
  </si>
  <si>
    <t>Marechal Cândido Rondon/PR</t>
  </si>
  <si>
    <t>Maria Helena/PR</t>
  </si>
  <si>
    <t>Marialva/PR</t>
  </si>
  <si>
    <t>Marilândia do Sul/PR</t>
  </si>
  <si>
    <t>Marilena/PR</t>
  </si>
  <si>
    <t>Mariluz/PR</t>
  </si>
  <si>
    <t>Maringá/PR</t>
  </si>
  <si>
    <t>Mariópolis/PR</t>
  </si>
  <si>
    <t>Maripá/PR</t>
  </si>
  <si>
    <t>Marmeleiro/PR</t>
  </si>
  <si>
    <t>Marquinho/PR</t>
  </si>
  <si>
    <t>Marumbi/PR</t>
  </si>
  <si>
    <t>Matelândia/PR</t>
  </si>
  <si>
    <t>Matinhos/PR</t>
  </si>
  <si>
    <t>Mato Rico/PR</t>
  </si>
  <si>
    <t>Mauá da Serra/PR</t>
  </si>
  <si>
    <t>Medianeira/PR</t>
  </si>
  <si>
    <t>Mercedes/PR</t>
  </si>
  <si>
    <t>Mirador/PR</t>
  </si>
  <si>
    <t>Miraselva/PR</t>
  </si>
  <si>
    <t>Missal/PR</t>
  </si>
  <si>
    <t>Moreira Sales/PR</t>
  </si>
  <si>
    <t>Morretes/PR</t>
  </si>
  <si>
    <t>Munhoz de Melo/PR</t>
  </si>
  <si>
    <t>Nossa Senhora Das Graças/PR</t>
  </si>
  <si>
    <t>Nova Aliança do Ivaí/PR</t>
  </si>
  <si>
    <t>Nova América da Colina/PR</t>
  </si>
  <si>
    <t>Nova Aurora/PR</t>
  </si>
  <si>
    <t>Nova Cantu/PR</t>
  </si>
  <si>
    <t>Nova Esperança/PR</t>
  </si>
  <si>
    <t>Nova Esperança do Sudoeste/PR</t>
  </si>
  <si>
    <t>Nova Fátima/PR</t>
  </si>
  <si>
    <t>Nova Laranjeiras/PR</t>
  </si>
  <si>
    <t>Nova Londrina/PR</t>
  </si>
  <si>
    <t>Nova Olímpia/PR</t>
  </si>
  <si>
    <t>Nova Santa Bárbara/PR</t>
  </si>
  <si>
    <t>Nova Santa Rosa/PR</t>
  </si>
  <si>
    <t>Nova Prata do Iguaçu/PR</t>
  </si>
  <si>
    <t>Nova Tebas/PR</t>
  </si>
  <si>
    <t>Novo Itacolomi/PR</t>
  </si>
  <si>
    <t>Ortigueira/PR</t>
  </si>
  <si>
    <t>Ourizona/PR</t>
  </si>
  <si>
    <t>Ouro Verde do Oeste/PR</t>
  </si>
  <si>
    <t>Paiçandu/PR</t>
  </si>
  <si>
    <t>Palmas/PR</t>
  </si>
  <si>
    <t>Palmeira/PR</t>
  </si>
  <si>
    <t>Palmital/PR</t>
  </si>
  <si>
    <t>Palotina/PR</t>
  </si>
  <si>
    <t>Paraíso do Norte/PR</t>
  </si>
  <si>
    <t>Paranacity/PR</t>
  </si>
  <si>
    <t>Paranaguá/PR</t>
  </si>
  <si>
    <t>Paranapoema/PR</t>
  </si>
  <si>
    <t>Paranavaí/PR</t>
  </si>
  <si>
    <t>Pato Bragado/PR</t>
  </si>
  <si>
    <t>Pato Branco/PR</t>
  </si>
  <si>
    <t>Paula Freitas/PR</t>
  </si>
  <si>
    <t>Paulo Frontin/PR</t>
  </si>
  <si>
    <t>Peabiru/PR</t>
  </si>
  <si>
    <t>Perobal/PR</t>
  </si>
  <si>
    <t>Pérola/PR</t>
  </si>
  <si>
    <t>Pérola D´oeste/PR</t>
  </si>
  <si>
    <t>Piên/PR</t>
  </si>
  <si>
    <t>Pinhais/PR</t>
  </si>
  <si>
    <t>Pinhalão/PR</t>
  </si>
  <si>
    <t>Pinhal de São Bento/PR</t>
  </si>
  <si>
    <t>Pinhão/PR</t>
  </si>
  <si>
    <t>Piraí do Sul/PR</t>
  </si>
  <si>
    <t>Piraquara/PR</t>
  </si>
  <si>
    <t>Pitanga/PR</t>
  </si>
  <si>
    <t>Pitangueiras/PR</t>
  </si>
  <si>
    <t>Planaltina do Paraná/PR</t>
  </si>
  <si>
    <t>Planalto/PR</t>
  </si>
  <si>
    <t>Ponta Grossa/PR</t>
  </si>
  <si>
    <t>Pontal do Paraná/PR</t>
  </si>
  <si>
    <t>Porecatu/PR</t>
  </si>
  <si>
    <t>Porto Amazonas/PR</t>
  </si>
  <si>
    <t>Porto Barreiro/PR</t>
  </si>
  <si>
    <t>Porto Rico/PR</t>
  </si>
  <si>
    <t>Porto Vitória/PR</t>
  </si>
  <si>
    <t>Prado Ferreira/PR</t>
  </si>
  <si>
    <t>Pranchita/PR</t>
  </si>
  <si>
    <t>Presidente Castelo Branco/PR</t>
  </si>
  <si>
    <t>Primeiro de Maio/PR</t>
  </si>
  <si>
    <t>Prudentópolis/PR</t>
  </si>
  <si>
    <t>Quarto Centenário/PR</t>
  </si>
  <si>
    <t>Quatiguá/PR</t>
  </si>
  <si>
    <t>Quatro Barras/PR</t>
  </si>
  <si>
    <t>Quatro Pontes/PR</t>
  </si>
  <si>
    <t>Quedas do Iguaçu/PR</t>
  </si>
  <si>
    <t>Querência do Norte/PR</t>
  </si>
  <si>
    <t>Quinta do Sol/PR</t>
  </si>
  <si>
    <t>Quitandinha/PR</t>
  </si>
  <si>
    <t>Ramilândia/PR</t>
  </si>
  <si>
    <t>Rancho Alegre/PR</t>
  </si>
  <si>
    <t>Rancho Alegre D´oeste/PR</t>
  </si>
  <si>
    <t>Realeza/PR</t>
  </si>
  <si>
    <t>Rebouças/PR</t>
  </si>
  <si>
    <t>Renascença/PR</t>
  </si>
  <si>
    <t>Reserva/PR</t>
  </si>
  <si>
    <t>Reserva do Iguaçu/PR</t>
  </si>
  <si>
    <t>Ribeirão Claro/PR</t>
  </si>
  <si>
    <t>Ribeirão do Pinhal/PR</t>
  </si>
  <si>
    <t>Rio Azul/PR</t>
  </si>
  <si>
    <t>Rio Bom/PR</t>
  </si>
  <si>
    <t>Rio Bonito do Iguaçu/PR</t>
  </si>
  <si>
    <t>Rio Branco do Ivaí/PR</t>
  </si>
  <si>
    <t>Rio Branco do Sul/PR</t>
  </si>
  <si>
    <t>Rio Negro/PR</t>
  </si>
  <si>
    <t>Rolândia/PR</t>
  </si>
  <si>
    <t>Roncador/PR</t>
  </si>
  <si>
    <t>Rondon/PR</t>
  </si>
  <si>
    <t>Rosário do Ivaí/PR</t>
  </si>
  <si>
    <t>Sabáudia/PR</t>
  </si>
  <si>
    <t>Salgado Filho/PR</t>
  </si>
  <si>
    <t>Salto do Itararé/PR</t>
  </si>
  <si>
    <t>Salto do Lontra/PR</t>
  </si>
  <si>
    <t>Santa Amélia/PR</t>
  </si>
  <si>
    <t>Santa Cecília do Pavão/PR</t>
  </si>
  <si>
    <t>Santa Cruz de Monte Castelo/PR</t>
  </si>
  <si>
    <t>Santa fé/PR</t>
  </si>
  <si>
    <t>Santa Helena/PR</t>
  </si>
  <si>
    <t>Santa Inês/PR</t>
  </si>
  <si>
    <t>Santa Isabel do Ivaí/PR</t>
  </si>
  <si>
    <t>Santa Izabel do Oeste/PR</t>
  </si>
  <si>
    <t>Santa Lúcia/PR</t>
  </si>
  <si>
    <t>Santa Maria do Oeste/PR</t>
  </si>
  <si>
    <t>Santa Mariana/PR</t>
  </si>
  <si>
    <t>Santa Mônica/PR</t>
  </si>
  <si>
    <t>Santana do Itararé/PR</t>
  </si>
  <si>
    <t>Santa Tereza do Oeste/PR</t>
  </si>
  <si>
    <t>Santa Terezinha de Itaipu/PR</t>
  </si>
  <si>
    <t>Santo Antônio da Platina/PR</t>
  </si>
  <si>
    <t>Santo Antônio do Caiuá/PR</t>
  </si>
  <si>
    <t>Santo Antônio do Paraíso/PR</t>
  </si>
  <si>
    <t>Santo Antônio do Sudoeste/PR</t>
  </si>
  <si>
    <t>Santo Inácio/PR</t>
  </si>
  <si>
    <t>São Carlos do Ivaí/PR</t>
  </si>
  <si>
    <t>São Jerônimo da Serra/PR</t>
  </si>
  <si>
    <t>São João/PR</t>
  </si>
  <si>
    <t>São João do Caiuá/PR</t>
  </si>
  <si>
    <t>São João do Ivaí/PR</t>
  </si>
  <si>
    <t>São João do Triunfo/PR</t>
  </si>
  <si>
    <t>São Jorge D´oeste/PR</t>
  </si>
  <si>
    <t>São Jorge do Ivaí/PR</t>
  </si>
  <si>
    <t>São Jorge do Patrocínio/PR</t>
  </si>
  <si>
    <t>São José da Boa Vista/PR</t>
  </si>
  <si>
    <t>São José Das Palmeiras/PR</t>
  </si>
  <si>
    <t>São José Dos Pinhais/PR</t>
  </si>
  <si>
    <t>São Manoel do Paraná/PR</t>
  </si>
  <si>
    <t>São Mateus do Sul/PR</t>
  </si>
  <si>
    <t>São Miguel do Iguaçu/PR</t>
  </si>
  <si>
    <t>São Pedro do Iguaçu/PR</t>
  </si>
  <si>
    <t>São Pedro do Ivaí/PR</t>
  </si>
  <si>
    <t>São Pedro do Paraná/PR</t>
  </si>
  <si>
    <t>São Sebastião da Amoreira/PR</t>
  </si>
  <si>
    <t>São Tomé/PR</t>
  </si>
  <si>
    <t>Sapopema/PR</t>
  </si>
  <si>
    <t>Sarandi/PR</t>
  </si>
  <si>
    <t>Saudade do Iguaçu/PR</t>
  </si>
  <si>
    <t>Sengés/PR</t>
  </si>
  <si>
    <t>Serranópolis do Iguaçu/PR</t>
  </si>
  <si>
    <t>Sertaneja/PR</t>
  </si>
  <si>
    <t>Sertanópolis/PR</t>
  </si>
  <si>
    <t>Siqueira Campos/PR</t>
  </si>
  <si>
    <t>Sulina/PR</t>
  </si>
  <si>
    <t>Tamarana/PR</t>
  </si>
  <si>
    <t>Tamboara/PR</t>
  </si>
  <si>
    <t>Tapejara/PR</t>
  </si>
  <si>
    <t>Tapira/PR</t>
  </si>
  <si>
    <t>Teixeira Soares/PR</t>
  </si>
  <si>
    <t>Telêmaco Borba/PR</t>
  </si>
  <si>
    <t>Terra Boa/PR</t>
  </si>
  <si>
    <t>Terra Rica/PR</t>
  </si>
  <si>
    <t>Terra Roxa/PR</t>
  </si>
  <si>
    <t>Tibagi/PR</t>
  </si>
  <si>
    <t>Tijucas do Sul/PR</t>
  </si>
  <si>
    <t>Toledo/PR</t>
  </si>
  <si>
    <t>Tomazina/PR</t>
  </si>
  <si>
    <t>Três Barras do Paraná/PR</t>
  </si>
  <si>
    <t>Tunas do Paraná/PR</t>
  </si>
  <si>
    <t>Tuneiras do Oeste/PR</t>
  </si>
  <si>
    <t>Tupãssi/PR</t>
  </si>
  <si>
    <t>Turvo/PR</t>
  </si>
  <si>
    <t>Ubiratã/PR</t>
  </si>
  <si>
    <t>Umuarama/PR</t>
  </si>
  <si>
    <t>União da Vitória/PR</t>
  </si>
  <si>
    <t>Uniflor/PR</t>
  </si>
  <si>
    <t>Uraí/PR</t>
  </si>
  <si>
    <t>Wenceslau Braz/PR</t>
  </si>
  <si>
    <t>Ventania/PR</t>
  </si>
  <si>
    <t>Vera Cruz do Oeste/PR</t>
  </si>
  <si>
    <t>Verê/PR</t>
  </si>
  <si>
    <t>Vila Alta/PR</t>
  </si>
  <si>
    <t>Doutor Ulysses/PR</t>
  </si>
  <si>
    <t>Virmond/PR</t>
  </si>
  <si>
    <t>Vitorino/PR</t>
  </si>
  <si>
    <t>Xambrê/PR</t>
  </si>
  <si>
    <t>Abdon Batista/SC</t>
  </si>
  <si>
    <t>Abelardo Luz/SC</t>
  </si>
  <si>
    <t>Agrolândia/SC</t>
  </si>
  <si>
    <t>Agronômica/SC</t>
  </si>
  <si>
    <t>Água Doce/SC</t>
  </si>
  <si>
    <t>Águas de Chapecó/SC</t>
  </si>
  <si>
    <t>Águas Frias/SC</t>
  </si>
  <si>
    <t>Águas Mornas/SC</t>
  </si>
  <si>
    <t>Alfredo Wagner/SC</t>
  </si>
  <si>
    <t>Alto Bela Vista/SC</t>
  </si>
  <si>
    <t>Anchieta/SC</t>
  </si>
  <si>
    <t>Angelina/SC</t>
  </si>
  <si>
    <t>Anita Garibaldi/SC</t>
  </si>
  <si>
    <t>Anitápolis/SC</t>
  </si>
  <si>
    <t>Antônio Carlos/SC</t>
  </si>
  <si>
    <t>Apiúna/SC</t>
  </si>
  <si>
    <t>Arabutã/SC</t>
  </si>
  <si>
    <t>Araquari/SC</t>
  </si>
  <si>
    <t>Araranguá/SC</t>
  </si>
  <si>
    <t>Armazém/SC</t>
  </si>
  <si>
    <t>Arroio Trinta/SC</t>
  </si>
  <si>
    <t>Arvoredo/SC</t>
  </si>
  <si>
    <t>Ascurra/SC</t>
  </si>
  <si>
    <t>Atalanta/SC</t>
  </si>
  <si>
    <t>Aurora/SC</t>
  </si>
  <si>
    <t>Balneário Arroio do Silva/SC</t>
  </si>
  <si>
    <t>Balneário Camboriú/SC</t>
  </si>
  <si>
    <t>Balneário Barra do Sul/SC</t>
  </si>
  <si>
    <t>Balneário Gaivota/SC</t>
  </si>
  <si>
    <t>Bandeirante/SC</t>
  </si>
  <si>
    <t>Barra Bonita/SC</t>
  </si>
  <si>
    <t>Barra Velha/SC</t>
  </si>
  <si>
    <t>Bela Vista do Toldo/SC</t>
  </si>
  <si>
    <t>Belmonte/SC</t>
  </si>
  <si>
    <t>Benedito Novo/SC</t>
  </si>
  <si>
    <t>Biguaçu/SC</t>
  </si>
  <si>
    <t>Blumenau/SC</t>
  </si>
  <si>
    <t>Bocaina do Sul/SC</t>
  </si>
  <si>
    <t>Bombinhas/SC</t>
  </si>
  <si>
    <t>Bom Jardim da Serra/SC</t>
  </si>
  <si>
    <t>Bom Jesus/SC</t>
  </si>
  <si>
    <t>Bom Jesus do Oeste/SC</t>
  </si>
  <si>
    <t>Bom Retiro/SC</t>
  </si>
  <si>
    <t>Botuverá/SC</t>
  </si>
  <si>
    <t>Braço do Norte/SC</t>
  </si>
  <si>
    <t>Braço do Trombudo/SC</t>
  </si>
  <si>
    <t>Brunópolis/SC</t>
  </si>
  <si>
    <t>Brusque/SC</t>
  </si>
  <si>
    <t>Caçador/SC</t>
  </si>
  <si>
    <t>Caibi/SC</t>
  </si>
  <si>
    <t>Calmon/SC</t>
  </si>
  <si>
    <t>Camboriú/SC</t>
  </si>
  <si>
    <t>Capão Alto/SC</t>
  </si>
  <si>
    <t>Campo Alegre/SC</t>
  </si>
  <si>
    <t>Campo Belo do Sul/SC</t>
  </si>
  <si>
    <t>Campo Erê/SC</t>
  </si>
  <si>
    <t>Campos Novos/SC</t>
  </si>
  <si>
    <t>Canelinha/SC</t>
  </si>
  <si>
    <t>Canoinhas/SC</t>
  </si>
  <si>
    <t>Capinzal/SC</t>
  </si>
  <si>
    <t>Capivari de Baixo/SC</t>
  </si>
  <si>
    <t>Catanduvas/SC</t>
  </si>
  <si>
    <t>Caxambu do Sul/SC</t>
  </si>
  <si>
    <t>Celso Ramos/SC</t>
  </si>
  <si>
    <t>Cerro Negro/SC</t>
  </si>
  <si>
    <t>Chapadão do Lageado/SC</t>
  </si>
  <si>
    <t>Chapecó/SC</t>
  </si>
  <si>
    <t>Cocal do Sul/SC</t>
  </si>
  <si>
    <t>Concórdia/SC</t>
  </si>
  <si>
    <t>Cordilheira Alta/SC</t>
  </si>
  <si>
    <t>Coronel Freitas/SC</t>
  </si>
  <si>
    <t>Coronel Martins/SC</t>
  </si>
  <si>
    <t>Corupá/SC</t>
  </si>
  <si>
    <t>Correia Pinto/SC</t>
  </si>
  <si>
    <t>Criciúma/SC</t>
  </si>
  <si>
    <t>Cunha Porã/SC</t>
  </si>
  <si>
    <t>Cunhataí/SC</t>
  </si>
  <si>
    <t>Curitibanos/SC</t>
  </si>
  <si>
    <t>Descanso/SC</t>
  </si>
  <si>
    <t>Dionísio Cerqueira/SC</t>
  </si>
  <si>
    <t>Dona Emma/SC</t>
  </si>
  <si>
    <t>Doutor Pedrinho/SC</t>
  </si>
  <si>
    <t>Entre Rios/SC</t>
  </si>
  <si>
    <t>Ermo/SC</t>
  </si>
  <si>
    <t>Erval Velho/SC</t>
  </si>
  <si>
    <t>Faxinal Dos Guedes/SC</t>
  </si>
  <si>
    <t>Flor do Sertão/SC</t>
  </si>
  <si>
    <t>Florianópolis/SC</t>
  </si>
  <si>
    <t>Formosa do Sul/SC</t>
  </si>
  <si>
    <t>Forquilhinha/SC</t>
  </si>
  <si>
    <t>Fraiburgo/SC</t>
  </si>
  <si>
    <t>Frei Rogério/SC</t>
  </si>
  <si>
    <t>Galvão/SC</t>
  </si>
  <si>
    <t>Garopaba/SC</t>
  </si>
  <si>
    <t>Garuva/SC</t>
  </si>
  <si>
    <t>Gaspar/SC</t>
  </si>
  <si>
    <t>Governador Celso Ramos/SC</t>
  </si>
  <si>
    <t>Grão Pará/SC</t>
  </si>
  <si>
    <t>Gravatal/SC</t>
  </si>
  <si>
    <t>Guabiruba/SC</t>
  </si>
  <si>
    <t>Guaraciaba/SC</t>
  </si>
  <si>
    <t>Guaramirim/SC</t>
  </si>
  <si>
    <t>Guarujá do Sul/SC</t>
  </si>
  <si>
    <t>Guatambú/SC</t>
  </si>
  <si>
    <t>Herval D´oeste/SC</t>
  </si>
  <si>
    <t>Ibiam/SC</t>
  </si>
  <si>
    <t>Ibicaré/SC</t>
  </si>
  <si>
    <t>Ibirama/SC</t>
  </si>
  <si>
    <t>Içara/SC</t>
  </si>
  <si>
    <t>Ilhota/SC</t>
  </si>
  <si>
    <t>Imaruí/SC</t>
  </si>
  <si>
    <t>Imbituba/SC</t>
  </si>
  <si>
    <t>Imbuia/SC</t>
  </si>
  <si>
    <t>Indaial/SC</t>
  </si>
  <si>
    <t>Iomerê/SC</t>
  </si>
  <si>
    <t>Ipira/SC</t>
  </si>
  <si>
    <t>Iporã do Oeste/SC</t>
  </si>
  <si>
    <t>Ipuaçu/SC</t>
  </si>
  <si>
    <t>Ipumirim/SC</t>
  </si>
  <si>
    <t>Iraceminha/SC</t>
  </si>
  <si>
    <t>Irani/SC</t>
  </si>
  <si>
    <t>Irati/SC</t>
  </si>
  <si>
    <t>Irineópolis/SC</t>
  </si>
  <si>
    <t>Itá/SC</t>
  </si>
  <si>
    <t>Itaiópolis/SC</t>
  </si>
  <si>
    <t>Itajaí/SC</t>
  </si>
  <si>
    <t>Itapema/SC</t>
  </si>
  <si>
    <t>Itapiranga/SC</t>
  </si>
  <si>
    <t>Itapoá/SC</t>
  </si>
  <si>
    <t>Ituporanga/SC</t>
  </si>
  <si>
    <t>Jaborá/SC</t>
  </si>
  <si>
    <t>Jacinto Machado/SC</t>
  </si>
  <si>
    <t>Jaguaruna/SC</t>
  </si>
  <si>
    <t>Jaraguá do Sul/SC</t>
  </si>
  <si>
    <t>Jardinópolis/SC</t>
  </si>
  <si>
    <t>Joaçaba/SC</t>
  </si>
  <si>
    <t>Joinville/SC</t>
  </si>
  <si>
    <t>José Boiteux/SC</t>
  </si>
  <si>
    <t>Jupiá/SC</t>
  </si>
  <si>
    <t>Lacerdópolis/SC</t>
  </si>
  <si>
    <t>Lages/SC</t>
  </si>
  <si>
    <t>Laguna/SC</t>
  </si>
  <si>
    <t>Lajeado Grande/SC</t>
  </si>
  <si>
    <t>Laurentino/SC</t>
  </si>
  <si>
    <t>Lauro Muller/SC</t>
  </si>
  <si>
    <t>Lebon Régis/SC</t>
  </si>
  <si>
    <t>Leoberto Leal/SC</t>
  </si>
  <si>
    <t>Lindóia do Sul/SC</t>
  </si>
  <si>
    <t>Lontras/SC</t>
  </si>
  <si>
    <t>Luiz Alves/SC</t>
  </si>
  <si>
    <t>Luzerna/SC</t>
  </si>
  <si>
    <t>Macieira/SC</t>
  </si>
  <si>
    <t>Mafra/SC</t>
  </si>
  <si>
    <t>Major Gercino/SC</t>
  </si>
  <si>
    <t>Major Vieira/SC</t>
  </si>
  <si>
    <t>Maracajá/SC</t>
  </si>
  <si>
    <t>Maravilha/SC</t>
  </si>
  <si>
    <t>Marema/SC</t>
  </si>
  <si>
    <t>Massaranduba/SC</t>
  </si>
  <si>
    <t>Matos Costa/SC</t>
  </si>
  <si>
    <t>Meleiro/SC</t>
  </si>
  <si>
    <t>Mirim Doce/SC</t>
  </si>
  <si>
    <t>Modelo/SC</t>
  </si>
  <si>
    <t>Mondaí/SC</t>
  </si>
  <si>
    <t>Monte Carlo/SC</t>
  </si>
  <si>
    <t>Monte Castelo/SC</t>
  </si>
  <si>
    <t>Morro da Fumaça/SC</t>
  </si>
  <si>
    <t>Morro Grande/SC</t>
  </si>
  <si>
    <t>Navegantes/SC</t>
  </si>
  <si>
    <t>Nova Erechim/SC</t>
  </si>
  <si>
    <t>Nova Itaberaba/SC</t>
  </si>
  <si>
    <t>Nova Trento/SC</t>
  </si>
  <si>
    <t>Nova Veneza/SC</t>
  </si>
  <si>
    <t>Novo Horizonte/SC</t>
  </si>
  <si>
    <t>Orleans/SC</t>
  </si>
  <si>
    <t>Otacílio Costa/SC</t>
  </si>
  <si>
    <t>Ouro/SC</t>
  </si>
  <si>
    <t>Ouro Verde/SC</t>
  </si>
  <si>
    <t>Paial/SC</t>
  </si>
  <si>
    <t>Painel/SC</t>
  </si>
  <si>
    <t>Palhoça/SC</t>
  </si>
  <si>
    <t>Palma Sola/SC</t>
  </si>
  <si>
    <t>Palmeira/SC</t>
  </si>
  <si>
    <t>Palmitos/SC</t>
  </si>
  <si>
    <t>Papanduva/SC</t>
  </si>
  <si>
    <t>Paraíso/SC</t>
  </si>
  <si>
    <t>Passo de Torres/SC</t>
  </si>
  <si>
    <t>Passos Maia/SC</t>
  </si>
  <si>
    <t>Paulo Lopes/SC</t>
  </si>
  <si>
    <t>Pedras Grandes/SC</t>
  </si>
  <si>
    <t>Penha/SC</t>
  </si>
  <si>
    <t>Peritiba/SC</t>
  </si>
  <si>
    <t>Pescaria Brava/SC</t>
  </si>
  <si>
    <t>Petrolândia/SC</t>
  </si>
  <si>
    <t>Piçarras/SC</t>
  </si>
  <si>
    <t>Pinhalzinho/SC</t>
  </si>
  <si>
    <t>Pinheiro Preto/SC</t>
  </si>
  <si>
    <t>Piratuba/SC</t>
  </si>
  <si>
    <t>Planalto Alegre/SC</t>
  </si>
  <si>
    <t>Pomerode/SC</t>
  </si>
  <si>
    <t>Ponte Alta/SC</t>
  </si>
  <si>
    <t>Ponte Alta do Norte/SC</t>
  </si>
  <si>
    <t>Ponte Serrada/SC</t>
  </si>
  <si>
    <t>Porto Belo/SC</t>
  </si>
  <si>
    <t>Porto União/SC</t>
  </si>
  <si>
    <t>Pouso Redondo/SC</t>
  </si>
  <si>
    <t>Praia Grande/SC</t>
  </si>
  <si>
    <t>Presidente Castelo Branco/SC</t>
  </si>
  <si>
    <t>Presidente Getúlio/SC</t>
  </si>
  <si>
    <t>Presidente Nereu/SC</t>
  </si>
  <si>
    <t>Princesa/SC</t>
  </si>
  <si>
    <t>Quilombo/SC</t>
  </si>
  <si>
    <t>Rancho Queimado/SC</t>
  </si>
  <si>
    <t>Rio Das Antas/SC</t>
  </si>
  <si>
    <t>Rio do Campo/SC</t>
  </si>
  <si>
    <t>Rio do Oeste/SC</t>
  </si>
  <si>
    <t>Rio Dos Cedros/SC</t>
  </si>
  <si>
    <t>Rio do Sul/SC</t>
  </si>
  <si>
    <t>Rio Fortuna/SC</t>
  </si>
  <si>
    <t>Rio Negrinho/SC</t>
  </si>
  <si>
    <t>Rio Rufino/SC</t>
  </si>
  <si>
    <t>Riqueza/SC</t>
  </si>
  <si>
    <t>Rodeio/SC</t>
  </si>
  <si>
    <t>Romelândia/SC</t>
  </si>
  <si>
    <t>Salete/SC</t>
  </si>
  <si>
    <t>Saltinho/SC</t>
  </si>
  <si>
    <t>Salto Veloso/SC</t>
  </si>
  <si>
    <t>Sangão/SC</t>
  </si>
  <si>
    <t>Santa Cecília/SC</t>
  </si>
  <si>
    <t>Santa Helena/SC</t>
  </si>
  <si>
    <t>Santa Rosa de Lima/SC</t>
  </si>
  <si>
    <t>Santa Rosa do Sul/SC</t>
  </si>
  <si>
    <t>Santa Terezinha/SC</t>
  </si>
  <si>
    <t>Santa Terezinha do Progresso/SC</t>
  </si>
  <si>
    <t>Santiago do Sul/SC</t>
  </si>
  <si>
    <t>Santo Amaro da Imperatriz/SC</t>
  </si>
  <si>
    <t>São Bernardino/SC</t>
  </si>
  <si>
    <t>São Bento do Sul/SC</t>
  </si>
  <si>
    <t>São Bonifácio/SC</t>
  </si>
  <si>
    <t>São Carlos/SC</t>
  </si>
  <si>
    <t>São Cristovão do Sul/SC</t>
  </si>
  <si>
    <t>São Domingos/SC</t>
  </si>
  <si>
    <t>São Francisco do Sul/SC</t>
  </si>
  <si>
    <t>São João do Oeste/SC</t>
  </si>
  <si>
    <t>São João Batista/SC</t>
  </si>
  <si>
    <t>São João do Itaperiú/SC</t>
  </si>
  <si>
    <t>São João do Sul/SC</t>
  </si>
  <si>
    <t>São Joaquim/SC</t>
  </si>
  <si>
    <t>São José/SC</t>
  </si>
  <si>
    <t>São José do Cedro/SC</t>
  </si>
  <si>
    <t>São José do Cerrito/SC</t>
  </si>
  <si>
    <t>São Lourenço do Oeste/SC</t>
  </si>
  <si>
    <t>São Ludgero/SC</t>
  </si>
  <si>
    <t>São Martinho/SC</t>
  </si>
  <si>
    <t>São Miguel da Boa Vista/SC</t>
  </si>
  <si>
    <t>São Miguel do Oeste/SC</t>
  </si>
  <si>
    <t>São Pedro de Alcântara/SC</t>
  </si>
  <si>
    <t>Saudades/SC</t>
  </si>
  <si>
    <t>Schroeder/SC</t>
  </si>
  <si>
    <t>Seara/SC</t>
  </si>
  <si>
    <t>Serra Alta/SC</t>
  </si>
  <si>
    <t>Siderópolis/SC</t>
  </si>
  <si>
    <t>Sombrio/SC</t>
  </si>
  <si>
    <t>Sul Brasil/SC</t>
  </si>
  <si>
    <t>Taió/SC</t>
  </si>
  <si>
    <t>Tangará/SC</t>
  </si>
  <si>
    <t>Tigrinhos/SC</t>
  </si>
  <si>
    <t>Tijucas/SC</t>
  </si>
  <si>
    <t>Timbé do Sul/SC</t>
  </si>
  <si>
    <t>Timbó/SC</t>
  </si>
  <si>
    <t>Timbó Grande/SC</t>
  </si>
  <si>
    <t>Três Barras/SC</t>
  </si>
  <si>
    <t>Treviso/SC</t>
  </si>
  <si>
    <t>Treze de Maio/SC</t>
  </si>
  <si>
    <t>Treze Tílias/SC</t>
  </si>
  <si>
    <t>Trombudo Central/SC</t>
  </si>
  <si>
    <t>Tubarão/SC</t>
  </si>
  <si>
    <t>Tunápolis/SC</t>
  </si>
  <si>
    <t>Turvo/SC</t>
  </si>
  <si>
    <t>União do Oeste/SC</t>
  </si>
  <si>
    <t>Urubici/SC</t>
  </si>
  <si>
    <t>Urupema/SC</t>
  </si>
  <si>
    <t>Urussanga/SC</t>
  </si>
  <si>
    <t>Vargeão/SC</t>
  </si>
  <si>
    <t>Vargem/SC</t>
  </si>
  <si>
    <t>Vargem Bonita/SC</t>
  </si>
  <si>
    <t>Vidal Ramos/SC</t>
  </si>
  <si>
    <t>Videira/SC</t>
  </si>
  <si>
    <t>Vitor Meireles/SC</t>
  </si>
  <si>
    <t>Witmarsum/SC</t>
  </si>
  <si>
    <t>Xanxerê/SC</t>
  </si>
  <si>
    <t>Xavantina/SC</t>
  </si>
  <si>
    <t>Xaxim/SC</t>
  </si>
  <si>
    <t>Zortéa/SC</t>
  </si>
  <si>
    <t>Balneário Rincão/SC</t>
  </si>
  <si>
    <t>Aceguá/RS</t>
  </si>
  <si>
    <t>Água Santa/RS</t>
  </si>
  <si>
    <t>Agudo/RS</t>
  </si>
  <si>
    <t>Ajuricaba/RS</t>
  </si>
  <si>
    <t>Alecrim/RS</t>
  </si>
  <si>
    <t>Alegrete/RS</t>
  </si>
  <si>
    <t>Alegria/RS</t>
  </si>
  <si>
    <t>Almirante Tamandaré do Sul/RS</t>
  </si>
  <si>
    <t>Alpestre/RS</t>
  </si>
  <si>
    <t>Alto Alegre/RS</t>
  </si>
  <si>
    <t>Alto Feliz/RS</t>
  </si>
  <si>
    <t>Alvorada/RS</t>
  </si>
  <si>
    <t>Amaral Ferrador/RS</t>
  </si>
  <si>
    <t>Ametista do Sul/RS</t>
  </si>
  <si>
    <t>André da Rocha/RS</t>
  </si>
  <si>
    <t>Anta Gorda/RS</t>
  </si>
  <si>
    <t>Antônio Prado/RS</t>
  </si>
  <si>
    <t>Arambaré/RS</t>
  </si>
  <si>
    <t>Araricá/RS</t>
  </si>
  <si>
    <t>Aratiba/RS</t>
  </si>
  <si>
    <t>Arroio do Meio/RS</t>
  </si>
  <si>
    <t>Arroio do Sal/RS</t>
  </si>
  <si>
    <t>Arroio do Padre/RS</t>
  </si>
  <si>
    <t>Arroio Dos Ratos/RS</t>
  </si>
  <si>
    <t>Arroio do Tigre/RS</t>
  </si>
  <si>
    <t>Arroio Grande/RS</t>
  </si>
  <si>
    <t>Arvorezinha/RS</t>
  </si>
  <si>
    <t>Augusto Pestana/RS</t>
  </si>
  <si>
    <t>Áurea/RS</t>
  </si>
  <si>
    <t>Bagé/RS</t>
  </si>
  <si>
    <t>Balneário Pinhal/RS</t>
  </si>
  <si>
    <t>Barão/RS</t>
  </si>
  <si>
    <t>Barão de Cotegipe/RS</t>
  </si>
  <si>
    <t>Barão do Triunfo/RS</t>
  </si>
  <si>
    <t>Barracão/RS</t>
  </si>
  <si>
    <t>Barra do Guarita/RS</t>
  </si>
  <si>
    <t>Barra do Quaraí/RS</t>
  </si>
  <si>
    <t>Barra do Ribeiro/RS</t>
  </si>
  <si>
    <t>Barra do Rio Azul/RS</t>
  </si>
  <si>
    <t>Barra Funda/RS</t>
  </si>
  <si>
    <t>Barros Cassal/RS</t>
  </si>
  <si>
    <t>Benjamin Constant do Sul/RS</t>
  </si>
  <si>
    <t>Bento Gonçalves/RS</t>
  </si>
  <si>
    <t>Boa Vista Das Missões/RS</t>
  </si>
  <si>
    <t>Boa Vista do Buricá/RS</t>
  </si>
  <si>
    <t>Boa Vista do Cadeado/RS</t>
  </si>
  <si>
    <t>Boa Vista do Incra/RS</t>
  </si>
  <si>
    <t>Boa Vista do Sul/RS</t>
  </si>
  <si>
    <t>Bom Jesus/RS</t>
  </si>
  <si>
    <t>Bom Princípio/RS</t>
  </si>
  <si>
    <t>Bom Progresso/RS</t>
  </si>
  <si>
    <t>Bom Retiro do Sul/RS</t>
  </si>
  <si>
    <t>Boqueirão do Leão/RS</t>
  </si>
  <si>
    <t>Bossoroca/RS</t>
  </si>
  <si>
    <t>Bozano/RS</t>
  </si>
  <si>
    <t>Braga/RS</t>
  </si>
  <si>
    <t>Brochier/RS</t>
  </si>
  <si>
    <t>Butiá/RS</t>
  </si>
  <si>
    <t>Caçapava do Sul/RS</t>
  </si>
  <si>
    <t>Cacequi/RS</t>
  </si>
  <si>
    <t>Cachoeira do Sul/RS</t>
  </si>
  <si>
    <t>Cachoeirinha/RS</t>
  </si>
  <si>
    <t>Cacique Doble/RS</t>
  </si>
  <si>
    <t>Caibaté/RS</t>
  </si>
  <si>
    <t>Caiçara/RS</t>
  </si>
  <si>
    <t>Camaquã/RS</t>
  </si>
  <si>
    <t>Camargo/RS</t>
  </si>
  <si>
    <t>Cambará do Sul/RS</t>
  </si>
  <si>
    <t>Campestre da Serra/RS</t>
  </si>
  <si>
    <t>Campina Das Missões/RS</t>
  </si>
  <si>
    <t>Campinas do Sul/RS</t>
  </si>
  <si>
    <t>Campo Bom/RS</t>
  </si>
  <si>
    <t>Campo Novo/RS</t>
  </si>
  <si>
    <t>Campos Borges/RS</t>
  </si>
  <si>
    <t>Candelária/RS</t>
  </si>
  <si>
    <t>Cândido Godói/RS</t>
  </si>
  <si>
    <t>Candiota/RS</t>
  </si>
  <si>
    <t>Canela/RS</t>
  </si>
  <si>
    <t>Canguçu/RS</t>
  </si>
  <si>
    <t>Canoas/RS</t>
  </si>
  <si>
    <t>Canudos do Vale/RS</t>
  </si>
  <si>
    <t>Capão Bonito do Sul/RS</t>
  </si>
  <si>
    <t>Capão da Canoa/RS</t>
  </si>
  <si>
    <t>Capão do Cipó/RS</t>
  </si>
  <si>
    <t>Capão do Leão/RS</t>
  </si>
  <si>
    <t>Capivari do Sul/RS</t>
  </si>
  <si>
    <t>Capela de Santana/RS</t>
  </si>
  <si>
    <t>Capitão/RS</t>
  </si>
  <si>
    <t>Carazinho/RS</t>
  </si>
  <si>
    <t>Caraá/RS</t>
  </si>
  <si>
    <t>Carlos Barbosa/RS</t>
  </si>
  <si>
    <t>Carlos Gomes/RS</t>
  </si>
  <si>
    <t>Casca/RS</t>
  </si>
  <si>
    <t>Caseiros/RS</t>
  </si>
  <si>
    <t>Catuípe/RS</t>
  </si>
  <si>
    <t>Caxias do Sul/RS</t>
  </si>
  <si>
    <t>Centenário/RS</t>
  </si>
  <si>
    <t>Cerrito/RS</t>
  </si>
  <si>
    <t>Cerro Branco/RS</t>
  </si>
  <si>
    <t>Cerro Grande/RS</t>
  </si>
  <si>
    <t>Cerro Grande do Sul/RS</t>
  </si>
  <si>
    <t>Cerro Largo/RS</t>
  </si>
  <si>
    <t>Chapada/RS</t>
  </si>
  <si>
    <t>Charqueadas/RS</t>
  </si>
  <si>
    <t>Charrua/RS</t>
  </si>
  <si>
    <t>Chiapetta/RS</t>
  </si>
  <si>
    <t>Chuí/RS</t>
  </si>
  <si>
    <t>Chuvisca/RS</t>
  </si>
  <si>
    <t>Cidreira/RS</t>
  </si>
  <si>
    <t>Ciríaco/RS</t>
  </si>
  <si>
    <t>Colinas/RS</t>
  </si>
  <si>
    <t>Colorado/RS</t>
  </si>
  <si>
    <t>Condor/RS</t>
  </si>
  <si>
    <t>Constantina/RS</t>
  </si>
  <si>
    <t>Coqueiro Baixo/RS</t>
  </si>
  <si>
    <t>Coqueiros do Sul/RS</t>
  </si>
  <si>
    <t>Coronel Barros/RS</t>
  </si>
  <si>
    <t>Coronel Bicaco/RS</t>
  </si>
  <si>
    <t>Coronel Pilar/RS</t>
  </si>
  <si>
    <t>Cotiporã/RS</t>
  </si>
  <si>
    <t>Coxilha/RS</t>
  </si>
  <si>
    <t>Crissiumal/RS</t>
  </si>
  <si>
    <t>Cristal/RS</t>
  </si>
  <si>
    <t>Cristal do Sul/RS</t>
  </si>
  <si>
    <t>Cruz Alta/RS</t>
  </si>
  <si>
    <t>Cruzaltense/RS</t>
  </si>
  <si>
    <t>Cruzeiro do Sul/RS</t>
  </si>
  <si>
    <t>David Canabarro/RS</t>
  </si>
  <si>
    <t>Derrubadas/RS</t>
  </si>
  <si>
    <t>Dezesseis de Novembro/RS</t>
  </si>
  <si>
    <t>Dilermando de Aguiar/RS</t>
  </si>
  <si>
    <t>Dois Irmãos/RS</t>
  </si>
  <si>
    <t>Dois Irmãos Das Missões/RS</t>
  </si>
  <si>
    <t>Dois Lajeados/RS</t>
  </si>
  <si>
    <t>Dom Feliciano/RS</t>
  </si>
  <si>
    <t>Dom Pedro de Alcântara/RS</t>
  </si>
  <si>
    <t>Dom Pedrito/RS</t>
  </si>
  <si>
    <t>Dona Francisca/RS</t>
  </si>
  <si>
    <t>Doutor Maurício Cardoso/RS</t>
  </si>
  <si>
    <t>Doutor Ricardo/RS</t>
  </si>
  <si>
    <t>Eldorado do Sul/RS</t>
  </si>
  <si>
    <t>Encantado/RS</t>
  </si>
  <si>
    <t>Encruzilhada do Sul/RS</t>
  </si>
  <si>
    <t>Engenho Velho/RS</t>
  </si>
  <si>
    <t>Entre-ijuís/RS</t>
  </si>
  <si>
    <t>Entre Rios do Sul/RS</t>
  </si>
  <si>
    <t>Erebango/RS</t>
  </si>
  <si>
    <t>Erechim/RS</t>
  </si>
  <si>
    <t>Ernestina/RS</t>
  </si>
  <si>
    <t>Herval/RS</t>
  </si>
  <si>
    <t>Erval Grande/RS</t>
  </si>
  <si>
    <t>Erval Seco/RS</t>
  </si>
  <si>
    <t>Esmeralda/RS</t>
  </si>
  <si>
    <t>Esperança do Sul/RS</t>
  </si>
  <si>
    <t>Espumoso/RS</t>
  </si>
  <si>
    <t>Estação/RS</t>
  </si>
  <si>
    <t>Estância Velha/RS</t>
  </si>
  <si>
    <t>Esteio/RS</t>
  </si>
  <si>
    <t>Estrela/RS</t>
  </si>
  <si>
    <t>Estrela Velha/RS</t>
  </si>
  <si>
    <t>Eugênio de Castro/RS</t>
  </si>
  <si>
    <t>Fagundes Varela/RS</t>
  </si>
  <si>
    <t>Farroupilha/RS</t>
  </si>
  <si>
    <t>Faxinal do Soturno/RS</t>
  </si>
  <si>
    <t>Faxinalzinho/RS</t>
  </si>
  <si>
    <t>Fazenda Vilanova/RS</t>
  </si>
  <si>
    <t>Feliz/RS</t>
  </si>
  <si>
    <t>Flores da Cunha/RS</t>
  </si>
  <si>
    <t>Floriano Peixoto/RS</t>
  </si>
  <si>
    <t>Fontoura Xavier/RS</t>
  </si>
  <si>
    <t>Formigueiro/RS</t>
  </si>
  <si>
    <t>Forquetinha/RS</t>
  </si>
  <si>
    <t>Fortaleza Dos Valos/RS</t>
  </si>
  <si>
    <t>Frederico Westphalen/RS</t>
  </si>
  <si>
    <t>Garibaldi/RS</t>
  </si>
  <si>
    <t>Garruchos/RS</t>
  </si>
  <si>
    <t>Gaurama/RS</t>
  </si>
  <si>
    <t>General Câmara/RS</t>
  </si>
  <si>
    <t>Gentil/RS</t>
  </si>
  <si>
    <t>Getúlio Vargas/RS</t>
  </si>
  <si>
    <t>Giruá/RS</t>
  </si>
  <si>
    <t>Glorinha/RS</t>
  </si>
  <si>
    <t>Gramado/RS</t>
  </si>
  <si>
    <t>Gramado Dos Loureiros/RS</t>
  </si>
  <si>
    <t>Gramado Xavier/RS</t>
  </si>
  <si>
    <t>Gravataí/RS</t>
  </si>
  <si>
    <t>Guabiju/RS</t>
  </si>
  <si>
    <t>Guaíba/RS</t>
  </si>
  <si>
    <t>Guaporé/RS</t>
  </si>
  <si>
    <t>Guarani Das Missões/RS</t>
  </si>
  <si>
    <t>Harmonia/RS</t>
  </si>
  <si>
    <t>Herveiras/RS</t>
  </si>
  <si>
    <t>Horizontina/RS</t>
  </si>
  <si>
    <t>Hulha Negra/RS</t>
  </si>
  <si>
    <t>Humaitá/RS</t>
  </si>
  <si>
    <t>Ibarama/RS</t>
  </si>
  <si>
    <t>Ibiaçá/RS</t>
  </si>
  <si>
    <t>Ibiraiaras/RS</t>
  </si>
  <si>
    <t>Ibirapuitã/RS</t>
  </si>
  <si>
    <t>Ibirubá/RS</t>
  </si>
  <si>
    <t>Igrejinha/RS</t>
  </si>
  <si>
    <t>Ijuí/RS</t>
  </si>
  <si>
    <t>Ilópolis/RS</t>
  </si>
  <si>
    <t>Imbé/RS</t>
  </si>
  <si>
    <t>Imigrante/RS</t>
  </si>
  <si>
    <t>Independência/RS</t>
  </si>
  <si>
    <t>Inhacorá/RS</t>
  </si>
  <si>
    <t>Ipê/RS</t>
  </si>
  <si>
    <t>Ipiranga do Sul/RS</t>
  </si>
  <si>
    <t>Iraí/RS</t>
  </si>
  <si>
    <t>Itaara/RS</t>
  </si>
  <si>
    <t>Itacurubi/RS</t>
  </si>
  <si>
    <t>Itapuca/RS</t>
  </si>
  <si>
    <t>Itaqui/RS</t>
  </si>
  <si>
    <t>Itati/RS</t>
  </si>
  <si>
    <t>Itatiba do Sul/RS</t>
  </si>
  <si>
    <t>Ivorá/RS</t>
  </si>
  <si>
    <t>Ivoti/RS</t>
  </si>
  <si>
    <t>Jaboticaba/RS</t>
  </si>
  <si>
    <t>Jacuizinho/RS</t>
  </si>
  <si>
    <t>Jacutinga/RS</t>
  </si>
  <si>
    <t>Jaguarão/RS</t>
  </si>
  <si>
    <t>Jaguari/RS</t>
  </si>
  <si>
    <t>Jaquirana/RS</t>
  </si>
  <si>
    <t>Jari/RS</t>
  </si>
  <si>
    <t>Jóia/RS</t>
  </si>
  <si>
    <t>Júlio de Castilhos/RS</t>
  </si>
  <si>
    <t>Lagoa Bonita do Sul/RS</t>
  </si>
  <si>
    <t>Lagoão/RS</t>
  </si>
  <si>
    <t>Lagoa Dos Três Cantos/RS</t>
  </si>
  <si>
    <t>Lagoa Vermelha/RS</t>
  </si>
  <si>
    <t>Lajeado/RS</t>
  </si>
  <si>
    <t>Lajeado do Bugre/RS</t>
  </si>
  <si>
    <t>Lavras do Sul/RS</t>
  </si>
  <si>
    <t>Liberato Salzano/RS</t>
  </si>
  <si>
    <t>Lindolfo Collor/RS</t>
  </si>
  <si>
    <t>Linha Nova/RS</t>
  </si>
  <si>
    <t>Machadinho/RS</t>
  </si>
  <si>
    <t>Maçambara/RS</t>
  </si>
  <si>
    <t>Mampituba/RS</t>
  </si>
  <si>
    <t>Manoel Viana/RS</t>
  </si>
  <si>
    <t>Maquiné/RS</t>
  </si>
  <si>
    <t>Maratá/RS</t>
  </si>
  <si>
    <t>Marau/RS</t>
  </si>
  <si>
    <t>Marcelino Ramos/RS</t>
  </si>
  <si>
    <t>Mariana Pimentel/RS</t>
  </si>
  <si>
    <t>Mariano Moro/RS</t>
  </si>
  <si>
    <t>Marques de Souza/RS</t>
  </si>
  <si>
    <t>Mata/RS</t>
  </si>
  <si>
    <t>Mato Castelhano/RS</t>
  </si>
  <si>
    <t>Mato Leitão/RS</t>
  </si>
  <si>
    <t>Mato Queimado/RS</t>
  </si>
  <si>
    <t>Maximiliano de Almeida/RS</t>
  </si>
  <si>
    <t>Minas do Leão/RS</t>
  </si>
  <si>
    <t>Miraguaí/RS</t>
  </si>
  <si>
    <t>Montauri/RS</t>
  </si>
  <si>
    <t>Monte Alegre Dos Campos/RS</t>
  </si>
  <si>
    <t>Monte Belo do Sul/RS</t>
  </si>
  <si>
    <t>Montenegro/RS</t>
  </si>
  <si>
    <t>Mormaço/RS</t>
  </si>
  <si>
    <t>Morrinhos do Sul/RS</t>
  </si>
  <si>
    <t>Morro Redondo/RS</t>
  </si>
  <si>
    <t>Morro Reuter/RS</t>
  </si>
  <si>
    <t>Mostardas/RS</t>
  </si>
  <si>
    <t>Muçum/RS</t>
  </si>
  <si>
    <t>Muitos Capões/RS</t>
  </si>
  <si>
    <t>Muliterno/RS</t>
  </si>
  <si>
    <t>Não-me-toque/RS</t>
  </si>
  <si>
    <t>Nicolau Vergueiro/RS</t>
  </si>
  <si>
    <t>Nonoai/RS</t>
  </si>
  <si>
    <t>Nova Alvorada/RS</t>
  </si>
  <si>
    <t>Nova Araçá/RS</t>
  </si>
  <si>
    <t>Nova Bassano/RS</t>
  </si>
  <si>
    <t>Nova Boa Vista/RS</t>
  </si>
  <si>
    <t>Nova Bréscia/RS</t>
  </si>
  <si>
    <t>Nova Candelária/RS</t>
  </si>
  <si>
    <t>Nova Esperança do Sul/RS</t>
  </si>
  <si>
    <t>Nova Hartz/RS</t>
  </si>
  <si>
    <t>Nova Pádua/RS</t>
  </si>
  <si>
    <t>Nova Palma/RS</t>
  </si>
  <si>
    <t>Nova Petrópolis/RS</t>
  </si>
  <si>
    <t>Nova Prata/RS</t>
  </si>
  <si>
    <t>Nova Ramada/RS</t>
  </si>
  <si>
    <t>Nova Roma do Sul/RS</t>
  </si>
  <si>
    <t>Nova Santa Rita/RS</t>
  </si>
  <si>
    <t>Novo Cabrais/RS</t>
  </si>
  <si>
    <t>Novo Hamburgo/RS</t>
  </si>
  <si>
    <t>Novo Machado/RS</t>
  </si>
  <si>
    <t>Novo Tiradentes/RS</t>
  </si>
  <si>
    <t>Novo Xingu/RS</t>
  </si>
  <si>
    <t>Novo Barreiro/RS</t>
  </si>
  <si>
    <t>Osório/RS</t>
  </si>
  <si>
    <t>Paim Filho/RS</t>
  </si>
  <si>
    <t>Palmares do Sul/RS</t>
  </si>
  <si>
    <t>Palmeira Das Missões/RS</t>
  </si>
  <si>
    <t>Palmitinho/RS</t>
  </si>
  <si>
    <t>Panambi/RS</t>
  </si>
  <si>
    <t>Pantano Grande/RS</t>
  </si>
  <si>
    <t>Paraí/RS</t>
  </si>
  <si>
    <t>Paraíso do Sul/RS</t>
  </si>
  <si>
    <t>Pareci Novo/RS</t>
  </si>
  <si>
    <t>Parobé/RS</t>
  </si>
  <si>
    <t>Passa Sete/RS</t>
  </si>
  <si>
    <t>Passo do Sobrado/RS</t>
  </si>
  <si>
    <t>Passo Fundo/RS</t>
  </si>
  <si>
    <t>Paulo Bento/RS</t>
  </si>
  <si>
    <t>Paverama/RS</t>
  </si>
  <si>
    <t>Pedras Altas/RS</t>
  </si>
  <si>
    <t>Pedro Osório/RS</t>
  </si>
  <si>
    <t>Pejuçara/RS</t>
  </si>
  <si>
    <t>Pelotas/RS</t>
  </si>
  <si>
    <t>Picada Café/RS</t>
  </si>
  <si>
    <t>Pinhal/RS</t>
  </si>
  <si>
    <t>Pinhal da Serra/RS</t>
  </si>
  <si>
    <t>Pinhal Grande/RS</t>
  </si>
  <si>
    <t>Pinheirinho do Vale/RS</t>
  </si>
  <si>
    <t>Pinheiro Machado/RS</t>
  </si>
  <si>
    <t>Pinto Bandeira/RS</t>
  </si>
  <si>
    <t>Pirapó/RS</t>
  </si>
  <si>
    <t>Piratini/RS</t>
  </si>
  <si>
    <t>Planalto/RS</t>
  </si>
  <si>
    <t>Poço Das Antas/RS</t>
  </si>
  <si>
    <t>Pontão/RS</t>
  </si>
  <si>
    <t>Ponte Preta/RS</t>
  </si>
  <si>
    <t>Portão/RS</t>
  </si>
  <si>
    <t>Porto Alegre/RS</t>
  </si>
  <si>
    <t>Porto Lucena/RS</t>
  </si>
  <si>
    <t>Porto Mauá/RS</t>
  </si>
  <si>
    <t>Porto Vera Cruz/RS</t>
  </si>
  <si>
    <t>Porto Xavier/RS</t>
  </si>
  <si>
    <t>Pouso Novo/RS</t>
  </si>
  <si>
    <t>Presidente Lucena/RS</t>
  </si>
  <si>
    <t>Progresso/RS</t>
  </si>
  <si>
    <t>Protásio Alves/RS</t>
  </si>
  <si>
    <t>Putinga/RS</t>
  </si>
  <si>
    <t>Quaraí/RS</t>
  </si>
  <si>
    <t>Quatro Irmãos/RS</t>
  </si>
  <si>
    <t>Quevedos/RS</t>
  </si>
  <si>
    <t>Quinze de Novembro/RS</t>
  </si>
  <si>
    <t>Redentora/RS</t>
  </si>
  <si>
    <t>Relvado/RS</t>
  </si>
  <si>
    <t>Restinga Seca/RS</t>
  </si>
  <si>
    <t>Rio Dos Índios/RS</t>
  </si>
  <si>
    <t>Rio Grande/RS</t>
  </si>
  <si>
    <t>Rio Pardo/RS</t>
  </si>
  <si>
    <t>Riozinho/RS</t>
  </si>
  <si>
    <t>Roca Sales/RS</t>
  </si>
  <si>
    <t>Rodeio Bonito/RS</t>
  </si>
  <si>
    <t>Rolador/RS</t>
  </si>
  <si>
    <t>Rolante/RS</t>
  </si>
  <si>
    <t>Ronda Alta/RS</t>
  </si>
  <si>
    <t>Rondinha/RS</t>
  </si>
  <si>
    <t>Roque Gonzales/RS</t>
  </si>
  <si>
    <t>Rosário do Sul/RS</t>
  </si>
  <si>
    <t>Sagrada Família/RS</t>
  </si>
  <si>
    <t>Saldanha Marinho/RS</t>
  </si>
  <si>
    <t>Salto do Jacuí/RS</t>
  </si>
  <si>
    <t>Salvador Das Missões/RS</t>
  </si>
  <si>
    <t>Salvador do Sul/RS</t>
  </si>
  <si>
    <t>Sananduva/RS</t>
  </si>
  <si>
    <t>Santa Bárbara do Sul/RS</t>
  </si>
  <si>
    <t>Santa Cecília do Sul/RS</t>
  </si>
  <si>
    <t>Santa Clara do Sul/RS</t>
  </si>
  <si>
    <t>Santa Cruz do Sul/RS</t>
  </si>
  <si>
    <t>Santa Maria/RS</t>
  </si>
  <si>
    <t>Santa Maria do Herval/RS</t>
  </si>
  <si>
    <t>Santa Margarida do Sul/RS</t>
  </si>
  <si>
    <t>Santana da Boa Vista/RS</t>
  </si>
  <si>
    <t>Santana do Livramento/RS</t>
  </si>
  <si>
    <t>Santa Rosa/RS</t>
  </si>
  <si>
    <t>Santa Tereza/RS</t>
  </si>
  <si>
    <t>Santa Vitória do Palmar/RS</t>
  </si>
  <si>
    <t>Santiago/RS</t>
  </si>
  <si>
    <t>Santo Ângelo/RS</t>
  </si>
  <si>
    <t>Santo Antônio do Palma/RS</t>
  </si>
  <si>
    <t>Santo Antônio da Patrulha/RS</t>
  </si>
  <si>
    <t>Santo Antônio Das Missões/RS</t>
  </si>
  <si>
    <t>Santo Antônio do Planalto/RS</t>
  </si>
  <si>
    <t>Santo Augusto/RS</t>
  </si>
  <si>
    <t>Santo Cristo/RS</t>
  </si>
  <si>
    <t>Santo Expedito do Sul/RS</t>
  </si>
  <si>
    <t>São Borja/RS</t>
  </si>
  <si>
    <t>São Domingos do Sul/RS</t>
  </si>
  <si>
    <t>São Francisco de Assis/RS</t>
  </si>
  <si>
    <t>São Francisco de Paula/RS</t>
  </si>
  <si>
    <t>São Gabriel/RS</t>
  </si>
  <si>
    <t>São Jerônimo/RS</t>
  </si>
  <si>
    <t>São João da Urtiga/RS</t>
  </si>
  <si>
    <t>São João do Polêsine/RS</t>
  </si>
  <si>
    <t>São Jorge/RS</t>
  </si>
  <si>
    <t>São José Das Missões/RS</t>
  </si>
  <si>
    <t>São José do Herval/RS</t>
  </si>
  <si>
    <t>São José do Hortêncio/RS</t>
  </si>
  <si>
    <t>São José do Inhacorá/RS</t>
  </si>
  <si>
    <t>São José do Norte/RS</t>
  </si>
  <si>
    <t>São José do Ouro/RS</t>
  </si>
  <si>
    <t>São José do Sul/RS</t>
  </si>
  <si>
    <t>São José Dos Ausentes/RS</t>
  </si>
  <si>
    <t>São Leopoldo/RS</t>
  </si>
  <si>
    <t>São Lourenço do Sul/RS</t>
  </si>
  <si>
    <t>São Luiz Gonzaga/RS</t>
  </si>
  <si>
    <t>São Marcos/RS</t>
  </si>
  <si>
    <t>São Martinho/RS</t>
  </si>
  <si>
    <t>São Martinho da Serra/RS</t>
  </si>
  <si>
    <t>São Miguel Das Missões/RS</t>
  </si>
  <si>
    <t>São Nicolau/RS</t>
  </si>
  <si>
    <t>São Paulo Das Missões/RS</t>
  </si>
  <si>
    <t>São Pedro da Serra/RS</t>
  </si>
  <si>
    <t>São Pedro Das Missões/RS</t>
  </si>
  <si>
    <t>São Pedro do Butiá/RS</t>
  </si>
  <si>
    <t>São Pedro do Sul/RS</t>
  </si>
  <si>
    <t>São Sebastião do Caí/RS</t>
  </si>
  <si>
    <t>São Sepé/RS</t>
  </si>
  <si>
    <t>São Valentim/RS</t>
  </si>
  <si>
    <t>São Valentim do Sul/RS</t>
  </si>
  <si>
    <t>São Valério do Sul/RS</t>
  </si>
  <si>
    <t>São Vendelino/RS</t>
  </si>
  <si>
    <t>São Vicente do Sul/RS</t>
  </si>
  <si>
    <t>Sapiranga/RS</t>
  </si>
  <si>
    <t>Sapucaia do Sul/RS</t>
  </si>
  <si>
    <t>Sarandi/RS</t>
  </si>
  <si>
    <t>Seberi/RS</t>
  </si>
  <si>
    <t>Sede Nova/RS</t>
  </si>
  <si>
    <t>Segredo/RS</t>
  </si>
  <si>
    <t>Selbach/RS</t>
  </si>
  <si>
    <t>Senador Salgado Filho/RS</t>
  </si>
  <si>
    <t>Sentinela do Sul/RS</t>
  </si>
  <si>
    <t>Serafina Corrêa/RS</t>
  </si>
  <si>
    <t>Sério/RS</t>
  </si>
  <si>
    <t>Sertão/RS</t>
  </si>
  <si>
    <t>Sertão Santana/RS</t>
  </si>
  <si>
    <t>Sete de Setembro/RS</t>
  </si>
  <si>
    <t>Severiano de Almeida/RS</t>
  </si>
  <si>
    <t>Silveira Martins/RS</t>
  </si>
  <si>
    <t>Sinimbu/RS</t>
  </si>
  <si>
    <t>Sobradinho/RS</t>
  </si>
  <si>
    <t>Soledade/RS</t>
  </si>
  <si>
    <t>Tabaí/RS</t>
  </si>
  <si>
    <t>Tapejara/RS</t>
  </si>
  <si>
    <t>Tapera/RS</t>
  </si>
  <si>
    <t>Tapes/RS</t>
  </si>
  <si>
    <t>Taquara/RS</t>
  </si>
  <si>
    <t>Taquari/RS</t>
  </si>
  <si>
    <t>Taquaruçu do Sul/RS</t>
  </si>
  <si>
    <t>Tavares/RS</t>
  </si>
  <si>
    <t>Tenente Portela/RS</t>
  </si>
  <si>
    <t>Terra de Areia/RS</t>
  </si>
  <si>
    <t>Teutônia/RS</t>
  </si>
  <si>
    <t>Tio Hugo/RS</t>
  </si>
  <si>
    <t>Tiradentes do Sul/RS</t>
  </si>
  <si>
    <t>Toropi/RS</t>
  </si>
  <si>
    <t>Torres/RS</t>
  </si>
  <si>
    <t>Tramandaí/RS</t>
  </si>
  <si>
    <t>Travesseiro/RS</t>
  </si>
  <si>
    <t>Três Arroios/RS</t>
  </si>
  <si>
    <t>Três Cachoeiras/RS</t>
  </si>
  <si>
    <t>Três Coroas/RS</t>
  </si>
  <si>
    <t>Três de Maio/RS</t>
  </si>
  <si>
    <t>Três Forquilhas/RS</t>
  </si>
  <si>
    <t>Três Palmeiras/RS</t>
  </si>
  <si>
    <t>Três Passos/RS</t>
  </si>
  <si>
    <t>Trindade do Sul/RS</t>
  </si>
  <si>
    <t>Triunfo/RS</t>
  </si>
  <si>
    <t>Tucunduva/RS</t>
  </si>
  <si>
    <t>Tunas/RS</t>
  </si>
  <si>
    <t>Tupanci do Sul/RS</t>
  </si>
  <si>
    <t>Tupanciretã/RS</t>
  </si>
  <si>
    <t>Tupandi/RS</t>
  </si>
  <si>
    <t>Tuparendi/RS</t>
  </si>
  <si>
    <t>Turuçu/RS</t>
  </si>
  <si>
    <t>Ubiretama/RS</t>
  </si>
  <si>
    <t>União da Serra/RS</t>
  </si>
  <si>
    <t>Unistalda/RS</t>
  </si>
  <si>
    <t>Uruguaiana/RS</t>
  </si>
  <si>
    <t>Vacaria/RS</t>
  </si>
  <si>
    <t>Vale Verde/RS</t>
  </si>
  <si>
    <t>Vale do Sol/RS</t>
  </si>
  <si>
    <t>Vale Real/RS</t>
  </si>
  <si>
    <t>Vanini/RS</t>
  </si>
  <si>
    <t>Venâncio Aires/RS</t>
  </si>
  <si>
    <t>Vera Cruz/RS</t>
  </si>
  <si>
    <t>Veranópolis/RS</t>
  </si>
  <si>
    <t>Vespasiano Correa/RS</t>
  </si>
  <si>
    <t>Viadutos/RS</t>
  </si>
  <si>
    <t>Viamão/RS</t>
  </si>
  <si>
    <t>Vicente Dutra/RS</t>
  </si>
  <si>
    <t>Victor Graeff/RS</t>
  </si>
  <si>
    <t>Vila Flores/RS</t>
  </si>
  <si>
    <t>Vila Lângaro/RS</t>
  </si>
  <si>
    <t>Vila Maria/RS</t>
  </si>
  <si>
    <t>Vila Nova do Sul/RS</t>
  </si>
  <si>
    <t>Vista Alegre/RS</t>
  </si>
  <si>
    <t>Vista Alegre do Prata/RS</t>
  </si>
  <si>
    <t>Vista Gaúcha/RS</t>
  </si>
  <si>
    <t>Vitória Das Missões/RS</t>
  </si>
  <si>
    <t>Westfalia/RS</t>
  </si>
  <si>
    <t>Xangri-lá/RS</t>
  </si>
  <si>
    <t>Água Clara/MS</t>
  </si>
  <si>
    <t>Alcinópolis/MS</t>
  </si>
  <si>
    <t>Amambaí/MS</t>
  </si>
  <si>
    <t>Anastácio/MS</t>
  </si>
  <si>
    <t>Anaurilândia/MS</t>
  </si>
  <si>
    <t>Angélica/MS</t>
  </si>
  <si>
    <t>Antônio João/MS</t>
  </si>
  <si>
    <t>Aparecida do Taboado/MS</t>
  </si>
  <si>
    <t>Aquidauana/MS</t>
  </si>
  <si>
    <t>Aral Moreira/MS</t>
  </si>
  <si>
    <t>Bandeirantes/MS</t>
  </si>
  <si>
    <t>Bataguassu/MS</t>
  </si>
  <si>
    <t>Batayporã/MS</t>
  </si>
  <si>
    <t>Bela Vista/MS</t>
  </si>
  <si>
    <t>Bodoquena/MS</t>
  </si>
  <si>
    <t>Bonito/MS</t>
  </si>
  <si>
    <t>Brasilândia/MS</t>
  </si>
  <si>
    <t>Caarapó/MS</t>
  </si>
  <si>
    <t>Camapuã/MS</t>
  </si>
  <si>
    <t>Campo Grande/MS</t>
  </si>
  <si>
    <t>Caracol/MS</t>
  </si>
  <si>
    <t>Cassilândia/MS</t>
  </si>
  <si>
    <t>Chapadão do Sul/MS</t>
  </si>
  <si>
    <t>Corguinho/MS</t>
  </si>
  <si>
    <t>Coronel Sapucaia/MS</t>
  </si>
  <si>
    <t>Corumbá/MS</t>
  </si>
  <si>
    <t>Costa Rica/MS</t>
  </si>
  <si>
    <t>Coxim/MS</t>
  </si>
  <si>
    <t>Deodápolis/MS</t>
  </si>
  <si>
    <t>Dois Irmãos do Buriti/MS</t>
  </si>
  <si>
    <t>Douradina/MS</t>
  </si>
  <si>
    <t>Dourados/MS</t>
  </si>
  <si>
    <t>Eldorado/MS</t>
  </si>
  <si>
    <t>Fátima do Sul/MS</t>
  </si>
  <si>
    <t>Figueirão/MS</t>
  </si>
  <si>
    <t>Glória de Dourados/MS</t>
  </si>
  <si>
    <t>Guia Lopes da Laguna/MS</t>
  </si>
  <si>
    <t>Iguatemi/MS</t>
  </si>
  <si>
    <t>Inocência/MS</t>
  </si>
  <si>
    <t>Itaporã/MS</t>
  </si>
  <si>
    <t>Itaquiraí/MS</t>
  </si>
  <si>
    <t>Ivinhema/MS</t>
  </si>
  <si>
    <t>Japorã/MS</t>
  </si>
  <si>
    <t>Jaraguari/MS</t>
  </si>
  <si>
    <t>Jardim/MS</t>
  </si>
  <si>
    <t>Jateí/MS</t>
  </si>
  <si>
    <t>Juti/MS</t>
  </si>
  <si>
    <t>Ladário/MS</t>
  </si>
  <si>
    <t>Laguna Carapã/MS</t>
  </si>
  <si>
    <t>Maracaju/MS</t>
  </si>
  <si>
    <t>Miranda/MS</t>
  </si>
  <si>
    <t>Mundo Novo/MS</t>
  </si>
  <si>
    <t>Naviraí/MS</t>
  </si>
  <si>
    <t>Nioaque/MS</t>
  </si>
  <si>
    <t>Nova Alvorada do Sul/MS</t>
  </si>
  <si>
    <t>Nova Andradina/MS</t>
  </si>
  <si>
    <t>Novo Horizonte do Sul/MS</t>
  </si>
  <si>
    <t>Paraíso das Águas/MS</t>
  </si>
  <si>
    <t>Paranaíba/MS</t>
  </si>
  <si>
    <t>Paranhos/MS</t>
  </si>
  <si>
    <t>Pedro Gomes/MS</t>
  </si>
  <si>
    <t>Ponta Porã/MS</t>
  </si>
  <si>
    <t>Porto Murtinho/MS</t>
  </si>
  <si>
    <t>Ribas do Rio Pardo/MS</t>
  </si>
  <si>
    <t>Rio Brilhante/MS</t>
  </si>
  <si>
    <t>Rio Negro/MS</t>
  </si>
  <si>
    <t>Rio Verde de Mato Grosso/MS</t>
  </si>
  <si>
    <t>Rochedo/MS</t>
  </si>
  <si>
    <t>Santa Rita do Pardo/MS</t>
  </si>
  <si>
    <t>São Gabriel do Oeste/MS</t>
  </si>
  <si>
    <t>Sete Quedas/MS</t>
  </si>
  <si>
    <t>Selvíria/MS</t>
  </si>
  <si>
    <t>Sidrolândia/MS</t>
  </si>
  <si>
    <t>Sonora/MS</t>
  </si>
  <si>
    <t>Tacuru/MS</t>
  </si>
  <si>
    <t>Taquarussu/MS</t>
  </si>
  <si>
    <t>Terenos/MS</t>
  </si>
  <si>
    <t>Três Lagoas/MS</t>
  </si>
  <si>
    <t>Vicentina/MS</t>
  </si>
  <si>
    <t>Acorizal/MT</t>
  </si>
  <si>
    <t>Água Boa/MT</t>
  </si>
  <si>
    <t>Alta Floresta/MT</t>
  </si>
  <si>
    <t>Alto Araguaia/MT</t>
  </si>
  <si>
    <t>Alto Boa Vista/MT</t>
  </si>
  <si>
    <t>Alto Garças/MT</t>
  </si>
  <si>
    <t>Alto Paraguai/MT</t>
  </si>
  <si>
    <t>Alto Taquari/MT</t>
  </si>
  <si>
    <t>Apiacás/MT</t>
  </si>
  <si>
    <t>Araguaiana/MT</t>
  </si>
  <si>
    <t>Araguainha/MT</t>
  </si>
  <si>
    <t>Araputanga/MT</t>
  </si>
  <si>
    <t>Arenápolis/MT</t>
  </si>
  <si>
    <t>Aripuanã/MT</t>
  </si>
  <si>
    <t>Barão de Melgaço/MT</t>
  </si>
  <si>
    <t>Barra do Bugres/MT</t>
  </si>
  <si>
    <t>Barra do Garças/MT</t>
  </si>
  <si>
    <t>Bom Jesus do Araguaia/MT</t>
  </si>
  <si>
    <t>Brasnorte/MT</t>
  </si>
  <si>
    <t>Cáceres/MT</t>
  </si>
  <si>
    <t>Campinápolis/MT</t>
  </si>
  <si>
    <t>Campo Novo do Parecis/MT</t>
  </si>
  <si>
    <t>Campo Verde/MT</t>
  </si>
  <si>
    <t>Campos de Júlio/MT</t>
  </si>
  <si>
    <t>Canabrava do Norte/MT</t>
  </si>
  <si>
    <t>Canarana/MT</t>
  </si>
  <si>
    <t>Carlinda/MT</t>
  </si>
  <si>
    <t>Castanheira/MT</t>
  </si>
  <si>
    <t>Chapada Dos Guimarães/MT</t>
  </si>
  <si>
    <t>Cláudia/MT</t>
  </si>
  <si>
    <t>Cocalinho/MT</t>
  </si>
  <si>
    <t>Colíder/MT</t>
  </si>
  <si>
    <t>Colniza/MT</t>
  </si>
  <si>
    <t>Comodoro/MT</t>
  </si>
  <si>
    <t>Confresa/MT</t>
  </si>
  <si>
    <t>Conquista D´oeste/MT</t>
  </si>
  <si>
    <t>Cotriguaçu/MT</t>
  </si>
  <si>
    <t>Cuiabá/MT</t>
  </si>
  <si>
    <t>Curvelândia/MT</t>
  </si>
  <si>
    <t>Denise/MT</t>
  </si>
  <si>
    <t>Diamantino/MT</t>
  </si>
  <si>
    <t>Dom Aquino/MT</t>
  </si>
  <si>
    <t>Feliz Natal/MT</t>
  </si>
  <si>
    <t>Figueirópolis D´oeste/MT</t>
  </si>
  <si>
    <t>Gaúcha do Norte/MT</t>
  </si>
  <si>
    <t>General Carneiro/MT</t>
  </si>
  <si>
    <t>Glória D´oeste/MT</t>
  </si>
  <si>
    <t>Guarantã do Norte/MT</t>
  </si>
  <si>
    <t>Guiratinga/MT</t>
  </si>
  <si>
    <t>Indiavaí/MT</t>
  </si>
  <si>
    <t>Ipiranga do Norte/MT</t>
  </si>
  <si>
    <t>Itanhangá/MT</t>
  </si>
  <si>
    <t>Itaúba/MT</t>
  </si>
  <si>
    <t>Itiquira/MT</t>
  </si>
  <si>
    <t>Jaciara/MT</t>
  </si>
  <si>
    <t>Jangada/MT</t>
  </si>
  <si>
    <t>Jauru/MT</t>
  </si>
  <si>
    <t>Juara/MT</t>
  </si>
  <si>
    <t>Juína/MT</t>
  </si>
  <si>
    <t>Juruena/MT</t>
  </si>
  <si>
    <t>Juscimeira/MT</t>
  </si>
  <si>
    <t>Lambari D´oeste/MT</t>
  </si>
  <si>
    <t>Lucas do Rio Verde/MT</t>
  </si>
  <si>
    <t>Luciára/MT</t>
  </si>
  <si>
    <t>Vila Bela da Santíssima Trindade/MT</t>
  </si>
  <si>
    <t>Marcelândia/MT</t>
  </si>
  <si>
    <t>Matupá/MT</t>
  </si>
  <si>
    <t>Mirassol D´oeste/MT</t>
  </si>
  <si>
    <t>Nobres/MT</t>
  </si>
  <si>
    <t>Nortelândia/MT</t>
  </si>
  <si>
    <t>Nossa Senhora do Livramento/MT</t>
  </si>
  <si>
    <t>Nova Bandeirantes/MT</t>
  </si>
  <si>
    <t>Nova Nazaré/MT</t>
  </si>
  <si>
    <t>Nova Lacerda/MT</t>
  </si>
  <si>
    <t>Nova Santa Helena/MT</t>
  </si>
  <si>
    <t>Nova Brasilândia/MT</t>
  </si>
  <si>
    <t>Nova Canaã do Norte/MT</t>
  </si>
  <si>
    <t>Nova Mutum/MT</t>
  </si>
  <si>
    <t>Nova Olímpia/MT</t>
  </si>
  <si>
    <t>Nova Ubiratã/MT</t>
  </si>
  <si>
    <t>Nova Xavantina/MT</t>
  </si>
  <si>
    <t>Novo Mundo/MT</t>
  </si>
  <si>
    <t>Novo Horizonte do Norte/MT</t>
  </si>
  <si>
    <t>Novo São Joaquim/MT</t>
  </si>
  <si>
    <t>Paranaíta/MT</t>
  </si>
  <si>
    <t>Paranatinga/MT</t>
  </si>
  <si>
    <t>Novo Santo Antônio/MT</t>
  </si>
  <si>
    <t>Pedra Preta/MT</t>
  </si>
  <si>
    <t>Peixoto de Azevedo/MT</t>
  </si>
  <si>
    <t>Planalto da Serra/MT</t>
  </si>
  <si>
    <t>Poconé/MT</t>
  </si>
  <si>
    <t>Pontal do Araguaia/MT</t>
  </si>
  <si>
    <t>Ponte Branca/MT</t>
  </si>
  <si>
    <t>Pontes e Lacerda/MT</t>
  </si>
  <si>
    <t>Porto Alegre do Norte/MT</t>
  </si>
  <si>
    <t>Porto Dos Gaúchos/MT</t>
  </si>
  <si>
    <t>Porto Esperidião/MT</t>
  </si>
  <si>
    <t>Porto Estrela/MT</t>
  </si>
  <si>
    <t>Poxoréo/MT</t>
  </si>
  <si>
    <t>Primavera do Leste/MT</t>
  </si>
  <si>
    <t>Querência/MT</t>
  </si>
  <si>
    <t>São José Dos Quatro Marcos/MT</t>
  </si>
  <si>
    <t>Reserva do Cabaçal/MT</t>
  </si>
  <si>
    <t>Ribeirão Cascalheira/MT</t>
  </si>
  <si>
    <t>Ribeirãozinho/MT</t>
  </si>
  <si>
    <t>Rio Branco/MT</t>
  </si>
  <si>
    <t>Santa Carmem/MT</t>
  </si>
  <si>
    <t>Santo Afonso/MT</t>
  </si>
  <si>
    <t>São José do Povo/MT</t>
  </si>
  <si>
    <t>São José do Rio Claro/MT</t>
  </si>
  <si>
    <t>São José do Xingu/MT</t>
  </si>
  <si>
    <t>São Pedro da Cipa/MT</t>
  </si>
  <si>
    <t>Rondolândia/MT</t>
  </si>
  <si>
    <t>Rondonópolis/MT</t>
  </si>
  <si>
    <t>Rosário Oeste/MT</t>
  </si>
  <si>
    <t>Santa Cruz do Xingu/MT</t>
  </si>
  <si>
    <t>Salto do Céu/MT</t>
  </si>
  <si>
    <t>Santa Rita do Trivelato/MT</t>
  </si>
  <si>
    <t>Santa Terezinha/MT</t>
  </si>
  <si>
    <t>Santo Antônio do Leste/MT</t>
  </si>
  <si>
    <t>Santo Antônio do Leverger/MT</t>
  </si>
  <si>
    <t>São Félix do Araguaia/MT</t>
  </si>
  <si>
    <t>Sapezal/MT</t>
  </si>
  <si>
    <t>Serra Nova Dourada/MT</t>
  </si>
  <si>
    <t>Sinop/MT</t>
  </si>
  <si>
    <t>Sorriso/MT</t>
  </si>
  <si>
    <t>Tabaporã/MT</t>
  </si>
  <si>
    <t>Tangará da Serra/MT</t>
  </si>
  <si>
    <t>Tapurah/MT</t>
  </si>
  <si>
    <t>Terra Nova do Norte/MT</t>
  </si>
  <si>
    <t>Tesouro/MT</t>
  </si>
  <si>
    <t>Torixoréu/MT</t>
  </si>
  <si>
    <t>União do Sul/MT</t>
  </si>
  <si>
    <t>Vale de São Domingos/MT</t>
  </si>
  <si>
    <t>Várzea Grande/MT</t>
  </si>
  <si>
    <t>Vera/MT</t>
  </si>
  <si>
    <t>Vila Rica/MT</t>
  </si>
  <si>
    <t>Nova Guarita/MT</t>
  </si>
  <si>
    <t>Nova Marilândia/MT</t>
  </si>
  <si>
    <t>Nova Maringá/MT</t>
  </si>
  <si>
    <t>Nova Monte Verde/MT</t>
  </si>
  <si>
    <t>Abadia de Goiás/GO</t>
  </si>
  <si>
    <t>Abadiânia/GO</t>
  </si>
  <si>
    <t>Acreúna/GO</t>
  </si>
  <si>
    <t>Adelândia/GO</t>
  </si>
  <si>
    <t>Água Fria de Goiás/GO</t>
  </si>
  <si>
    <t>Água Limpa/GO</t>
  </si>
  <si>
    <t>Águas Lindas de Goiás/GO</t>
  </si>
  <si>
    <t>Alexânia/GO</t>
  </si>
  <si>
    <t>Aloândia/GO</t>
  </si>
  <si>
    <t>Alto Horizonte/GO</t>
  </si>
  <si>
    <t>Alto Paraíso de Goiás/GO</t>
  </si>
  <si>
    <t>Alvorada do Norte/GO</t>
  </si>
  <si>
    <t>Amaralina/GO</t>
  </si>
  <si>
    <t>Americano do Brasil/GO</t>
  </si>
  <si>
    <t>Amorinópolis/GO</t>
  </si>
  <si>
    <t>Anápolis/GO</t>
  </si>
  <si>
    <t>Anhanguera/GO</t>
  </si>
  <si>
    <t>Anicuns/GO</t>
  </si>
  <si>
    <t>Aparecida de Goiânia/GO</t>
  </si>
  <si>
    <t>Aparecida do Rio Doce/GO</t>
  </si>
  <si>
    <t>Aporé/GO</t>
  </si>
  <si>
    <t>Araçu/GO</t>
  </si>
  <si>
    <t>Aragarças/GO</t>
  </si>
  <si>
    <t>Aragoiânia/GO</t>
  </si>
  <si>
    <t>Araguapaz/GO</t>
  </si>
  <si>
    <t>Arenópolis/GO</t>
  </si>
  <si>
    <t>Aruanã/GO</t>
  </si>
  <si>
    <t>Aurilândia/GO</t>
  </si>
  <si>
    <t>Avelinópolis/GO</t>
  </si>
  <si>
    <t>Baliza/GO</t>
  </si>
  <si>
    <t>Barro Alto/GO</t>
  </si>
  <si>
    <t>Bela Vista de Goiás/GO</t>
  </si>
  <si>
    <t>Bom Jardim de Goiás/GO</t>
  </si>
  <si>
    <t>Bom Jesus de Goiás/GO</t>
  </si>
  <si>
    <t>Bonfinópolis/GO</t>
  </si>
  <si>
    <t>Bonópolis/GO</t>
  </si>
  <si>
    <t>Brazabrantes/GO</t>
  </si>
  <si>
    <t>Britânia/GO</t>
  </si>
  <si>
    <t>Buriti Alegre/GO</t>
  </si>
  <si>
    <t>Buriti de Goiás/GO</t>
  </si>
  <si>
    <t>Buritinópolis/GO</t>
  </si>
  <si>
    <t>Cabeceiras/GO</t>
  </si>
  <si>
    <t>Cachoeira Alta/GO</t>
  </si>
  <si>
    <t>Cachoeira de Goiás/GO</t>
  </si>
  <si>
    <t>Cachoeira Dourada/GO</t>
  </si>
  <si>
    <t>Caçu/GO</t>
  </si>
  <si>
    <t>Caiapônia/GO</t>
  </si>
  <si>
    <t>Caldas Novas/GO</t>
  </si>
  <si>
    <t>Caldazinha/GO</t>
  </si>
  <si>
    <t>Campestre de Goiás/GO</t>
  </si>
  <si>
    <t>Campinaçu/GO</t>
  </si>
  <si>
    <t>Campinorte/GO</t>
  </si>
  <si>
    <t>Campo Alegre de Goiás/GO</t>
  </si>
  <si>
    <t>Campo Limpo de Goiás/GO</t>
  </si>
  <si>
    <t>Campos Belos/GO</t>
  </si>
  <si>
    <t>Campos Verdes/GO</t>
  </si>
  <si>
    <t>Carmo do Rio Verde/GO</t>
  </si>
  <si>
    <t>Castelândia/GO</t>
  </si>
  <si>
    <t>Catalão/GO</t>
  </si>
  <si>
    <t>Caturaí/GO</t>
  </si>
  <si>
    <t>Cavalcante/GO</t>
  </si>
  <si>
    <t>Ceres/GO</t>
  </si>
  <si>
    <t>Cezarina/GO</t>
  </si>
  <si>
    <t>Chapadão do Céu/GO</t>
  </si>
  <si>
    <t>Cidade Ocidental/GO</t>
  </si>
  <si>
    <t>Cocalzinho de Goiás/GO</t>
  </si>
  <si>
    <t>Colinas do Sul/GO</t>
  </si>
  <si>
    <t>Córrego do Ouro/GO</t>
  </si>
  <si>
    <t>Corumbá de Goiás/GO</t>
  </si>
  <si>
    <t>Corumbaíba/GO</t>
  </si>
  <si>
    <t>Cristalina/GO</t>
  </si>
  <si>
    <t>Cristianópolis/GO</t>
  </si>
  <si>
    <t>Crixás/GO</t>
  </si>
  <si>
    <t>Cromínia/GO</t>
  </si>
  <si>
    <t>Cumari/GO</t>
  </si>
  <si>
    <t>Damianópolis/GO</t>
  </si>
  <si>
    <t>Damolândia/GO</t>
  </si>
  <si>
    <t>Davinópolis/GO</t>
  </si>
  <si>
    <t>Diorama/GO</t>
  </si>
  <si>
    <t>Doverlândia/GO</t>
  </si>
  <si>
    <t>Edealina/GO</t>
  </si>
  <si>
    <t>Edéia/GO</t>
  </si>
  <si>
    <t>Estrela do Norte/GO</t>
  </si>
  <si>
    <t>Faina/GO</t>
  </si>
  <si>
    <t>Fazenda Nova/GO</t>
  </si>
  <si>
    <t>Firminópolis/GO</t>
  </si>
  <si>
    <t>Flores de Goiás/GO</t>
  </si>
  <si>
    <t>Formosa/GO</t>
  </si>
  <si>
    <t>Formoso/GO</t>
  </si>
  <si>
    <t>Gameleira de Goiás/GO</t>
  </si>
  <si>
    <t>Divinópolis de Goiás/GO</t>
  </si>
  <si>
    <t>Goianápolis/GO</t>
  </si>
  <si>
    <t>Goiandira/GO</t>
  </si>
  <si>
    <t>Goianésia/GO</t>
  </si>
  <si>
    <t>Goiânia/GO</t>
  </si>
  <si>
    <t>Goianira/GO</t>
  </si>
  <si>
    <t>Goiás/GO</t>
  </si>
  <si>
    <t>Goiatuba/GO</t>
  </si>
  <si>
    <t>Gouvelândia/GO</t>
  </si>
  <si>
    <t>Guapó/GO</t>
  </si>
  <si>
    <t>Guaraíta/GO</t>
  </si>
  <si>
    <t>Guarani de Goiás/GO</t>
  </si>
  <si>
    <t>Guarinos/GO</t>
  </si>
  <si>
    <t>Heitoraí/GO</t>
  </si>
  <si>
    <t>Hidrolândia/GO</t>
  </si>
  <si>
    <t>Hidrolina/GO</t>
  </si>
  <si>
    <t>Iaciara/GO</t>
  </si>
  <si>
    <t>Inaciolândia/GO</t>
  </si>
  <si>
    <t>Indiara/GO</t>
  </si>
  <si>
    <t>Inhumas/GO</t>
  </si>
  <si>
    <t>Ipameri/GO</t>
  </si>
  <si>
    <t>Ipiranga de Goiás/GO</t>
  </si>
  <si>
    <t>Iporá/GO</t>
  </si>
  <si>
    <t>Israelândia/GO</t>
  </si>
  <si>
    <t>Itaberaí/GO</t>
  </si>
  <si>
    <t>Itaguari/GO</t>
  </si>
  <si>
    <t>Itaguaru/GO</t>
  </si>
  <si>
    <t>Itajá/GO</t>
  </si>
  <si>
    <t>Itapaci/GO</t>
  </si>
  <si>
    <t>Itapirapuã/GO</t>
  </si>
  <si>
    <t>Itapuranga/GO</t>
  </si>
  <si>
    <t>Itarumã/GO</t>
  </si>
  <si>
    <t>Itauçu/GO</t>
  </si>
  <si>
    <t>Itumbiara/GO</t>
  </si>
  <si>
    <t>Ivolândia/GO</t>
  </si>
  <si>
    <t>Jandaia/GO</t>
  </si>
  <si>
    <t>Jaraguá/GO</t>
  </si>
  <si>
    <t>Jataí/GO</t>
  </si>
  <si>
    <t>Jaupaci/GO</t>
  </si>
  <si>
    <t>Jesúpolis/GO</t>
  </si>
  <si>
    <t>Joviânia/GO</t>
  </si>
  <si>
    <t>Jussara/GO</t>
  </si>
  <si>
    <t>Lagoa Santa/GO</t>
  </si>
  <si>
    <t>Leopoldo de Bulhões/GO</t>
  </si>
  <si>
    <t>Luziânia/GO</t>
  </si>
  <si>
    <t>Mairipotaba/GO</t>
  </si>
  <si>
    <t>Mambaí/GO</t>
  </si>
  <si>
    <t>Mara Rosa/GO</t>
  </si>
  <si>
    <t>Marzagão/GO</t>
  </si>
  <si>
    <t>Matrinchã/GO</t>
  </si>
  <si>
    <t>Maurilândia/GO</t>
  </si>
  <si>
    <t>Mimoso de Goiás/GO</t>
  </si>
  <si>
    <t>Minaçu/GO</t>
  </si>
  <si>
    <t>Mineiros/GO</t>
  </si>
  <si>
    <t>Moiporá/GO</t>
  </si>
  <si>
    <t>Monte Alegre de Goiás/GO</t>
  </si>
  <si>
    <t>Montes Claros de Goiás/GO</t>
  </si>
  <si>
    <t>Montividiu/GO</t>
  </si>
  <si>
    <t>Montividiu do Norte/GO</t>
  </si>
  <si>
    <t>Morrinhos/GO</t>
  </si>
  <si>
    <t>Morro Agudo de Goiás/GO</t>
  </si>
  <si>
    <t>Mossâmedes/GO</t>
  </si>
  <si>
    <t>Mozarlândia/GO</t>
  </si>
  <si>
    <t>Mundo Novo/GO</t>
  </si>
  <si>
    <t>Mutunópolis/GO</t>
  </si>
  <si>
    <t>Nazário/GO</t>
  </si>
  <si>
    <t>Nerópolis/GO</t>
  </si>
  <si>
    <t>Niquelândia/GO</t>
  </si>
  <si>
    <t>Nova América/GO</t>
  </si>
  <si>
    <t>Nova Aurora/GO</t>
  </si>
  <si>
    <t>Nova Crixás/GO</t>
  </si>
  <si>
    <t>Nova Glória/GO</t>
  </si>
  <si>
    <t>Nova Iguaçu de Goiás/GO</t>
  </si>
  <si>
    <t>Nova Roma/GO</t>
  </si>
  <si>
    <t>Nova Veneza/GO</t>
  </si>
  <si>
    <t>Novo Brasil/GO</t>
  </si>
  <si>
    <t>Novo Gama/GO</t>
  </si>
  <si>
    <t>Novo Planalto/GO</t>
  </si>
  <si>
    <t>Orizona/GO</t>
  </si>
  <si>
    <t>Ouro Verde de Goiás/GO</t>
  </si>
  <si>
    <t>Ouvidor/GO</t>
  </si>
  <si>
    <t>Padre Bernardo/GO</t>
  </si>
  <si>
    <t>Palestina de Goiás/GO</t>
  </si>
  <si>
    <t>Palmeiras de Goiás/GO</t>
  </si>
  <si>
    <t>Palmelo/GO</t>
  </si>
  <si>
    <t>Palminópolis/GO</t>
  </si>
  <si>
    <t>Panamá/GO</t>
  </si>
  <si>
    <t>Paranaiguara/GO</t>
  </si>
  <si>
    <t>Paraúna/GO</t>
  </si>
  <si>
    <t>Perolândia/GO</t>
  </si>
  <si>
    <t>Petrolina de Goiás/GO</t>
  </si>
  <si>
    <t>Pilar de Goiás/GO</t>
  </si>
  <si>
    <t>Piracanjuba/GO</t>
  </si>
  <si>
    <t>Piranhas/GO</t>
  </si>
  <si>
    <t>Pirenópolis/GO</t>
  </si>
  <si>
    <t>Pires do Rio/GO</t>
  </si>
  <si>
    <t>Planaltina/GO</t>
  </si>
  <si>
    <t>Pontalina/GO</t>
  </si>
  <si>
    <t>Porangatu/GO</t>
  </si>
  <si>
    <t>Porteirão/GO</t>
  </si>
  <si>
    <t>Portelândia/GO</t>
  </si>
  <si>
    <t>Posse/GO</t>
  </si>
  <si>
    <t>Professor Jamil/GO</t>
  </si>
  <si>
    <t>Quirinópolis/GO</t>
  </si>
  <si>
    <t>Rialma/GO</t>
  </si>
  <si>
    <t>Rianápolis/GO</t>
  </si>
  <si>
    <t>Rio Quente/GO</t>
  </si>
  <si>
    <t>Rio Verde/GO</t>
  </si>
  <si>
    <t>Rubiataba/GO</t>
  </si>
  <si>
    <t>Sanclerlândia/GO</t>
  </si>
  <si>
    <t>Santa Bárbara de Goiás/GO</t>
  </si>
  <si>
    <t>Santa Cruz de Goiás/GO</t>
  </si>
  <si>
    <t>Santa fé de Goiás/GO</t>
  </si>
  <si>
    <t>Santa Helena de Goiás/GO</t>
  </si>
  <si>
    <t>Santa Isabel/GO</t>
  </si>
  <si>
    <t>Santa Rita do Araguaia/GO</t>
  </si>
  <si>
    <t>Santa Rita do Novo Destino/GO</t>
  </si>
  <si>
    <t>Santa Rosa de Goiás/GO</t>
  </si>
  <si>
    <t>Santa Tereza de Goiás/GO</t>
  </si>
  <si>
    <t>Santa Terezinha de Goiás/GO</t>
  </si>
  <si>
    <t>Santo Antônio da Barra/GO</t>
  </si>
  <si>
    <t>Santo Antônio de Goiás/GO</t>
  </si>
  <si>
    <t>Santo Antônio do Descoberto/GO</t>
  </si>
  <si>
    <t>São Domingos/GO</t>
  </si>
  <si>
    <t>São Francisco de Goiás/GO</t>
  </si>
  <si>
    <t>São João D´aliança/GO</t>
  </si>
  <si>
    <t>São João da Paraúna/GO</t>
  </si>
  <si>
    <t>São Luís de Montes Belos/GO</t>
  </si>
  <si>
    <t>São Luíz do Norte/GO</t>
  </si>
  <si>
    <t>São Miguel do Araguaia/GO</t>
  </si>
  <si>
    <t>São Miguel do Passa Quatro/GO</t>
  </si>
  <si>
    <t>São Patrício/GO</t>
  </si>
  <si>
    <t>São Simão/GO</t>
  </si>
  <si>
    <t>Senador Canedo/GO</t>
  </si>
  <si>
    <t>Serranópolis/GO</t>
  </si>
  <si>
    <t>Silvânia/GO</t>
  </si>
  <si>
    <t>Simolândia/GO</t>
  </si>
  <si>
    <t>Sítio D´abadia/GO</t>
  </si>
  <si>
    <t>Taquaral de Goiás/GO</t>
  </si>
  <si>
    <t>Teresina de Goiás/GO</t>
  </si>
  <si>
    <t>Terezópolis de Goiás/GO</t>
  </si>
  <si>
    <t>Três Ranchos/GO</t>
  </si>
  <si>
    <t>Trindade/GO</t>
  </si>
  <si>
    <t>Trombas/GO</t>
  </si>
  <si>
    <t>Turvânia/GO</t>
  </si>
  <si>
    <t>Turvelândia/GO</t>
  </si>
  <si>
    <t>Uirapuru/GO</t>
  </si>
  <si>
    <t>Uruaçu/GO</t>
  </si>
  <si>
    <t>Uruana/GO</t>
  </si>
  <si>
    <t>Urutaí/GO</t>
  </si>
  <si>
    <t>Valparaíso de Goiás/GO</t>
  </si>
  <si>
    <t>Varjão/GO</t>
  </si>
  <si>
    <t>Vianópolis/GO</t>
  </si>
  <si>
    <t>Vicentinópolis/GO</t>
  </si>
  <si>
    <t>Vila Boa/GO</t>
  </si>
  <si>
    <t>Vila Propício/GO</t>
  </si>
  <si>
    <t>Brasília/DF</t>
  </si>
  <si>
    <t>Parentesco</t>
  </si>
  <si>
    <t>Administrador</t>
  </si>
  <si>
    <t>Congujê</t>
  </si>
  <si>
    <t>Pai</t>
  </si>
  <si>
    <t>Mãe</t>
  </si>
  <si>
    <t>Tipo</t>
  </si>
  <si>
    <t>data_cadastro</t>
  </si>
  <si>
    <t>Pecuária</t>
  </si>
  <si>
    <t>E-mails</t>
  </si>
  <si>
    <t>christian_kohler@texcapital.com.br</t>
  </si>
  <si>
    <t>jeter@texcapital.com.br</t>
  </si>
  <si>
    <t>Pecuária:</t>
  </si>
  <si>
    <t>Valor imoveis rurais:</t>
  </si>
  <si>
    <t xml:space="preserve">Alienação de Grãos </t>
  </si>
  <si>
    <t>CPR Financeira</t>
  </si>
  <si>
    <t>CPR de Produtos</t>
  </si>
  <si>
    <t>Cessão de Direitos</t>
  </si>
  <si>
    <t>Nota Promissória</t>
  </si>
  <si>
    <t>Domicilio Bancário</t>
  </si>
  <si>
    <t xml:space="preserve">Credito Pessoal </t>
  </si>
  <si>
    <t>Credito Rotativo</t>
  </si>
  <si>
    <t xml:space="preserve">Aquisição de Veiculos </t>
  </si>
  <si>
    <t xml:space="preserve">Aquisição de Maquinarios </t>
  </si>
  <si>
    <t>Aquisição de Terras</t>
  </si>
  <si>
    <t>Consorcio</t>
  </si>
  <si>
    <t xml:space="preserve">Antecipação de Recebiveis </t>
  </si>
  <si>
    <t xml:space="preserve">Credito Estruturado </t>
  </si>
  <si>
    <t>Derivativos</t>
  </si>
  <si>
    <t>Credito em Moeda Estrangeira</t>
  </si>
  <si>
    <t xml:space="preserve">Aquisição de Animais </t>
  </si>
  <si>
    <t xml:space="preserve">Investimentos Pecuarios </t>
  </si>
  <si>
    <t xml:space="preserve">Investimentos Agricolas </t>
  </si>
  <si>
    <t>Correção de Solos</t>
  </si>
  <si>
    <t>Construção de Silos</t>
  </si>
  <si>
    <t>Construção de Pivôs</t>
  </si>
  <si>
    <t>Aquisição de Caminhões</t>
  </si>
  <si>
    <t>Cana</t>
  </si>
  <si>
    <t>Sorgo</t>
  </si>
  <si>
    <t xml:space="preserve">Milheto </t>
  </si>
  <si>
    <t xml:space="preserve">Gergelim </t>
  </si>
  <si>
    <t xml:space="preserve">Feijão </t>
  </si>
  <si>
    <t>Crotalaria</t>
  </si>
  <si>
    <t xml:space="preserve">Soja Semente </t>
  </si>
  <si>
    <t>Milho Semente</t>
  </si>
  <si>
    <t xml:space="preserve">Algodão </t>
  </si>
  <si>
    <t xml:space="preserve">Milho Verão Sequeiro </t>
  </si>
  <si>
    <t xml:space="preserve">Milho Verão Irrigado </t>
  </si>
  <si>
    <t xml:space="preserve">Arroz Sequeiro </t>
  </si>
  <si>
    <t xml:space="preserve">Arros Alagado </t>
  </si>
  <si>
    <t xml:space="preserve">Arroz Irrigado </t>
  </si>
  <si>
    <t>Filho(a)</t>
  </si>
  <si>
    <t>Tio(a)</t>
  </si>
  <si>
    <t>Primo(a)</t>
  </si>
  <si>
    <t>Sobrinhos(a)</t>
  </si>
  <si>
    <t>Sócios(a)</t>
  </si>
  <si>
    <t xml:space="preserve">Principal </t>
  </si>
  <si>
    <t xml:space="preserve">Gado de Corte </t>
  </si>
  <si>
    <t>Gado de Leite</t>
  </si>
  <si>
    <t>Suinocultura</t>
  </si>
  <si>
    <t>Avicultura Corte</t>
  </si>
  <si>
    <t>Avicultura Ovos</t>
  </si>
  <si>
    <t>Psicultura</t>
  </si>
  <si>
    <t>Ovinocultura</t>
  </si>
  <si>
    <t>Caprinocultura</t>
  </si>
  <si>
    <t>outros</t>
  </si>
  <si>
    <t>gislainy_maciel@texcapital.com.br</t>
  </si>
  <si>
    <t>bruna_costa@texcapital.com.br</t>
  </si>
  <si>
    <t>willian_pinheiro@texcapital.com.br</t>
  </si>
  <si>
    <t>Código</t>
  </si>
  <si>
    <t>Revisão</t>
  </si>
  <si>
    <t>1.0</t>
  </si>
  <si>
    <t>Data</t>
  </si>
  <si>
    <t>Página</t>
  </si>
  <si>
    <t>Esta obra está licenciada com uma Licença Creative Commons Atribuição-NãoComercial 4.0 Internacional.</t>
  </si>
  <si>
    <t>R.OP.002</t>
  </si>
  <si>
    <t>CADASTRO DE CLIENTES</t>
  </si>
  <si>
    <t>HOME/R.OP.002</t>
  </si>
  <si>
    <t>PDF/R.OP.002</t>
  </si>
  <si>
    <t>Sócios</t>
  </si>
  <si>
    <t>Demandas</t>
  </si>
  <si>
    <t>Perfil</t>
  </si>
  <si>
    <t>Área Total</t>
  </si>
  <si>
    <t>Área Explorada</t>
  </si>
  <si>
    <t>Explorada:</t>
  </si>
  <si>
    <t>Pagando:</t>
  </si>
  <si>
    <t>Posse:</t>
  </si>
  <si>
    <t>Arrendada:</t>
  </si>
  <si>
    <t>Safras</t>
  </si>
  <si>
    <t>Pecuárias</t>
  </si>
  <si>
    <t>,</t>
  </si>
  <si>
    <t>Christian</t>
  </si>
  <si>
    <t>10222222</t>
  </si>
  <si>
    <t>4555555</t>
  </si>
  <si>
    <t>christian</t>
  </si>
  <si>
    <t>GRUPO</t>
  </si>
  <si>
    <t>TESTE</t>
  </si>
  <si>
    <t>1111111111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</si>
</sst>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00&quot;.&quot;000&quot;.&quot;000&quot;-&quot;00"/>
    <numFmt numFmtId="165" formatCode="_-* #,##0_-;\-* #,##0_-;_-* &quot;-&quot;??_-;_-@_-"/>
    <numFmt numFmtId="166" formatCode="[$-F400]h:mm:ss\ AM/PM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 Light"/>
      <family val="2"/>
      <scheme val="major"/>
    </font>
    <font>
      <sz val="11"/>
      <color rgb="FFC00000"/>
      <name val="Calibri"/>
      <family val="2"/>
      <scheme val="minor"/>
    </font>
    <font>
      <b/>
      <sz val="48"/>
      <color theme="1" tint="0.249977111117893"/>
      <name val="Calibri Light"/>
      <family val="2"/>
      <scheme val="major"/>
    </font>
    <font>
      <b/>
      <sz val="22"/>
      <color theme="1" tint="0.249977111117893"/>
      <name val="Calibri Light"/>
      <family val="2"/>
      <scheme val="maj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20"/>
      <color theme="1"/>
      <name val="Arial"/>
      <family val="2"/>
    </font>
    <font>
      <sz val="6"/>
      <color theme="1"/>
      <name val="Arial"/>
      <family val="2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9"/>
      <color theme="10"/>
      <name val="Arial"/>
      <family val="2"/>
    </font>
    <font>
      <b/>
      <sz val="14"/>
      <color theme="1" tint="0.249977111117893"/>
      <name val="Arial"/>
      <family val="2"/>
    </font>
    <font>
      <b/>
      <sz val="12"/>
      <color theme="0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EFF6EA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669E40"/>
        <bgColor indexed="64"/>
      </patternFill>
    </fill>
    <fill>
      <patternFill patternType="solid">
        <fgColor theme="0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15" fillId="0" borderId="0" applyNumberFormat="0" applyFill="0" applyBorder="0" applyAlignment="0" applyProtection="0"/>
  </cellStyleXfs>
  <cellXfs count="167">
    <xf numFmtId="0" fontId="0" fillId="0" borderId="0" xfId="0"/>
    <xf numFmtId="0" fontId="0" fillId="2" borderId="0" xfId="0" applyFill="1"/>
    <xf numFmtId="0" fontId="0" fillId="3" borderId="0" xfId="0" applyFill="1"/>
    <xf numFmtId="164" fontId="0" fillId="0" borderId="0" xfId="0" applyNumberFormat="1"/>
    <xf numFmtId="14" fontId="0" fillId="0" borderId="0" xfId="0" applyNumberFormat="1"/>
    <xf numFmtId="49" fontId="0" fillId="0" borderId="0" xfId="0" applyNumberFormat="1"/>
    <xf numFmtId="22" fontId="0" fillId="0" borderId="0" xfId="0" applyNumberFormat="1"/>
    <xf numFmtId="43" fontId="0" fillId="0" borderId="0" xfId="1" applyFont="1"/>
    <xf numFmtId="0" fontId="0" fillId="0" borderId="0" xfId="0" quotePrefix="1"/>
    <xf numFmtId="44" fontId="0" fillId="0" borderId="0" xfId="2" applyFont="1"/>
    <xf numFmtId="9" fontId="0" fillId="0" borderId="0" xfId="0" applyNumberFormat="1"/>
    <xf numFmtId="0" fontId="0" fillId="0" borderId="0" xfId="0" applyAlignment="1">
      <alignment vertical="center" wrapText="1"/>
    </xf>
    <xf numFmtId="165" fontId="0" fillId="0" borderId="0" xfId="1" applyNumberFormat="1" applyFont="1"/>
    <xf numFmtId="0" fontId="3" fillId="2" borderId="0" xfId="0" applyFont="1" applyFill="1" applyAlignment="1">
      <alignment vertical="center" wrapText="1"/>
    </xf>
    <xf numFmtId="1" fontId="0" fillId="0" borderId="0" xfId="0" applyNumberFormat="1"/>
    <xf numFmtId="0" fontId="4" fillId="4" borderId="0" xfId="0" applyFont="1" applyFill="1"/>
    <xf numFmtId="0" fontId="5" fillId="0" borderId="0" xfId="0" applyFont="1" applyAlignment="1">
      <alignment horizontal="left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7" fillId="0" borderId="0" xfId="0" applyFont="1" applyAlignment="1">
      <alignment horizontal="center"/>
    </xf>
    <xf numFmtId="44" fontId="7" fillId="0" borderId="0" xfId="2" applyFont="1" applyAlignment="1">
      <alignment horizontal="center"/>
    </xf>
    <xf numFmtId="0" fontId="0" fillId="0" borderId="0" xfId="0" applyAlignment="1">
      <alignment wrapText="1"/>
    </xf>
    <xf numFmtId="0" fontId="1" fillId="2" borderId="0" xfId="0" applyFont="1" applyFill="1"/>
    <xf numFmtId="0" fontId="1" fillId="0" borderId="0" xfId="0" applyFont="1"/>
    <xf numFmtId="0" fontId="9" fillId="0" borderId="0" xfId="0" applyFont="1"/>
    <xf numFmtId="0" fontId="10" fillId="0" borderId="1" xfId="0" applyFont="1" applyBorder="1" applyAlignment="1">
      <alignment horizontal="center" vertical="center"/>
    </xf>
    <xf numFmtId="0" fontId="11" fillId="0" borderId="2" xfId="0" applyFont="1" applyBorder="1"/>
    <xf numFmtId="0" fontId="10" fillId="0" borderId="2" xfId="0" applyFont="1" applyBorder="1" applyAlignment="1">
      <alignment horizontal="center" vertical="center"/>
    </xf>
    <xf numFmtId="44" fontId="10" fillId="0" borderId="2" xfId="0" applyNumberFormat="1" applyFont="1" applyBorder="1" applyAlignment="1">
      <alignment horizontal="center" vertical="center"/>
    </xf>
    <xf numFmtId="166" fontId="10" fillId="0" borderId="2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2" xfId="0" applyBorder="1"/>
    <xf numFmtId="0" fontId="10" fillId="0" borderId="3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0" fillId="0" borderId="3" xfId="0" applyBorder="1"/>
    <xf numFmtId="0" fontId="12" fillId="0" borderId="0" xfId="0" applyFont="1" applyAlignment="1">
      <alignment vertical="center"/>
    </xf>
    <xf numFmtId="0" fontId="0" fillId="0" borderId="5" xfId="0" applyBorder="1"/>
    <xf numFmtId="0" fontId="0" fillId="0" borderId="8" xfId="0" applyBorder="1"/>
    <xf numFmtId="0" fontId="12" fillId="0" borderId="0" xfId="0" applyFont="1" applyAlignment="1">
      <alignment horizontal="center" vertical="center"/>
    </xf>
    <xf numFmtId="0" fontId="0" fillId="0" borderId="9" xfId="0" applyBorder="1"/>
    <xf numFmtId="0" fontId="11" fillId="0" borderId="0" xfId="0" applyFont="1" applyAlignment="1">
      <alignment horizontal="center"/>
    </xf>
    <xf numFmtId="0" fontId="14" fillId="0" borderId="0" xfId="0" applyFont="1" applyAlignment="1">
      <alignment horizontal="left" vertical="center"/>
    </xf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1" xfId="0" applyBorder="1"/>
    <xf numFmtId="0" fontId="0" fillId="0" borderId="7" xfId="0" applyBorder="1" applyAlignment="1">
      <alignment horizontal="right"/>
    </xf>
    <xf numFmtId="0" fontId="6" fillId="0" borderId="7" xfId="0" applyFont="1" applyBorder="1" applyAlignment="1">
      <alignment horizontal="left"/>
    </xf>
    <xf numFmtId="0" fontId="0" fillId="0" borderId="0" xfId="0" applyAlignment="1">
      <alignment horizontal="center" vertical="center"/>
    </xf>
    <xf numFmtId="0" fontId="18" fillId="5" borderId="10" xfId="0" applyFont="1" applyFill="1" applyBorder="1" applyAlignment="1">
      <alignment horizontal="right" vertical="center"/>
    </xf>
    <xf numFmtId="0" fontId="11" fillId="0" borderId="13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11" fillId="0" borderId="14" xfId="0" applyFont="1" applyBorder="1" applyAlignment="1">
      <alignment horizontal="center" vertical="center"/>
    </xf>
    <xf numFmtId="0" fontId="11" fillId="0" borderId="15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25" xfId="0" applyFont="1" applyBorder="1" applyAlignment="1">
      <alignment horizontal="center" vertical="center"/>
    </xf>
    <xf numFmtId="0" fontId="11" fillId="0" borderId="25" xfId="0" applyFont="1" applyBorder="1" applyAlignment="1">
      <alignment horizontal="center" vertical="center"/>
    </xf>
    <xf numFmtId="0" fontId="20" fillId="0" borderId="13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16" xfId="0" applyFont="1" applyBorder="1" applyAlignment="1">
      <alignment horizontal="right" vertical="center"/>
    </xf>
    <xf numFmtId="0" fontId="1" fillId="0" borderId="19" xfId="0" applyFont="1" applyBorder="1" applyAlignment="1">
      <alignment horizontal="right" vertical="center"/>
    </xf>
    <xf numFmtId="0" fontId="1" fillId="0" borderId="22" xfId="0" applyFont="1" applyBorder="1" applyAlignment="1">
      <alignment horizontal="right" vertical="center"/>
    </xf>
    <xf numFmtId="0" fontId="0" fillId="0" borderId="14" xfId="0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44" fontId="0" fillId="0" borderId="14" xfId="2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44" fontId="0" fillId="0" borderId="15" xfId="2" applyFont="1" applyBorder="1" applyAlignment="1">
      <alignment horizontal="center" vertical="center"/>
    </xf>
    <xf numFmtId="44" fontId="0" fillId="0" borderId="0" xfId="2" applyFont="1" applyAlignment="1">
      <alignment horizontal="center"/>
    </xf>
    <xf numFmtId="0" fontId="1" fillId="0" borderId="13" xfId="0" applyFont="1" applyBorder="1" applyAlignment="1">
      <alignment horizontal="center"/>
    </xf>
    <xf numFmtId="44" fontId="0" fillId="0" borderId="13" xfId="2" applyFont="1" applyBorder="1" applyAlignment="1">
      <alignment horizontal="center"/>
    </xf>
    <xf numFmtId="0" fontId="0" fillId="0" borderId="13" xfId="0" applyBorder="1"/>
    <xf numFmtId="0" fontId="0" fillId="0" borderId="14" xfId="0" applyBorder="1" applyAlignment="1">
      <alignment horizontal="center"/>
    </xf>
    <xf numFmtId="44" fontId="0" fillId="0" borderId="14" xfId="2" applyFont="1" applyBorder="1" applyAlignment="1">
      <alignment horizontal="center"/>
    </xf>
    <xf numFmtId="0" fontId="0" fillId="0" borderId="14" xfId="0" applyBorder="1"/>
    <xf numFmtId="0" fontId="0" fillId="0" borderId="15" xfId="0" applyBorder="1" applyAlignment="1">
      <alignment horizontal="center"/>
    </xf>
    <xf numFmtId="44" fontId="0" fillId="0" borderId="15" xfId="2" applyFont="1" applyBorder="1" applyAlignment="1">
      <alignment horizontal="center"/>
    </xf>
    <xf numFmtId="0" fontId="0" fillId="0" borderId="15" xfId="0" applyBorder="1"/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0" xfId="0" applyFont="1"/>
    <xf numFmtId="0" fontId="7" fillId="0" borderId="5" xfId="0" applyFont="1" applyBorder="1" applyAlignment="1">
      <alignment horizontal="center"/>
    </xf>
    <xf numFmtId="0" fontId="8" fillId="0" borderId="5" xfId="0" applyFont="1" applyBorder="1" applyAlignment="1">
      <alignment horizontal="center" vertical="center"/>
    </xf>
    <xf numFmtId="44" fontId="7" fillId="0" borderId="0" xfId="2" applyFont="1" applyBorder="1" applyAlignment="1">
      <alignment horizontal="center"/>
    </xf>
    <xf numFmtId="44" fontId="0" fillId="0" borderId="0" xfId="2" applyFont="1" applyBorder="1" applyAlignment="1">
      <alignment horizontal="center"/>
    </xf>
    <xf numFmtId="0" fontId="0" fillId="0" borderId="7" xfId="0" applyBorder="1" applyAlignment="1">
      <alignment horizontal="center"/>
    </xf>
    <xf numFmtId="44" fontId="0" fillId="0" borderId="7" xfId="2" applyFont="1" applyBorder="1" applyAlignment="1">
      <alignment horizontal="center"/>
    </xf>
    <xf numFmtId="0" fontId="16" fillId="0" borderId="0" xfId="3" applyFont="1" applyBorder="1" applyAlignment="1">
      <alignment vertical="center" wrapText="1"/>
    </xf>
    <xf numFmtId="0" fontId="16" fillId="0" borderId="5" xfId="3" applyFont="1" applyBorder="1" applyAlignment="1">
      <alignment vertical="center" wrapText="1"/>
    </xf>
    <xf numFmtId="0" fontId="7" fillId="0" borderId="7" xfId="0" applyFont="1" applyBorder="1" applyAlignment="1">
      <alignment horizontal="center"/>
    </xf>
    <xf numFmtId="44" fontId="7" fillId="0" borderId="7" xfId="2" applyFont="1" applyBorder="1" applyAlignment="1">
      <alignment horizontal="center"/>
    </xf>
    <xf numFmtId="44" fontId="7" fillId="0" borderId="0" xfId="2" applyFont="1" applyFill="1" applyAlignment="1">
      <alignment horizontal="center"/>
    </xf>
    <xf numFmtId="0" fontId="18" fillId="5" borderId="0" xfId="0" applyFont="1" applyFill="1" applyAlignment="1">
      <alignment horizontal="right" vertical="center"/>
    </xf>
    <xf numFmtId="0" fontId="0" fillId="6" borderId="0" xfId="0" applyFill="1"/>
    <xf numFmtId="0" fontId="16" fillId="0" borderId="0" xfId="3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1" fillId="0" borderId="4" xfId="0" applyFont="1" applyBorder="1" applyAlignment="1">
      <alignment horizontal="center"/>
    </xf>
    <xf numFmtId="0" fontId="11" fillId="0" borderId="5" xfId="0" applyFont="1" applyBorder="1" applyAlignment="1">
      <alignment horizontal="center"/>
    </xf>
    <xf numFmtId="0" fontId="11" fillId="0" borderId="6" xfId="0" applyFont="1" applyBorder="1" applyAlignment="1">
      <alignment horizontal="center"/>
    </xf>
    <xf numFmtId="0" fontId="11" fillId="0" borderId="8" xfId="0" applyFont="1" applyBorder="1" applyAlignment="1">
      <alignment horizontal="center"/>
    </xf>
    <xf numFmtId="0" fontId="12" fillId="0" borderId="1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3" fillId="0" borderId="1" xfId="0" applyFont="1" applyBorder="1" applyAlignment="1">
      <alignment horizontal="left" vertical="center"/>
    </xf>
    <xf numFmtId="0" fontId="13" fillId="0" borderId="3" xfId="0" applyFont="1" applyBorder="1" applyAlignment="1">
      <alignment horizontal="left" vertical="center"/>
    </xf>
    <xf numFmtId="0" fontId="14" fillId="0" borderId="6" xfId="0" applyFont="1" applyBorder="1" applyAlignment="1">
      <alignment horizontal="left" vertical="center"/>
    </xf>
    <xf numFmtId="0" fontId="14" fillId="0" borderId="8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14" fillId="0" borderId="4" xfId="0" applyFont="1" applyBorder="1" applyAlignment="1">
      <alignment horizontal="left" vertical="center"/>
    </xf>
    <xf numFmtId="0" fontId="14" fillId="0" borderId="5" xfId="0" applyFont="1" applyBorder="1" applyAlignment="1">
      <alignment horizontal="left" vertical="center"/>
    </xf>
    <xf numFmtId="14" fontId="14" fillId="0" borderId="6" xfId="0" applyNumberFormat="1" applyFont="1" applyBorder="1" applyAlignment="1">
      <alignment horizontal="left" vertical="center"/>
    </xf>
    <xf numFmtId="14" fontId="14" fillId="0" borderId="8" xfId="0" applyNumberFormat="1" applyFont="1" applyBorder="1" applyAlignment="1">
      <alignment horizontal="left" vertical="center"/>
    </xf>
    <xf numFmtId="0" fontId="19" fillId="0" borderId="0" xfId="0" applyFont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0" fillId="0" borderId="0" xfId="0" applyAlignment="1">
      <alignment horizontal="left" vertical="top"/>
    </xf>
    <xf numFmtId="0" fontId="0" fillId="0" borderId="0" xfId="0"/>
    <xf numFmtId="0" fontId="14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14" fontId="14" fillId="0" borderId="0" xfId="0" applyNumberFormat="1" applyFont="1" applyAlignment="1">
      <alignment horizontal="left" vertical="center"/>
    </xf>
    <xf numFmtId="0" fontId="0" fillId="0" borderId="0" xfId="0" applyAlignment="1">
      <alignment horizontal="center"/>
    </xf>
    <xf numFmtId="0" fontId="19" fillId="0" borderId="10" xfId="0" applyFont="1" applyBorder="1" applyAlignment="1">
      <alignment horizontal="center" vertical="center"/>
    </xf>
    <xf numFmtId="0" fontId="17" fillId="2" borderId="11" xfId="0" applyFont="1" applyFill="1" applyBorder="1" applyAlignment="1">
      <alignment horizontal="center" vertical="center"/>
    </xf>
    <xf numFmtId="0" fontId="17" fillId="2" borderId="9" xfId="0" applyFont="1" applyFill="1" applyBorder="1" applyAlignment="1">
      <alignment horizontal="center" vertical="center"/>
    </xf>
    <xf numFmtId="0" fontId="17" fillId="2" borderId="12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44" fontId="0" fillId="0" borderId="14" xfId="2" applyFont="1" applyBorder="1" applyAlignment="1">
      <alignment horizontal="center"/>
    </xf>
    <xf numFmtId="43" fontId="0" fillId="0" borderId="14" xfId="1" applyFont="1" applyBorder="1" applyAlignment="1">
      <alignment horizontal="center"/>
    </xf>
    <xf numFmtId="44" fontId="0" fillId="0" borderId="15" xfId="2" applyFont="1" applyBorder="1" applyAlignment="1">
      <alignment horizontal="center"/>
    </xf>
    <xf numFmtId="43" fontId="0" fillId="0" borderId="15" xfId="1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3" xfId="0" applyBorder="1" applyAlignment="1">
      <alignment horizontal="center"/>
    </xf>
  </cellXfs>
  <cellStyles count="4">
    <cellStyle name="Hiperlink" xfId="3" builtinId="8"/>
    <cellStyle name="Moeda" xfId="2" builtinId="4"/>
    <cellStyle name="Normal" xfId="0" builtinId="0"/>
    <cellStyle name="Vírgula" xfId="1" builtinId="3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669E40"/>
      <color rgb="FF8DCC6A"/>
      <color rgb="FF5BA036"/>
      <color rgb="FFD85E5E"/>
      <color rgb="FFEFF6EA"/>
      <color rgb="FFA50021"/>
      <color rgb="FF25391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hyperlink" Target="#Home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18</xdr:col>
      <xdr:colOff>561502</xdr:colOff>
      <xdr:row>23</xdr:row>
      <xdr:rowOff>47659</xdr:rowOff>
    </xdr:from>
    <xdr:ext cx="797036" cy="277231"/>
    <xdr:pic>
      <xdr:nvPicPr>
        <xdr:cNvPr id="6" name="Imagem 5">
          <a:extLst>
            <a:ext uri="{FF2B5EF4-FFF2-40B4-BE49-F238E27FC236}">
              <a16:creationId xmlns:a16="http://schemas.microsoft.com/office/drawing/2014/main" id="{1DC1BA9A-3A6F-44A3-9B5E-53553FA7B5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7122" y="4512979"/>
          <a:ext cx="797036" cy="277231"/>
        </a:xfrm>
        <a:prstGeom prst="rect">
          <a:avLst/>
        </a:prstGeom>
      </xdr:spPr>
    </xdr:pic>
    <xdr:clientData/>
  </xdr:oneCellAnchor>
  <xdr:oneCellAnchor>
    <xdr:from>
      <xdr:col>2</xdr:col>
      <xdr:colOff>91440</xdr:colOff>
      <xdr:row>23</xdr:row>
      <xdr:rowOff>38100</xdr:rowOff>
    </xdr:from>
    <xdr:ext cx="402128" cy="405542"/>
    <xdr:pic>
      <xdr:nvPicPr>
        <xdr:cNvPr id="7" name="Imagem 6" descr="Gráfico, Gráfico de bolhas&#10;&#10;Descrição gerada automaticamente">
          <a:extLst>
            <a:ext uri="{FF2B5EF4-FFF2-40B4-BE49-F238E27FC236}">
              <a16:creationId xmlns:a16="http://schemas.microsoft.com/office/drawing/2014/main" id="{3EE3BCA2-31F2-4F58-BF28-A3199C7889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4503420"/>
          <a:ext cx="402128" cy="405542"/>
        </a:xfrm>
        <a:prstGeom prst="rect">
          <a:avLst/>
        </a:prstGeom>
      </xdr:spPr>
    </xdr:pic>
    <xdr:clientData/>
  </xdr:oneCellAnchor>
  <xdr:twoCellAnchor>
    <xdr:from>
      <xdr:col>4</xdr:col>
      <xdr:colOff>525780</xdr:colOff>
      <xdr:row>13</xdr:row>
      <xdr:rowOff>60960</xdr:rowOff>
    </xdr:from>
    <xdr:to>
      <xdr:col>9</xdr:col>
      <xdr:colOff>571500</xdr:colOff>
      <xdr:row>19</xdr:row>
      <xdr:rowOff>160020</xdr:rowOff>
    </xdr:to>
    <xdr:grpSp>
      <xdr:nvGrpSpPr>
        <xdr:cNvPr id="16" name="cadastro">
          <a:extLst>
            <a:ext uri="{FF2B5EF4-FFF2-40B4-BE49-F238E27FC236}">
              <a16:creationId xmlns:a16="http://schemas.microsoft.com/office/drawing/2014/main" id="{C2278BB1-DCF8-096D-61EA-53D3C0DE5A86}"/>
            </a:ext>
          </a:extLst>
        </xdr:cNvPr>
        <xdr:cNvGrpSpPr/>
      </xdr:nvGrpSpPr>
      <xdr:grpSpPr>
        <a:xfrm>
          <a:off x="2453192" y="2526254"/>
          <a:ext cx="3183367" cy="1174825"/>
          <a:chOff x="1943100" y="2560320"/>
          <a:chExt cx="3169920" cy="1196340"/>
        </a:xfrm>
      </xdr:grpSpPr>
      <xdr:sp macro="[0]!grupo" textlink="">
        <xdr:nvSpPr>
          <xdr:cNvPr id="12" name="Retângulo: Cantos Arredondados 11">
            <a:extLst>
              <a:ext uri="{FF2B5EF4-FFF2-40B4-BE49-F238E27FC236}">
                <a16:creationId xmlns:a16="http://schemas.microsoft.com/office/drawing/2014/main" id="{9E13250B-5620-AD96-0C91-661F284F9A0F}"/>
              </a:ext>
            </a:extLst>
          </xdr:cNvPr>
          <xdr:cNvSpPr/>
        </xdr:nvSpPr>
        <xdr:spPr>
          <a:xfrm>
            <a:off x="1943100" y="2560320"/>
            <a:ext cx="3169920" cy="1196340"/>
          </a:xfrm>
          <a:prstGeom prst="roundRect">
            <a:avLst/>
          </a:prstGeom>
          <a:solidFill>
            <a:srgbClr val="8DCC6A"/>
          </a:solidFill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pt-BR" sz="2800">
                <a:latin typeface="Aptos" panose="020B0004020202020204" pitchFamily="34" charset="0"/>
                <a:cs typeface="Aparajita" panose="020B0502040204020203" pitchFamily="18" charset="0"/>
              </a:rPr>
              <a:t>CADASTRAR</a:t>
            </a:r>
            <a:endParaRPr lang="pt-BR" sz="2800" baseline="0">
              <a:latin typeface="Aptos" panose="020B0004020202020204" pitchFamily="34" charset="0"/>
              <a:cs typeface="Aparajita" panose="020B0502040204020203" pitchFamily="18" charset="0"/>
            </a:endParaRPr>
          </a:p>
          <a:p>
            <a:pPr algn="l"/>
            <a:r>
              <a:rPr lang="pt-BR" sz="2800" baseline="0">
                <a:latin typeface="Aptos" panose="020B0004020202020204" pitchFamily="34" charset="0"/>
                <a:cs typeface="Aparajita" panose="020B0502040204020203" pitchFamily="18" charset="0"/>
              </a:rPr>
              <a:t>                 CLIENTE</a:t>
            </a:r>
            <a:endParaRPr lang="pt-BR" sz="2800">
              <a:latin typeface="Aptos" panose="020B0004020202020204" pitchFamily="34" charset="0"/>
              <a:cs typeface="Aparajita" panose="020B0502040204020203" pitchFamily="18" charset="0"/>
            </a:endParaRPr>
          </a:p>
        </xdr:txBody>
      </xdr:sp>
      <xdr:pic>
        <xdr:nvPicPr>
          <xdr:cNvPr id="14" name="Gráfico 13" descr="Marca de seleção com preenchimento sólido">
            <a:extLst>
              <a:ext uri="{FF2B5EF4-FFF2-40B4-BE49-F238E27FC236}">
                <a16:creationId xmlns:a16="http://schemas.microsoft.com/office/drawing/2014/main" id="{E2907860-F239-809C-61A5-676FC863941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17420" y="2857500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609600</xdr:colOff>
      <xdr:row>13</xdr:row>
      <xdr:rowOff>60960</xdr:rowOff>
    </xdr:from>
    <xdr:to>
      <xdr:col>17</xdr:col>
      <xdr:colOff>30480</xdr:colOff>
      <xdr:row>19</xdr:row>
      <xdr:rowOff>160020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86B199F5-4E7D-2E4D-D073-2FB0FBAFF458}"/>
            </a:ext>
          </a:extLst>
        </xdr:cNvPr>
        <xdr:cNvGrpSpPr/>
      </xdr:nvGrpSpPr>
      <xdr:grpSpPr>
        <a:xfrm>
          <a:off x="6929718" y="2526254"/>
          <a:ext cx="3186056" cy="1174825"/>
          <a:chOff x="6896100" y="2567940"/>
          <a:chExt cx="3169920" cy="1196340"/>
        </a:xfrm>
      </xdr:grpSpPr>
      <xdr:sp macro="[0]!SendGmail" textlink="">
        <xdr:nvSpPr>
          <xdr:cNvPr id="15" name="Retângulo: Cantos Arredondados 14">
            <a:extLst>
              <a:ext uri="{FF2B5EF4-FFF2-40B4-BE49-F238E27FC236}">
                <a16:creationId xmlns:a16="http://schemas.microsoft.com/office/drawing/2014/main" id="{429AAC24-727A-44D5-A7BA-EDAC16DBA51A}"/>
              </a:ext>
            </a:extLst>
          </xdr:cNvPr>
          <xdr:cNvSpPr/>
        </xdr:nvSpPr>
        <xdr:spPr>
          <a:xfrm>
            <a:off x="6896100" y="2567940"/>
            <a:ext cx="3169920" cy="1196340"/>
          </a:xfrm>
          <a:prstGeom prst="roundRect">
            <a:avLst/>
          </a:prstGeom>
          <a:solidFill>
            <a:srgbClr val="D85E5E"/>
          </a:solidFill>
          <a:ln>
            <a:solidFill>
              <a:srgbClr val="C00000"/>
            </a:solidFill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pt-BR" sz="2800">
                <a:latin typeface="Aptos" panose="020B0004020202020204" pitchFamily="34" charset="0"/>
                <a:cs typeface="Aparajita" panose="020B0502040204020203" pitchFamily="18" charset="0"/>
              </a:rPr>
              <a:t>FINALIZAR E</a:t>
            </a:r>
          </a:p>
          <a:p>
            <a:pPr algn="ctr"/>
            <a:r>
              <a:rPr lang="pt-BR" sz="2800">
                <a:latin typeface="Aptos" panose="020B0004020202020204" pitchFamily="34" charset="0"/>
                <a:cs typeface="Aparajita" panose="020B0502040204020203" pitchFamily="18" charset="0"/>
              </a:rPr>
              <a:t>               ENVIAR</a:t>
            </a:r>
          </a:p>
        </xdr:txBody>
      </xdr:sp>
      <xdr:pic>
        <xdr:nvPicPr>
          <xdr:cNvPr id="18" name="Gráfico 17" descr="E-mail com preenchimento sólido">
            <a:extLst>
              <a:ext uri="{FF2B5EF4-FFF2-40B4-BE49-F238E27FC236}">
                <a16:creationId xmlns:a16="http://schemas.microsoft.com/office/drawing/2014/main" id="{234EEBFA-AD02-66DF-77C7-BFE728BE14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216140" y="2804160"/>
            <a:ext cx="617220" cy="617220"/>
          </a:xfrm>
          <a:prstGeom prst="rect">
            <a:avLst/>
          </a:prstGeom>
        </xdr:spPr>
      </xdr:pic>
    </xdr:grpSp>
    <xdr:clientData/>
  </xdr:twoCellAnchor>
  <xdr:oneCellAnchor>
    <xdr:from>
      <xdr:col>2</xdr:col>
      <xdr:colOff>53341</xdr:colOff>
      <xdr:row>3</xdr:row>
      <xdr:rowOff>15241</xdr:rowOff>
    </xdr:from>
    <xdr:ext cx="1158036" cy="1059179"/>
    <xdr:pic>
      <xdr:nvPicPr>
        <xdr:cNvPr id="2" name="image1.png" title="Imagem">
          <a:extLst>
            <a:ext uri="{FF2B5EF4-FFF2-40B4-BE49-F238E27FC236}">
              <a16:creationId xmlns:a16="http://schemas.microsoft.com/office/drawing/2014/main" id="{00BC3875-B4C0-40C8-A6F1-4339BB44797D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731521" y="563881"/>
          <a:ext cx="1158036" cy="1059179"/>
        </a:xfrm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304801</xdr:colOff>
      <xdr:row>2</xdr:row>
      <xdr:rowOff>43543</xdr:rowOff>
    </xdr:from>
    <xdr:ext cx="1426028" cy="1338942"/>
    <xdr:pic>
      <xdr:nvPicPr>
        <xdr:cNvPr id="8" name="image1.png" title="Imagem">
          <a:extLst>
            <a:ext uri="{FF2B5EF4-FFF2-40B4-BE49-F238E27FC236}">
              <a16:creationId xmlns:a16="http://schemas.microsoft.com/office/drawing/2014/main" id="{ED134805-59FE-4A4C-8905-FD94B83F17D2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57944" y="402772"/>
          <a:ext cx="1426028" cy="1338942"/>
        </a:xfrm>
        <a:prstGeom prst="rect">
          <a:avLst/>
        </a:prstGeom>
        <a:noFill/>
      </xdr:spPr>
    </xdr:pic>
    <xdr:clientData fLocksWithSheet="0"/>
  </xdr:oneCellAnchor>
  <xdr:oneCellAnchor>
    <xdr:from>
      <xdr:col>9</xdr:col>
      <xdr:colOff>561502</xdr:colOff>
      <xdr:row>75</xdr:row>
      <xdr:rowOff>40039</xdr:rowOff>
    </xdr:from>
    <xdr:ext cx="797036" cy="277231"/>
    <xdr:pic>
      <xdr:nvPicPr>
        <xdr:cNvPr id="9" name="Imagem 8">
          <a:extLst>
            <a:ext uri="{FF2B5EF4-FFF2-40B4-BE49-F238E27FC236}">
              <a16:creationId xmlns:a16="http://schemas.microsoft.com/office/drawing/2014/main" id="{CD68AAA3-1AE2-4F39-86D5-D397E557D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831482" y="18404239"/>
          <a:ext cx="797036" cy="277231"/>
        </a:xfrm>
        <a:prstGeom prst="rect">
          <a:avLst/>
        </a:prstGeom>
      </xdr:spPr>
    </xdr:pic>
    <xdr:clientData/>
  </xdr:oneCellAnchor>
  <xdr:oneCellAnchor>
    <xdr:from>
      <xdr:col>2</xdr:col>
      <xdr:colOff>68580</xdr:colOff>
      <xdr:row>75</xdr:row>
      <xdr:rowOff>45720</xdr:rowOff>
    </xdr:from>
    <xdr:ext cx="402128" cy="405542"/>
    <xdr:pic>
      <xdr:nvPicPr>
        <xdr:cNvPr id="10" name="Imagem 9" descr="Gráfico, Gráfico de bolhas&#10;&#10;Descrição gerada automaticamente">
          <a:extLst>
            <a:ext uri="{FF2B5EF4-FFF2-40B4-BE49-F238E27FC236}">
              <a16:creationId xmlns:a16="http://schemas.microsoft.com/office/drawing/2014/main" id="{DC414BFA-31B6-448D-B0A0-117DF7DD9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18409920"/>
          <a:ext cx="402128" cy="405542"/>
        </a:xfrm>
        <a:prstGeom prst="rect">
          <a:avLst/>
        </a:prstGeom>
      </xdr:spPr>
    </xdr:pic>
    <xdr:clientData/>
  </xdr:oneCellAnchor>
  <xdr:oneCellAnchor>
    <xdr:from>
      <xdr:col>18</xdr:col>
      <xdr:colOff>561502</xdr:colOff>
      <xdr:row>75</xdr:row>
      <xdr:rowOff>47659</xdr:rowOff>
    </xdr:from>
    <xdr:ext cx="797036" cy="277231"/>
    <xdr:pic>
      <xdr:nvPicPr>
        <xdr:cNvPr id="11" name="Imagem 10">
          <a:extLst>
            <a:ext uri="{FF2B5EF4-FFF2-40B4-BE49-F238E27FC236}">
              <a16:creationId xmlns:a16="http://schemas.microsoft.com/office/drawing/2014/main" id="{B92B2A6A-01E2-4368-9C48-63838B0AF7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237122" y="4512979"/>
          <a:ext cx="797036" cy="277231"/>
        </a:xfrm>
        <a:prstGeom prst="rect">
          <a:avLst/>
        </a:prstGeom>
      </xdr:spPr>
    </xdr:pic>
    <xdr:clientData/>
  </xdr:oneCellAnchor>
  <xdr:oneCellAnchor>
    <xdr:from>
      <xdr:col>2</xdr:col>
      <xdr:colOff>91440</xdr:colOff>
      <xdr:row>75</xdr:row>
      <xdr:rowOff>38100</xdr:rowOff>
    </xdr:from>
    <xdr:ext cx="402128" cy="405542"/>
    <xdr:pic>
      <xdr:nvPicPr>
        <xdr:cNvPr id="12" name="Imagem 11" descr="Gráfico, Gráfico de bolhas&#10;&#10;Descrição gerada automaticamente">
          <a:extLst>
            <a:ext uri="{FF2B5EF4-FFF2-40B4-BE49-F238E27FC236}">
              <a16:creationId xmlns:a16="http://schemas.microsoft.com/office/drawing/2014/main" id="{1F3C58E8-600F-47DA-AE4D-D5FBC6A2F3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4503420"/>
          <a:ext cx="402128" cy="405542"/>
        </a:xfrm>
        <a:prstGeom prst="rect">
          <a:avLst/>
        </a:prstGeom>
      </xdr:spPr>
    </xdr:pic>
    <xdr:clientData/>
  </xdr:oneCellAnchor>
  <xdr:oneCellAnchor>
    <xdr:from>
      <xdr:col>2</xdr:col>
      <xdr:colOff>304801</xdr:colOff>
      <xdr:row>81</xdr:row>
      <xdr:rowOff>43543</xdr:rowOff>
    </xdr:from>
    <xdr:ext cx="1426028" cy="1338942"/>
    <xdr:pic>
      <xdr:nvPicPr>
        <xdr:cNvPr id="13" name="image1.png" title="Imagem">
          <a:extLst>
            <a:ext uri="{FF2B5EF4-FFF2-40B4-BE49-F238E27FC236}">
              <a16:creationId xmlns:a16="http://schemas.microsoft.com/office/drawing/2014/main" id="{1619EBA4-0D33-4F24-8C5B-96E6D2290AAE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60121" y="401683"/>
          <a:ext cx="1426028" cy="1338942"/>
        </a:xfrm>
        <a:prstGeom prst="rect">
          <a:avLst/>
        </a:prstGeom>
        <a:noFill/>
      </xdr:spPr>
    </xdr:pic>
    <xdr:clientData fLocksWithSheet="0"/>
  </xdr:oneCellAnchor>
  <xdr:oneCellAnchor>
    <xdr:from>
      <xdr:col>9</xdr:col>
      <xdr:colOff>561502</xdr:colOff>
      <xdr:row>153</xdr:row>
      <xdr:rowOff>40039</xdr:rowOff>
    </xdr:from>
    <xdr:ext cx="797036" cy="277231"/>
    <xdr:pic>
      <xdr:nvPicPr>
        <xdr:cNvPr id="17" name="Imagem 16">
          <a:extLst>
            <a:ext uri="{FF2B5EF4-FFF2-40B4-BE49-F238E27FC236}">
              <a16:creationId xmlns:a16="http://schemas.microsoft.com/office/drawing/2014/main" id="{D604DF82-9969-4370-B6DE-CB1FB82356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831482" y="18404239"/>
          <a:ext cx="797036" cy="277231"/>
        </a:xfrm>
        <a:prstGeom prst="rect">
          <a:avLst/>
        </a:prstGeom>
      </xdr:spPr>
    </xdr:pic>
    <xdr:clientData/>
  </xdr:oneCellAnchor>
  <xdr:oneCellAnchor>
    <xdr:from>
      <xdr:col>2</xdr:col>
      <xdr:colOff>68580</xdr:colOff>
      <xdr:row>153</xdr:row>
      <xdr:rowOff>45720</xdr:rowOff>
    </xdr:from>
    <xdr:ext cx="402128" cy="405542"/>
    <xdr:pic>
      <xdr:nvPicPr>
        <xdr:cNvPr id="18" name="Imagem 17" descr="Gráfico, Gráfico de bolhas&#10;&#10;Descrição gerada automaticamente">
          <a:extLst>
            <a:ext uri="{FF2B5EF4-FFF2-40B4-BE49-F238E27FC236}">
              <a16:creationId xmlns:a16="http://schemas.microsoft.com/office/drawing/2014/main" id="{147F287B-AED4-4E31-8262-4FBD0757D7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18409920"/>
          <a:ext cx="402128" cy="405542"/>
        </a:xfrm>
        <a:prstGeom prst="rect">
          <a:avLst/>
        </a:prstGeom>
      </xdr:spPr>
    </xdr:pic>
    <xdr:clientData/>
  </xdr:oneCellAnchor>
  <xdr:oneCellAnchor>
    <xdr:from>
      <xdr:col>2</xdr:col>
      <xdr:colOff>91440</xdr:colOff>
      <xdr:row>153</xdr:row>
      <xdr:rowOff>38100</xdr:rowOff>
    </xdr:from>
    <xdr:ext cx="402128" cy="405542"/>
    <xdr:pic>
      <xdr:nvPicPr>
        <xdr:cNvPr id="19" name="Imagem 18" descr="Gráfico, Gráfico de bolhas&#10;&#10;Descrição gerada automaticamente">
          <a:extLst>
            <a:ext uri="{FF2B5EF4-FFF2-40B4-BE49-F238E27FC236}">
              <a16:creationId xmlns:a16="http://schemas.microsoft.com/office/drawing/2014/main" id="{D5DF895C-B560-4085-9280-0BE515E7F7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760" y="18402300"/>
          <a:ext cx="402128" cy="405542"/>
        </a:xfrm>
        <a:prstGeom prst="rect">
          <a:avLst/>
        </a:prstGeom>
      </xdr:spPr>
    </xdr:pic>
    <xdr:clientData/>
  </xdr:oneCellAnchor>
  <xdr:oneCellAnchor>
    <xdr:from>
      <xdr:col>2</xdr:col>
      <xdr:colOff>304801</xdr:colOff>
      <xdr:row>159</xdr:row>
      <xdr:rowOff>43543</xdr:rowOff>
    </xdr:from>
    <xdr:ext cx="1426028" cy="1338942"/>
    <xdr:pic>
      <xdr:nvPicPr>
        <xdr:cNvPr id="20" name="image1.png" title="Imagem">
          <a:extLst>
            <a:ext uri="{FF2B5EF4-FFF2-40B4-BE49-F238E27FC236}">
              <a16:creationId xmlns:a16="http://schemas.microsoft.com/office/drawing/2014/main" id="{6094C70C-5107-484C-B1A4-EEDFAB192A69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60121" y="19916503"/>
          <a:ext cx="1426028" cy="1338942"/>
        </a:xfrm>
        <a:prstGeom prst="rect">
          <a:avLst/>
        </a:prstGeom>
        <a:noFill/>
      </xdr:spPr>
    </xdr:pic>
    <xdr:clientData fLocksWithSheet="0"/>
  </xdr:oneCellAnchor>
  <xdr:oneCellAnchor>
    <xdr:from>
      <xdr:col>9</xdr:col>
      <xdr:colOff>561502</xdr:colOff>
      <xdr:row>231</xdr:row>
      <xdr:rowOff>40039</xdr:rowOff>
    </xdr:from>
    <xdr:ext cx="797036" cy="277231"/>
    <xdr:pic>
      <xdr:nvPicPr>
        <xdr:cNvPr id="21" name="Imagem 20">
          <a:extLst>
            <a:ext uri="{FF2B5EF4-FFF2-40B4-BE49-F238E27FC236}">
              <a16:creationId xmlns:a16="http://schemas.microsoft.com/office/drawing/2014/main" id="{08FE4FDB-A114-4320-B902-34B867BEE5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831482" y="37873339"/>
          <a:ext cx="797036" cy="277231"/>
        </a:xfrm>
        <a:prstGeom prst="rect">
          <a:avLst/>
        </a:prstGeom>
      </xdr:spPr>
    </xdr:pic>
    <xdr:clientData/>
  </xdr:oneCellAnchor>
  <xdr:oneCellAnchor>
    <xdr:from>
      <xdr:col>2</xdr:col>
      <xdr:colOff>68580</xdr:colOff>
      <xdr:row>231</xdr:row>
      <xdr:rowOff>45720</xdr:rowOff>
    </xdr:from>
    <xdr:ext cx="402128" cy="405542"/>
    <xdr:pic>
      <xdr:nvPicPr>
        <xdr:cNvPr id="22" name="Imagem 21" descr="Gráfico, Gráfico de bolhas&#10;&#10;Descrição gerada automaticamente">
          <a:extLst>
            <a:ext uri="{FF2B5EF4-FFF2-40B4-BE49-F238E27FC236}">
              <a16:creationId xmlns:a16="http://schemas.microsoft.com/office/drawing/2014/main" id="{52F6A6E8-F49C-4CB1-97CD-1A5E917CED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37879020"/>
          <a:ext cx="402128" cy="405542"/>
        </a:xfrm>
        <a:prstGeom prst="rect">
          <a:avLst/>
        </a:prstGeom>
      </xdr:spPr>
    </xdr:pic>
    <xdr:clientData/>
  </xdr:oneCellAnchor>
  <xdr:oneCellAnchor>
    <xdr:from>
      <xdr:col>2</xdr:col>
      <xdr:colOff>91440</xdr:colOff>
      <xdr:row>231</xdr:row>
      <xdr:rowOff>38100</xdr:rowOff>
    </xdr:from>
    <xdr:ext cx="402128" cy="405542"/>
    <xdr:pic>
      <xdr:nvPicPr>
        <xdr:cNvPr id="23" name="Imagem 22" descr="Gráfico, Gráfico de bolhas&#10;&#10;Descrição gerada automaticamente">
          <a:extLst>
            <a:ext uri="{FF2B5EF4-FFF2-40B4-BE49-F238E27FC236}">
              <a16:creationId xmlns:a16="http://schemas.microsoft.com/office/drawing/2014/main" id="{76EAF2C9-0279-405D-B2D3-DEF69C3CFD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760" y="37871400"/>
          <a:ext cx="402128" cy="405542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200025</xdr:colOff>
      <xdr:row>0</xdr:row>
      <xdr:rowOff>66675</xdr:rowOff>
    </xdr:from>
    <xdr:to>
      <xdr:col>0</xdr:col>
      <xdr:colOff>914400</xdr:colOff>
      <xdr:row>4</xdr:row>
      <xdr:rowOff>19050</xdr:rowOff>
    </xdr:to>
    <xdr:pic>
      <xdr:nvPicPr>
        <xdr:cNvPr id="3" name="Imagem 2">
          <a:hlinkClick xmlns:r="http://schemas.openxmlformats.org/officeDocument/2006/relationships" r:id="rId1" tooltip="voltar"/>
          <a:extLst>
            <a:ext uri="{FF2B5EF4-FFF2-40B4-BE49-F238E27FC236}">
              <a16:creationId xmlns:a16="http://schemas.microsoft.com/office/drawing/2014/main" id="{48BBB096-6722-C104-95F6-6DA2B3B4EB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66675"/>
          <a:ext cx="714375" cy="714375"/>
        </a:xfrm>
        <a:prstGeom prst="rect">
          <a:avLst/>
        </a:prstGeom>
      </xdr:spPr>
    </xdr:pic>
    <xdr:clientData/>
  </xdr:twoCellAnchor>
  <xdr:twoCellAnchor editAs="absolute">
    <xdr:from>
      <xdr:col>0</xdr:col>
      <xdr:colOff>885825</xdr:colOff>
      <xdr:row>1</xdr:row>
      <xdr:rowOff>0</xdr:rowOff>
    </xdr:from>
    <xdr:to>
      <xdr:col>6</xdr:col>
      <xdr:colOff>933450</xdr:colOff>
      <xdr:row>3</xdr:row>
      <xdr:rowOff>66675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F0A483BD-6399-44EE-92C8-E5F37EEBE206}"/>
            </a:ext>
          </a:extLst>
        </xdr:cNvPr>
        <xdr:cNvSpPr txBox="1"/>
      </xdr:nvSpPr>
      <xdr:spPr>
        <a:xfrm>
          <a:off x="885825" y="190500"/>
          <a:ext cx="9048750" cy="4476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400" b="0" kern="1200">
              <a:solidFill>
                <a:schemeClr val="tx1">
                  <a:lumMod val="50000"/>
                  <a:lumOff val="50000"/>
                </a:schemeClr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    PARÂMETROS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creativecommons.org/licenses/by-nc/4.0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5EBB3-D6BE-4966-8AEE-76DD560E86D3}">
  <sheetPr codeName="Planilha10"/>
  <dimension ref="A1:XFC40"/>
  <sheetViews>
    <sheetView showGridLines="0" tabSelected="1" zoomScale="85" zoomScaleNormal="85" workbookViewId="0">
      <selection activeCell="G21" sqref="G21"/>
    </sheetView>
  </sheetViews>
  <sheetFormatPr defaultColWidth="9.109375" defaultRowHeight="15" customHeight="1" zeroHeight="1" x14ac:dyDescent="0.3"/>
  <cols>
    <col min="1" max="1" width="4.88671875" customWidth="1"/>
    <col min="2" max="2" width="5" customWidth="1"/>
    <col min="3" max="18" width="9.109375" customWidth="1"/>
    <col min="19" max="19" width="21.5546875" customWidth="1"/>
    <col min="20" max="20" width="4.44140625" customWidth="1"/>
    <col min="21" max="21" width="4.6640625" customWidth="1"/>
    <col min="22" max="26" width="9.109375" hidden="1" customWidth="1"/>
    <col min="27" max="16383" width="0" hidden="1" customWidth="1"/>
    <col min="16384" max="16384" width="7.44140625" hidden="1" customWidth="1"/>
  </cols>
  <sheetData>
    <row r="1" spans="2:26" ht="14.4" x14ac:dyDescent="0.3">
      <c r="E1" s="18"/>
      <c r="F1" s="18"/>
      <c r="G1" s="18"/>
      <c r="H1" s="18"/>
      <c r="I1" s="18"/>
      <c r="J1" s="18"/>
      <c r="K1" s="18"/>
      <c r="L1" s="18"/>
      <c r="M1" s="18"/>
      <c r="N1" s="18"/>
    </row>
    <row r="2" spans="2:26" ht="14.4" x14ac:dyDescent="0.3">
      <c r="B2" s="25"/>
      <c r="C2" s="26"/>
      <c r="D2" s="27"/>
      <c r="E2" s="28"/>
      <c r="F2" s="28"/>
      <c r="G2" s="28"/>
      <c r="H2" s="29"/>
      <c r="I2" s="28"/>
      <c r="J2" s="27"/>
      <c r="K2" s="27"/>
      <c r="L2" s="30"/>
      <c r="M2" s="30"/>
      <c r="N2" s="30"/>
      <c r="O2" s="40"/>
      <c r="P2" s="40"/>
      <c r="Q2" s="40"/>
      <c r="R2" s="40"/>
      <c r="S2" s="31"/>
      <c r="T2" s="32"/>
      <c r="V2" s="2"/>
      <c r="W2" s="2"/>
      <c r="X2" s="2"/>
      <c r="Y2" s="2"/>
      <c r="Z2" s="2"/>
    </row>
    <row r="3" spans="2:26" ht="14.4" customHeight="1" x14ac:dyDescent="0.3">
      <c r="B3" s="33"/>
      <c r="C3" s="113"/>
      <c r="D3" s="114"/>
      <c r="E3" s="119" t="s">
        <v>11128</v>
      </c>
      <c r="F3" s="120"/>
      <c r="G3" s="120"/>
      <c r="H3" s="120"/>
      <c r="I3" s="120"/>
      <c r="J3" s="120"/>
      <c r="K3" s="120"/>
      <c r="L3" s="120"/>
      <c r="M3" s="120"/>
      <c r="N3" s="120"/>
      <c r="O3" s="120"/>
      <c r="P3" s="120"/>
      <c r="Q3" s="121"/>
      <c r="R3" s="128" t="s">
        <v>11121</v>
      </c>
      <c r="S3" s="129"/>
      <c r="T3" s="34"/>
      <c r="V3" s="2"/>
      <c r="W3" s="2"/>
      <c r="X3" s="2"/>
      <c r="Y3" s="2"/>
      <c r="Z3" s="2"/>
    </row>
    <row r="4" spans="2:26" ht="14.4" customHeight="1" x14ac:dyDescent="0.3">
      <c r="B4" s="33"/>
      <c r="C4" s="115"/>
      <c r="D4" s="116"/>
      <c r="E4" s="122"/>
      <c r="F4" s="123"/>
      <c r="G4" s="123"/>
      <c r="H4" s="123"/>
      <c r="I4" s="123"/>
      <c r="J4" s="123"/>
      <c r="K4" s="123"/>
      <c r="L4" s="123"/>
      <c r="M4" s="123"/>
      <c r="N4" s="123"/>
      <c r="O4" s="123"/>
      <c r="P4" s="123"/>
      <c r="Q4" s="124"/>
      <c r="R4" s="130" t="s">
        <v>11127</v>
      </c>
      <c r="S4" s="131"/>
      <c r="T4" s="34"/>
      <c r="V4" s="2"/>
      <c r="W4" s="2"/>
      <c r="X4" s="2"/>
      <c r="Y4" s="2"/>
      <c r="Z4" s="2"/>
    </row>
    <row r="5" spans="2:26" ht="14.4" customHeight="1" x14ac:dyDescent="0.3">
      <c r="B5" s="33"/>
      <c r="C5" s="115"/>
      <c r="D5" s="116"/>
      <c r="E5" s="122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124"/>
      <c r="R5" s="132" t="s">
        <v>11122</v>
      </c>
      <c r="S5" s="133"/>
      <c r="T5" s="34"/>
      <c r="V5" s="2"/>
      <c r="W5" s="2"/>
      <c r="X5" s="2"/>
      <c r="Y5" s="2"/>
      <c r="Z5" s="2"/>
    </row>
    <row r="6" spans="2:26" ht="14.4" customHeight="1" x14ac:dyDescent="0.3">
      <c r="B6" s="33"/>
      <c r="C6" s="115"/>
      <c r="D6" s="116"/>
      <c r="E6" s="122"/>
      <c r="F6" s="123"/>
      <c r="G6" s="123"/>
      <c r="H6" s="123"/>
      <c r="I6" s="123"/>
      <c r="J6" s="123"/>
      <c r="K6" s="123"/>
      <c r="L6" s="123"/>
      <c r="M6" s="123"/>
      <c r="N6" s="123"/>
      <c r="O6" s="123"/>
      <c r="P6" s="123"/>
      <c r="Q6" s="124"/>
      <c r="R6" s="134" t="s">
        <v>11123</v>
      </c>
      <c r="S6" s="135"/>
      <c r="T6" s="34"/>
      <c r="V6" s="2"/>
      <c r="W6" s="2"/>
      <c r="X6" s="2"/>
      <c r="Y6" s="2"/>
      <c r="Z6" s="2"/>
    </row>
    <row r="7" spans="2:26" ht="14.4" customHeight="1" x14ac:dyDescent="0.3">
      <c r="B7" s="33"/>
      <c r="C7" s="115"/>
      <c r="D7" s="116"/>
      <c r="E7" s="122"/>
      <c r="F7" s="123"/>
      <c r="G7" s="123"/>
      <c r="H7" s="123"/>
      <c r="I7" s="123"/>
      <c r="J7" s="123"/>
      <c r="K7" s="123"/>
      <c r="L7" s="123"/>
      <c r="M7" s="123"/>
      <c r="N7" s="123"/>
      <c r="O7" s="123"/>
      <c r="P7" s="123"/>
      <c r="Q7" s="124"/>
      <c r="R7" s="128" t="s">
        <v>11124</v>
      </c>
      <c r="S7" s="129"/>
      <c r="T7" s="34"/>
      <c r="V7" s="2"/>
      <c r="W7" s="2"/>
      <c r="X7" s="2"/>
      <c r="Y7" s="2"/>
      <c r="Z7" s="2"/>
    </row>
    <row r="8" spans="2:26" ht="14.4" customHeight="1" x14ac:dyDescent="0.3">
      <c r="B8" s="33"/>
      <c r="C8" s="115"/>
      <c r="D8" s="116"/>
      <c r="E8" s="122"/>
      <c r="F8" s="123"/>
      <c r="G8" s="123"/>
      <c r="H8" s="123"/>
      <c r="I8" s="123"/>
      <c r="J8" s="123"/>
      <c r="K8" s="123"/>
      <c r="L8" s="123"/>
      <c r="M8" s="123"/>
      <c r="N8" s="123"/>
      <c r="O8" s="123"/>
      <c r="P8" s="123"/>
      <c r="Q8" s="124"/>
      <c r="R8" s="136">
        <v>45709</v>
      </c>
      <c r="S8" s="137"/>
      <c r="T8" s="34"/>
      <c r="V8" s="2"/>
      <c r="W8" s="2"/>
      <c r="X8" s="2"/>
      <c r="Y8" s="2"/>
      <c r="Z8" s="2"/>
    </row>
    <row r="9" spans="2:26" ht="14.4" customHeight="1" x14ac:dyDescent="0.3">
      <c r="B9" s="33"/>
      <c r="C9" s="115"/>
      <c r="D9" s="116"/>
      <c r="E9" s="122"/>
      <c r="F9" s="123"/>
      <c r="G9" s="123"/>
      <c r="H9" s="123"/>
      <c r="I9" s="123"/>
      <c r="J9" s="123"/>
      <c r="K9" s="123"/>
      <c r="L9" s="123"/>
      <c r="M9" s="123"/>
      <c r="N9" s="123"/>
      <c r="O9" s="123"/>
      <c r="P9" s="123"/>
      <c r="Q9" s="124"/>
      <c r="R9" s="132" t="s">
        <v>11125</v>
      </c>
      <c r="S9" s="133"/>
      <c r="T9" s="34"/>
      <c r="V9" s="2"/>
      <c r="W9" s="2"/>
      <c r="X9" s="2"/>
      <c r="Y9" s="2"/>
      <c r="Z9" s="2"/>
    </row>
    <row r="10" spans="2:26" ht="14.4" customHeight="1" x14ac:dyDescent="0.3">
      <c r="B10" s="33"/>
      <c r="C10" s="117"/>
      <c r="D10" s="118"/>
      <c r="E10" s="125"/>
      <c r="F10" s="126"/>
      <c r="G10" s="126"/>
      <c r="H10" s="126"/>
      <c r="I10" s="126"/>
      <c r="J10" s="126"/>
      <c r="K10" s="126"/>
      <c r="L10" s="126"/>
      <c r="M10" s="126"/>
      <c r="N10" s="126"/>
      <c r="O10" s="126"/>
      <c r="P10" s="126"/>
      <c r="Q10" s="127"/>
      <c r="R10" s="130" t="s">
        <v>11129</v>
      </c>
      <c r="S10" s="131"/>
      <c r="T10" s="34"/>
      <c r="V10" s="2"/>
      <c r="W10" s="2"/>
      <c r="X10" s="2"/>
      <c r="Y10" s="2"/>
      <c r="Z10" s="2"/>
    </row>
    <row r="11" spans="2:26" ht="24.6" x14ac:dyDescent="0.3">
      <c r="B11" s="33"/>
      <c r="C11" s="41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S11" s="42"/>
      <c r="T11" s="34"/>
      <c r="V11" s="2"/>
      <c r="W11" s="2"/>
      <c r="X11" s="2"/>
      <c r="Y11" s="2"/>
      <c r="Z11" s="2"/>
    </row>
    <row r="12" spans="2:26" ht="14.4" x14ac:dyDescent="0.3">
      <c r="B12" s="43"/>
      <c r="C12" s="46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5"/>
      <c r="T12" s="37"/>
      <c r="V12" s="2"/>
      <c r="W12" s="2"/>
      <c r="X12" s="2"/>
      <c r="Y12" s="2"/>
      <c r="Z12" s="2"/>
    </row>
    <row r="13" spans="2:26" ht="14.4" x14ac:dyDescent="0.3">
      <c r="B13" s="43"/>
      <c r="C13" s="43"/>
      <c r="S13" s="37"/>
      <c r="T13" s="37"/>
      <c r="V13" s="2"/>
      <c r="W13" s="2"/>
      <c r="X13" s="2"/>
      <c r="Y13" s="2"/>
      <c r="Z13" s="2"/>
    </row>
    <row r="14" spans="2:26" ht="14.4" x14ac:dyDescent="0.3">
      <c r="B14" s="43"/>
      <c r="C14" s="43"/>
      <c r="S14" s="37"/>
      <c r="T14" s="37"/>
      <c r="V14" s="2"/>
      <c r="W14" s="2"/>
      <c r="X14" s="2"/>
      <c r="Y14" s="2"/>
      <c r="Z14" s="2"/>
    </row>
    <row r="15" spans="2:26" ht="14.4" x14ac:dyDescent="0.3">
      <c r="B15" s="43"/>
      <c r="C15" s="43"/>
      <c r="S15" s="37"/>
      <c r="T15" s="37"/>
      <c r="V15" s="2"/>
      <c r="W15" s="2"/>
      <c r="X15" s="2"/>
      <c r="Y15" s="2"/>
      <c r="Z15" s="2"/>
    </row>
    <row r="16" spans="2:26" ht="14.4" x14ac:dyDescent="0.3">
      <c r="B16" s="43"/>
      <c r="C16" s="43"/>
      <c r="J16" s="23"/>
      <c r="S16" s="37"/>
      <c r="T16" s="37"/>
      <c r="V16" s="2"/>
      <c r="W16" s="2"/>
      <c r="X16" s="2"/>
      <c r="Y16" s="2"/>
      <c r="Z16" s="2"/>
    </row>
    <row r="17" spans="1:26" ht="14.4" x14ac:dyDescent="0.3">
      <c r="B17" s="43"/>
      <c r="C17" s="43"/>
      <c r="J17" s="23"/>
      <c r="S17" s="37"/>
      <c r="T17" s="37"/>
      <c r="V17" s="2"/>
      <c r="W17" s="2"/>
      <c r="X17" s="2"/>
      <c r="Y17" s="2"/>
      <c r="Z17" s="2"/>
    </row>
    <row r="18" spans="1:26" ht="14.4" x14ac:dyDescent="0.3">
      <c r="B18" s="43"/>
      <c r="C18" s="43"/>
      <c r="S18" s="37"/>
      <c r="T18" s="37"/>
      <c r="V18" s="2"/>
      <c r="W18" s="2"/>
      <c r="X18" s="2"/>
      <c r="Y18" s="2"/>
      <c r="Z18" s="2"/>
    </row>
    <row r="19" spans="1:26" ht="14.4" x14ac:dyDescent="0.3">
      <c r="B19" s="43"/>
      <c r="C19" s="43"/>
      <c r="S19" s="37"/>
      <c r="T19" s="37"/>
      <c r="V19" s="2"/>
      <c r="W19" s="2"/>
      <c r="X19" s="2"/>
      <c r="Y19" s="2"/>
      <c r="Z19" s="2"/>
    </row>
    <row r="20" spans="1:26" ht="14.4" x14ac:dyDescent="0.3">
      <c r="B20" s="43"/>
      <c r="C20" s="43"/>
      <c r="S20" s="37"/>
      <c r="T20" s="37"/>
      <c r="V20" s="2"/>
      <c r="W20" s="2"/>
      <c r="X20" s="2"/>
      <c r="Y20" s="2"/>
      <c r="Z20" s="2"/>
    </row>
    <row r="21" spans="1:26" ht="14.4" x14ac:dyDescent="0.3">
      <c r="B21" s="43"/>
      <c r="C21" s="43"/>
      <c r="M21" s="24"/>
      <c r="S21" s="37"/>
      <c r="T21" s="37"/>
      <c r="V21" s="2"/>
      <c r="W21" s="2"/>
      <c r="X21" s="2"/>
      <c r="Y21" s="2"/>
      <c r="Z21" s="2"/>
    </row>
    <row r="22" spans="1:26" ht="14.4" x14ac:dyDescent="0.3">
      <c r="B22" s="43"/>
      <c r="C22" s="44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38"/>
      <c r="T22" s="37"/>
      <c r="V22" s="2"/>
      <c r="W22" s="2"/>
      <c r="X22" s="2"/>
      <c r="Y22" s="2"/>
      <c r="Z22" s="2"/>
    </row>
    <row r="23" spans="1:26" ht="24.6" x14ac:dyDescent="0.3">
      <c r="B23" s="43"/>
      <c r="L23" s="36"/>
      <c r="T23" s="37"/>
      <c r="V23" s="2"/>
      <c r="W23" s="2"/>
      <c r="X23" s="2"/>
      <c r="Y23" s="2"/>
      <c r="Z23" s="2"/>
    </row>
    <row r="24" spans="1:26" ht="18.600000000000001" customHeight="1" x14ac:dyDescent="0.3">
      <c r="B24" s="43"/>
      <c r="C24" s="112" t="s">
        <v>11126</v>
      </c>
      <c r="D24" s="112"/>
      <c r="E24" s="112"/>
      <c r="F24" s="112"/>
      <c r="G24" s="112"/>
      <c r="H24" s="112"/>
      <c r="I24" s="112"/>
      <c r="J24" s="112"/>
      <c r="K24" s="112"/>
      <c r="L24" s="112"/>
      <c r="M24" s="112"/>
      <c r="N24" s="112"/>
      <c r="O24" s="112"/>
      <c r="P24" s="112"/>
      <c r="Q24" s="112"/>
      <c r="R24" s="112"/>
      <c r="S24" s="112"/>
      <c r="T24" s="37"/>
      <c r="V24" s="2"/>
      <c r="W24" s="2"/>
      <c r="X24" s="2"/>
      <c r="Y24" s="2"/>
      <c r="Z24" s="2"/>
    </row>
    <row r="25" spans="1:26" ht="18.600000000000001" customHeight="1" x14ac:dyDescent="0.3">
      <c r="A25" s="111"/>
      <c r="B25" s="43"/>
      <c r="C25" s="112"/>
      <c r="D25" s="112"/>
      <c r="E25" s="112"/>
      <c r="F25" s="112"/>
      <c r="G25" s="112"/>
      <c r="H25" s="112"/>
      <c r="I25" s="112"/>
      <c r="J25" s="112"/>
      <c r="K25" s="112"/>
      <c r="L25" s="112"/>
      <c r="M25" s="112"/>
      <c r="N25" s="112"/>
      <c r="O25" s="112"/>
      <c r="P25" s="112"/>
      <c r="Q25" s="112"/>
      <c r="R25" s="112"/>
      <c r="S25" s="112"/>
      <c r="T25" s="37"/>
      <c r="V25" s="2"/>
      <c r="W25" s="2"/>
      <c r="X25" s="2"/>
      <c r="Y25" s="2"/>
      <c r="Z25" s="2"/>
    </row>
    <row r="26" spans="1:26" ht="14.4" x14ac:dyDescent="0.3">
      <c r="B26" s="44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38"/>
      <c r="V26" s="2"/>
      <c r="W26" s="2"/>
      <c r="X26" s="2"/>
      <c r="Y26" s="2"/>
      <c r="Z26" s="2"/>
    </row>
    <row r="27" spans="1:26" ht="14.4" x14ac:dyDescent="0.3">
      <c r="V27" s="2"/>
      <c r="W27" s="2"/>
      <c r="X27" s="2"/>
      <c r="Y27" s="2"/>
      <c r="Z27" s="2"/>
    </row>
    <row r="28" spans="1:26" ht="14.4" hidden="1" x14ac:dyDescent="0.3">
      <c r="A28" t="s">
        <v>47</v>
      </c>
    </row>
    <row r="33" customFormat="1" ht="15" hidden="1" customHeight="1" x14ac:dyDescent="0.3"/>
    <row r="34" customFormat="1" ht="15" hidden="1" customHeight="1" x14ac:dyDescent="0.3"/>
    <row r="35" customFormat="1" ht="15" hidden="1" customHeight="1" x14ac:dyDescent="0.3"/>
    <row r="36" customFormat="1" ht="15" hidden="1" customHeight="1" x14ac:dyDescent="0.3"/>
    <row r="37" customFormat="1" ht="15" hidden="1" customHeight="1" x14ac:dyDescent="0.3"/>
    <row r="38" customFormat="1" ht="15" hidden="1" customHeight="1" x14ac:dyDescent="0.3"/>
    <row r="39" customFormat="1" ht="15" hidden="1" customHeight="1" x14ac:dyDescent="0.3"/>
    <row r="40" customFormat="1" ht="15" hidden="1" customHeight="1" x14ac:dyDescent="0.3"/>
  </sheetData>
  <sheetProtection selectLockedCells="1"/>
  <mergeCells count="11">
    <mergeCell ref="C24:S25"/>
    <mergeCell ref="C3:D10"/>
    <mergeCell ref="E3:Q10"/>
    <mergeCell ref="R3:S3"/>
    <mergeCell ref="R4:S4"/>
    <mergeCell ref="R5:S5"/>
    <mergeCell ref="R6:S6"/>
    <mergeCell ref="R7:S7"/>
    <mergeCell ref="R8:S8"/>
    <mergeCell ref="R9:S9"/>
    <mergeCell ref="R10:S10"/>
  </mergeCells>
  <conditionalFormatting sqref="A3:C3 L23 A1:P1 A2:N2 A11:N11 S2:T2 S11:T11 T3:T10 R3:R10 A4:B10 E3">
    <cfRule type="cellIs" dxfId="8" priority="2" operator="lessThan">
      <formula>0</formula>
    </cfRule>
  </conditionalFormatting>
  <conditionalFormatting sqref="T2:T11">
    <cfRule type="cellIs" dxfId="7" priority="3" operator="equal">
      <formula>"INATIVO"</formula>
    </cfRule>
  </conditionalFormatting>
  <hyperlinks>
    <hyperlink ref="C24" r:id="rId1" display="This work is licensed under a Creative Commons Attribution-NonCommercial 4.0 International License." xr:uid="{A075092E-3C6C-4047-A486-63CF163CAF49}"/>
  </hyperlinks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1A453-B3BC-4847-97D7-D25DFEEF37C3}">
  <sheetPr codeName="Planilha13"/>
  <dimension ref="A2:W253"/>
  <sheetViews>
    <sheetView showGridLines="0" view="pageBreakPreview" topLeftCell="A32" zoomScale="70" zoomScaleNormal="55" zoomScaleSheetLayoutView="70" workbookViewId="0">
      <selection activeCell="I19" sqref="I19"/>
    </sheetView>
  </sheetViews>
  <sheetFormatPr defaultRowHeight="14.4" x14ac:dyDescent="0.3"/>
  <cols>
    <col min="1" max="2" width="4.77734375" customWidth="1"/>
    <col min="3" max="3" width="29.44140625" customWidth="1"/>
    <col min="4" max="4" width="19.44140625" customWidth="1"/>
    <col min="5" max="5" width="16" customWidth="1"/>
    <col min="6" max="6" width="21.109375" customWidth="1"/>
    <col min="7" max="7" width="19.5546875" customWidth="1"/>
    <col min="8" max="8" width="31.33203125" customWidth="1"/>
    <col min="9" max="9" width="17.88671875" customWidth="1"/>
    <col min="10" max="10" width="20.109375" customWidth="1"/>
    <col min="11" max="12" width="4.77734375" customWidth="1"/>
  </cols>
  <sheetData>
    <row r="2" spans="1:23" ht="13.8" customHeight="1" x14ac:dyDescent="0.3">
      <c r="B2" s="46"/>
      <c r="C2" s="31"/>
      <c r="D2" s="31"/>
      <c r="E2" s="31"/>
      <c r="F2" s="31"/>
      <c r="G2" s="31"/>
      <c r="H2" s="31"/>
      <c r="I2" s="31"/>
      <c r="J2" s="31"/>
      <c r="K2" s="35"/>
    </row>
    <row r="3" spans="1:23" ht="13.8" customHeight="1" x14ac:dyDescent="0.3">
      <c r="B3" s="43"/>
      <c r="C3" s="158"/>
      <c r="D3" s="119" t="s">
        <v>11128</v>
      </c>
      <c r="E3" s="120"/>
      <c r="F3" s="120"/>
      <c r="G3" s="120"/>
      <c r="H3" s="121"/>
      <c r="I3" s="128" t="s">
        <v>11121</v>
      </c>
      <c r="J3" s="129"/>
      <c r="K3" s="37"/>
    </row>
    <row r="4" spans="1:23" ht="13.8" customHeight="1" x14ac:dyDescent="0.3">
      <c r="B4" s="43"/>
      <c r="C4" s="159"/>
      <c r="D4" s="122"/>
      <c r="E4" s="123"/>
      <c r="F4" s="123"/>
      <c r="G4" s="123"/>
      <c r="H4" s="124"/>
      <c r="I4" s="130" t="s">
        <v>11127</v>
      </c>
      <c r="J4" s="131"/>
      <c r="K4" s="37"/>
    </row>
    <row r="5" spans="1:23" ht="13.8" customHeight="1" x14ac:dyDescent="0.3">
      <c r="B5" s="43"/>
      <c r="C5" s="159"/>
      <c r="D5" s="122"/>
      <c r="E5" s="123"/>
      <c r="F5" s="123"/>
      <c r="G5" s="123"/>
      <c r="H5" s="124"/>
      <c r="I5" s="132" t="s">
        <v>11122</v>
      </c>
      <c r="J5" s="133"/>
      <c r="K5" s="37"/>
    </row>
    <row r="6" spans="1:23" ht="13.8" customHeight="1" x14ac:dyDescent="0.3">
      <c r="B6" s="43"/>
      <c r="C6" s="159"/>
      <c r="D6" s="122"/>
      <c r="E6" s="123"/>
      <c r="F6" s="123"/>
      <c r="G6" s="123"/>
      <c r="H6" s="124"/>
      <c r="I6" s="134" t="s">
        <v>11123</v>
      </c>
      <c r="J6" s="135"/>
      <c r="K6" s="37"/>
    </row>
    <row r="7" spans="1:23" ht="13.8" customHeight="1" x14ac:dyDescent="0.3">
      <c r="B7" s="43"/>
      <c r="C7" s="159"/>
      <c r="D7" s="122"/>
      <c r="E7" s="123"/>
      <c r="F7" s="123"/>
      <c r="G7" s="123"/>
      <c r="H7" s="124"/>
      <c r="I7" s="128" t="s">
        <v>11124</v>
      </c>
      <c r="J7" s="129"/>
      <c r="K7" s="37"/>
    </row>
    <row r="8" spans="1:23" x14ac:dyDescent="0.3">
      <c r="B8" s="43"/>
      <c r="C8" s="159"/>
      <c r="D8" s="122"/>
      <c r="E8" s="123"/>
      <c r="F8" s="123"/>
      <c r="G8" s="123"/>
      <c r="H8" s="124"/>
      <c r="I8" s="136">
        <v>45709</v>
      </c>
      <c r="J8" s="137"/>
      <c r="K8" s="37"/>
    </row>
    <row r="9" spans="1:23" ht="13.2" customHeight="1" x14ac:dyDescent="1.1000000000000001">
      <c r="B9" s="43"/>
      <c r="C9" s="159"/>
      <c r="D9" s="122"/>
      <c r="E9" s="123"/>
      <c r="F9" s="123"/>
      <c r="G9" s="123"/>
      <c r="H9" s="124"/>
      <c r="I9" s="132" t="s">
        <v>11125</v>
      </c>
      <c r="J9" s="133"/>
      <c r="K9" s="37"/>
      <c r="V9" s="17" t="s">
        <v>5468</v>
      </c>
      <c r="W9" s="16" t="str">
        <f>listagens!A14</f>
        <v>GRUPO</v>
      </c>
    </row>
    <row r="10" spans="1:23" x14ac:dyDescent="0.3">
      <c r="B10" s="43"/>
      <c r="C10" s="160"/>
      <c r="D10" s="125"/>
      <c r="E10" s="126"/>
      <c r="F10" s="126"/>
      <c r="G10" s="126"/>
      <c r="H10" s="127"/>
      <c r="I10" s="130" t="s">
        <v>11130</v>
      </c>
      <c r="J10" s="131"/>
      <c r="K10" s="37"/>
    </row>
    <row r="11" spans="1:23" ht="13.8" customHeight="1" x14ac:dyDescent="0.3">
      <c r="B11" s="43"/>
      <c r="C11" s="18"/>
      <c r="D11" s="39"/>
      <c r="E11" s="39"/>
      <c r="F11" s="39"/>
      <c r="G11" s="39"/>
      <c r="H11" s="39"/>
      <c r="I11" s="42"/>
      <c r="J11" s="42"/>
      <c r="K11" s="37"/>
    </row>
    <row r="12" spans="1:23" ht="24.6" x14ac:dyDescent="0.3">
      <c r="B12" s="43"/>
      <c r="C12" s="50" t="s">
        <v>5468</v>
      </c>
      <c r="D12" s="146" t="str">
        <f>listagens!A14</f>
        <v>GRUPO</v>
      </c>
      <c r="E12" s="146"/>
      <c r="F12" s="146"/>
      <c r="G12" s="146"/>
      <c r="H12" s="39"/>
      <c r="I12" s="42"/>
      <c r="J12" s="42"/>
      <c r="K12" s="37"/>
    </row>
    <row r="13" spans="1:23" ht="24.6" x14ac:dyDescent="0.3">
      <c r="B13" s="43"/>
      <c r="C13" s="50" t="s">
        <v>5469</v>
      </c>
      <c r="D13" s="146" t="str">
        <f>listagens!A17</f>
        <v>Abadiânia/GO</v>
      </c>
      <c r="E13" s="146"/>
      <c r="F13" s="146"/>
      <c r="G13" s="146"/>
      <c r="H13" s="39"/>
      <c r="I13" s="42"/>
      <c r="J13" s="42"/>
      <c r="K13" s="37"/>
    </row>
    <row r="14" spans="1:23" ht="14.4" customHeight="1" x14ac:dyDescent="0.55000000000000004">
      <c r="B14" s="43"/>
      <c r="K14" s="37"/>
      <c r="V14" s="47" t="s">
        <v>5469</v>
      </c>
      <c r="W14" s="48" t="str">
        <f>listagens!A17</f>
        <v>Abadiânia/GO</v>
      </c>
    </row>
    <row r="15" spans="1:23" s="1" customFormat="1" ht="25.8" customHeight="1" x14ac:dyDescent="0.3">
      <c r="A15"/>
      <c r="B15" s="43"/>
      <c r="C15" s="147" t="s">
        <v>11131</v>
      </c>
      <c r="D15" s="148"/>
      <c r="E15" s="148"/>
      <c r="F15" s="148"/>
      <c r="G15" s="148"/>
      <c r="H15" s="148"/>
      <c r="I15" s="148"/>
      <c r="J15" s="149"/>
      <c r="K15" s="37"/>
      <c r="L15"/>
      <c r="M15"/>
      <c r="N15"/>
    </row>
    <row r="16" spans="1:23" s="49" customFormat="1" ht="19.95" customHeight="1" x14ac:dyDescent="0.3">
      <c r="B16" s="95"/>
      <c r="C16" s="71" t="s">
        <v>2</v>
      </c>
      <c r="D16" s="71" t="s">
        <v>1</v>
      </c>
      <c r="E16" s="71" t="s">
        <v>5443</v>
      </c>
      <c r="F16" s="71" t="s">
        <v>4</v>
      </c>
      <c r="G16" s="71" t="s">
        <v>5461</v>
      </c>
      <c r="H16" s="58"/>
      <c r="I16" s="51"/>
      <c r="J16" s="51"/>
      <c r="K16" s="96"/>
    </row>
    <row r="17" spans="1:14" s="49" customFormat="1" ht="19.95" customHeight="1" x14ac:dyDescent="0.3">
      <c r="B17" s="95"/>
      <c r="C17" s="56" t="str" cm="1">
        <f t="array" aca="1" ref="C17" ca="1">IF(INDIRECT("Sócios!L"&amp;ROW()-15&amp;"C[-2]",0)="","",INDIRECT("Sócios!L"&amp;ROW()-15&amp;"C[-2]",0))</f>
        <v>Christian</v>
      </c>
      <c r="D17" s="56" t="str" cm="1">
        <f t="array" aca="1" ref="D17" ca="1">IF(INDIRECT("Sócios!L"&amp;ROW()-15&amp;"C[-2]",0)="","",INDIRECT("Sócios!L"&amp;ROW()-15&amp;"C[-2]",0))</f>
        <v>10222222</v>
      </c>
      <c r="E17" s="56" t="str" cm="1">
        <f t="array" aca="1" ref="E17" ca="1">IF(INDIRECT("Sócios!L"&amp;ROW()-15&amp;"C[-2]",0)="","",INDIRECT("Sócios!L"&amp;ROW()-15&amp;"C[-2]",0))</f>
        <v>4555555</v>
      </c>
      <c r="F17" s="56" t="str" cm="1">
        <f t="array" aca="1" ref="F17" ca="1">IF(INDIRECT("Sócios!L"&amp;ROW()-15&amp;"C[-2]",0)="","",INDIRECT("Sócios!L"&amp;ROW()-15&amp;"C[-2]",0))</f>
        <v>christian</v>
      </c>
      <c r="G17" s="56" t="str" cm="1">
        <f t="array" aca="1" ref="G17" ca="1">IF(INDIRECT("Sócios!L"&amp;ROW()-15&amp;"C[-2]",0)="","",INDIRECT("Sócios!L"&amp;ROW()-15&amp;"C[-2]",0))</f>
        <v>Administrador</v>
      </c>
      <c r="H17" s="57" t="str" cm="1">
        <f t="array" aca="1" ref="H17" ca="1">IF(INDIRECT("Sócios!L"&amp;ROW()-8&amp;"C[-1]",0)="","",INDIRECT("Sócios!L"&amp;ROW()-8&amp;"C[-1]",0))</f>
        <v/>
      </c>
      <c r="I17" s="57"/>
      <c r="J17" s="57"/>
      <c r="K17" s="96"/>
    </row>
    <row r="18" spans="1:14" s="49" customFormat="1" ht="19.95" customHeight="1" x14ac:dyDescent="0.3">
      <c r="B18" s="95"/>
      <c r="C18" s="52" t="str" cm="1">
        <f t="array" aca="1" ref="C18" ca="1">IF(INDIRECT("Sócios!L"&amp;ROW()-15&amp;"C[-2]",0)="","",INDIRECT("Sócios!L"&amp;ROW()-15&amp;"C[-2]",0))</f>
        <v/>
      </c>
      <c r="D18" s="52" t="str" cm="1">
        <f t="array" aca="1" ref="D18" ca="1">IF(INDIRECT("Sócios!L"&amp;ROW()-15&amp;"C[-2]",0)="","",INDIRECT("Sócios!L"&amp;ROW()-15&amp;"C[-2]",0))</f>
        <v/>
      </c>
      <c r="E18" s="52" t="str" cm="1">
        <f t="array" aca="1" ref="E18" ca="1">IF(INDIRECT("Sócios!L"&amp;ROW()-15&amp;"C[-2]",0)="","",INDIRECT("Sócios!L"&amp;ROW()-15&amp;"C[-2]",0))</f>
        <v/>
      </c>
      <c r="F18" s="52" t="str" cm="1">
        <f t="array" aca="1" ref="F18" ca="1">IF(INDIRECT("Sócios!L"&amp;ROW()-15&amp;"C[-2]",0)="","",INDIRECT("Sócios!L"&amp;ROW()-15&amp;"C[-2]",0))</f>
        <v/>
      </c>
      <c r="G18" s="52" t="str" cm="1">
        <f t="array" aca="1" ref="G18" ca="1">IF(INDIRECT("Sócios!L"&amp;ROW()-15&amp;"C[-2]",0)="","",INDIRECT("Sócios!L"&amp;ROW()-15&amp;"C[-2]",0))</f>
        <v/>
      </c>
      <c r="H18" s="53" t="str" cm="1">
        <f t="array" aca="1" ref="H18" ca="1">IF(INDIRECT("Sócios!L"&amp;ROW()-8&amp;"C[-1]",0)="","",INDIRECT("Sócios!L"&amp;ROW()-8&amp;"C[-1]",0))</f>
        <v/>
      </c>
      <c r="I18" s="53"/>
      <c r="J18" s="53"/>
      <c r="K18" s="96"/>
    </row>
    <row r="19" spans="1:14" s="49" customFormat="1" ht="19.95" customHeight="1" x14ac:dyDescent="0.3">
      <c r="B19" s="95"/>
      <c r="C19" s="53" t="str" cm="1">
        <f t="array" aca="1" ref="C19" ca="1">IF(INDIRECT("Sócios!L"&amp;ROW()-15&amp;"C[-2]",0)="","",INDIRECT("Sócios!L"&amp;ROW()-15&amp;"C[-2]",0))</f>
        <v/>
      </c>
      <c r="D19" s="53" t="str" cm="1">
        <f t="array" aca="1" ref="D19" ca="1">IF(INDIRECT("Sócios!L"&amp;ROW()-15&amp;"C[-2]",0)="","",INDIRECT("Sócios!L"&amp;ROW()-15&amp;"C[-2]",0))</f>
        <v/>
      </c>
      <c r="E19" s="53" t="str" cm="1">
        <f t="array" aca="1" ref="E19" ca="1">IF(INDIRECT("Sócios!L"&amp;ROW()-15&amp;"C[-2]",0)="","",INDIRECT("Sócios!L"&amp;ROW()-15&amp;"C[-2]",0))</f>
        <v/>
      </c>
      <c r="F19" s="53" t="str" cm="1">
        <f t="array" aca="1" ref="F19" ca="1">IF(INDIRECT("Sócios!L"&amp;ROW()-15&amp;"C[-2]",0)="","",INDIRECT("Sócios!L"&amp;ROW()-15&amp;"C[-2]",0))</f>
        <v/>
      </c>
      <c r="G19" s="53" t="str" cm="1">
        <f t="array" aca="1" ref="G19" ca="1">IF(INDIRECT("Sócios!L"&amp;ROW()-15&amp;"C[-2]",0)="","",INDIRECT("Sócios!L"&amp;ROW()-15&amp;"C[-2]",0))</f>
        <v/>
      </c>
      <c r="H19" s="53" t="str" cm="1">
        <f t="array" aca="1" ref="H19" ca="1">IF(INDIRECT("Sócios!L"&amp;ROW()-8&amp;"C[-1]",0)="","",INDIRECT("Sócios!L"&amp;ROW()-8&amp;"C[-1]",0))</f>
        <v/>
      </c>
      <c r="I19" s="53"/>
      <c r="J19" s="53"/>
      <c r="K19" s="96"/>
    </row>
    <row r="20" spans="1:14" s="49" customFormat="1" ht="19.95" customHeight="1" x14ac:dyDescent="0.3">
      <c r="B20" s="95"/>
      <c r="C20" s="53" t="str" cm="1">
        <f t="array" aca="1" ref="C20" ca="1">IF(INDIRECT("Sócios!L"&amp;ROW()-15&amp;"C[-2]",0)="","",INDIRECT("Sócios!L"&amp;ROW()-15&amp;"C[-2]",0))</f>
        <v/>
      </c>
      <c r="D20" s="53" t="str" cm="1">
        <f t="array" aca="1" ref="D20" ca="1">IF(INDIRECT("Sócios!L"&amp;ROW()-15&amp;"C[-2]",0)="","",INDIRECT("Sócios!L"&amp;ROW()-15&amp;"C[-2]",0))</f>
        <v/>
      </c>
      <c r="E20" s="53" t="str" cm="1">
        <f t="array" aca="1" ref="E20" ca="1">IF(INDIRECT("Sócios!L"&amp;ROW()-15&amp;"C[-2]",0)="","",INDIRECT("Sócios!L"&amp;ROW()-15&amp;"C[-2]",0))</f>
        <v/>
      </c>
      <c r="F20" s="53" t="str" cm="1">
        <f t="array" aca="1" ref="F20" ca="1">IF(INDIRECT("Sócios!L"&amp;ROW()-15&amp;"C[-2]",0)="","",INDIRECT("Sócios!L"&amp;ROW()-15&amp;"C[-2]",0))</f>
        <v/>
      </c>
      <c r="G20" s="53" t="str" cm="1">
        <f t="array" aca="1" ref="G20" ca="1">IF(INDIRECT("Sócios!L"&amp;ROW()-15&amp;"C[-2]",0)="","",INDIRECT("Sócios!L"&amp;ROW()-15&amp;"C[-2]",0))</f>
        <v/>
      </c>
      <c r="H20" s="53" t="str" cm="1">
        <f t="array" aca="1" ref="H20" ca="1">IF(INDIRECT("Sócios!L"&amp;ROW()-8&amp;"C[-1]",0)="","",INDIRECT("Sócios!L"&amp;ROW()-8&amp;"C[-1]",0))</f>
        <v/>
      </c>
      <c r="I20" s="53"/>
      <c r="J20" s="53"/>
      <c r="K20" s="96"/>
    </row>
    <row r="21" spans="1:14" s="49" customFormat="1" ht="19.95" customHeight="1" x14ac:dyDescent="0.3">
      <c r="B21" s="95"/>
      <c r="C21" s="53" t="str" cm="1">
        <f t="array" aca="1" ref="C21" ca="1">IF(INDIRECT("Sócios!L"&amp;ROW()-15&amp;"C[-2]",0)="","",INDIRECT("Sócios!L"&amp;ROW()-15&amp;"C[-2]",0))</f>
        <v/>
      </c>
      <c r="D21" s="53" t="str" cm="1">
        <f t="array" aca="1" ref="D21" ca="1">IF(INDIRECT("Sócios!L"&amp;ROW()-15&amp;"C[-2]",0)="","",INDIRECT("Sócios!L"&amp;ROW()-15&amp;"C[-2]",0))</f>
        <v/>
      </c>
      <c r="E21" s="53" t="str" cm="1">
        <f t="array" aca="1" ref="E21" ca="1">IF(INDIRECT("Sócios!L"&amp;ROW()-15&amp;"C[-2]",0)="","",INDIRECT("Sócios!L"&amp;ROW()-15&amp;"C[-2]",0))</f>
        <v/>
      </c>
      <c r="F21" s="53" t="str" cm="1">
        <f t="array" aca="1" ref="F21" ca="1">IF(INDIRECT("Sócios!L"&amp;ROW()-15&amp;"C[-2]",0)="","",INDIRECT("Sócios!L"&amp;ROW()-15&amp;"C[-2]",0))</f>
        <v/>
      </c>
      <c r="G21" s="53" t="str" cm="1">
        <f t="array" aca="1" ref="G21" ca="1">IF(INDIRECT("Sócios!L"&amp;ROW()-15&amp;"C[-2]",0)="","",INDIRECT("Sócios!L"&amp;ROW()-15&amp;"C[-2]",0))</f>
        <v/>
      </c>
      <c r="H21" s="53" t="str" cm="1">
        <f t="array" aca="1" ref="H21" ca="1">IF(INDIRECT("Sócios!L"&amp;ROW()-8&amp;"C[-1]",0)="","",INDIRECT("Sócios!L"&amp;ROW()-8&amp;"C[-1]",0))</f>
        <v/>
      </c>
      <c r="I21" s="53"/>
      <c r="J21" s="53"/>
      <c r="K21" s="96"/>
    </row>
    <row r="22" spans="1:14" s="49" customFormat="1" ht="19.95" customHeight="1" x14ac:dyDescent="0.3">
      <c r="B22" s="95"/>
      <c r="C22" s="54" t="str" cm="1">
        <f t="array" aca="1" ref="C22" ca="1">IF(INDIRECT("Sócios!L"&amp;ROW()-15&amp;"C[-2]",0)="","",INDIRECT("Sócios!L"&amp;ROW()-15&amp;"C[-2]",0))</f>
        <v/>
      </c>
      <c r="D22" s="54" t="str" cm="1">
        <f t="array" aca="1" ref="D22" ca="1">IF(INDIRECT("Sócios!L"&amp;ROW()-15&amp;"C[-2]",0)="","",INDIRECT("Sócios!L"&amp;ROW()-15&amp;"C[-2]",0))</f>
        <v/>
      </c>
      <c r="E22" s="54" t="str" cm="1">
        <f t="array" aca="1" ref="E22" ca="1">IF(INDIRECT("Sócios!L"&amp;ROW()-15&amp;"C[-2]",0)="","",INDIRECT("Sócios!L"&amp;ROW()-15&amp;"C[-2]",0))</f>
        <v/>
      </c>
      <c r="F22" s="54" t="str" cm="1">
        <f t="array" aca="1" ref="F22" ca="1">IF(INDIRECT("Sócios!L"&amp;ROW()-15&amp;"C[-2]",0)="","",INDIRECT("Sócios!L"&amp;ROW()-15&amp;"C[-2]",0))</f>
        <v/>
      </c>
      <c r="G22" s="54" t="str" cm="1">
        <f t="array" aca="1" ref="G22" ca="1">IF(INDIRECT("Sócios!L"&amp;ROW()-15&amp;"C[-2]",0)="","",INDIRECT("Sócios!L"&amp;ROW()-15&amp;"C[-2]",0))</f>
        <v/>
      </c>
      <c r="H22" s="54" t="str" cm="1">
        <f t="array" aca="1" ref="H22" ca="1">IF(INDIRECT("Sócios!L"&amp;ROW()-8&amp;"C[-1]",0)="","",INDIRECT("Sócios!L"&amp;ROW()-8&amp;"C[-1]",0))</f>
        <v/>
      </c>
      <c r="I22" s="54"/>
      <c r="J22" s="54"/>
      <c r="K22" s="96"/>
    </row>
    <row r="23" spans="1:14" s="49" customFormat="1" ht="19.2" customHeight="1" x14ac:dyDescent="0.3">
      <c r="B23" s="95"/>
      <c r="D23" s="59" t="str" cm="1">
        <f t="array" aca="1" ref="D23" ca="1">IF(INDIRECT("Sócios!L"&amp;ROW()-8&amp;"C[-1]",0)="","",INDIRECT("Sócios!L"&amp;ROW()-8&amp;"C[-1]",0))</f>
        <v/>
      </c>
      <c r="E23" s="59" t="str" cm="1">
        <f t="array" aca="1" ref="E23" ca="1">IF(INDIRECT("Sócios!L"&amp;ROW()-8&amp;"C[-1]",0)="","",INDIRECT("Sócios!L"&amp;ROW()-8&amp;"C[-1]",0))</f>
        <v/>
      </c>
      <c r="F23" s="59" t="str" cm="1">
        <f t="array" aca="1" ref="F23" ca="1">IF(INDIRECT("Sócios!L"&amp;ROW()-8&amp;"C[-1]",0)="","",INDIRECT("Sócios!L"&amp;ROW()-8&amp;"C[-1]",0))</f>
        <v/>
      </c>
      <c r="G23" s="59" t="str" cm="1">
        <f t="array" aca="1" ref="G23" ca="1">IF(INDIRECT("Sócios!L"&amp;ROW()-8&amp;"C[-1]",0)="","",INDIRECT("Sócios!L"&amp;ROW()-8&amp;"C[-1]",0))</f>
        <v/>
      </c>
      <c r="H23" s="59" t="str" cm="1">
        <f t="array" aca="1" ref="H23" ca="1">IF(INDIRECT("Sócios!L"&amp;ROW()-8&amp;"C[-1]",0)="","",INDIRECT("Sócios!L"&amp;ROW()-8&amp;"C[-1]",0))</f>
        <v/>
      </c>
      <c r="K23" s="96"/>
    </row>
    <row r="24" spans="1:14" s="1" customFormat="1" ht="25.8" customHeight="1" x14ac:dyDescent="0.3">
      <c r="A24"/>
      <c r="B24" s="43"/>
      <c r="C24" s="147" t="s">
        <v>11132</v>
      </c>
      <c r="D24" s="148" t="s">
        <v>5470</v>
      </c>
      <c r="E24" s="148"/>
      <c r="F24" s="148"/>
      <c r="G24" s="148"/>
      <c r="H24" s="148"/>
      <c r="I24" s="148"/>
      <c r="J24" s="149"/>
      <c r="K24" s="37"/>
      <c r="L24"/>
      <c r="M24"/>
      <c r="N24"/>
    </row>
    <row r="25" spans="1:14" s="49" customFormat="1" ht="19.95" customHeight="1" x14ac:dyDescent="0.3">
      <c r="B25" s="95"/>
      <c r="C25" s="71" t="s">
        <v>54</v>
      </c>
      <c r="D25" s="71" t="s">
        <v>5471</v>
      </c>
      <c r="E25" s="71" t="s">
        <v>11</v>
      </c>
      <c r="F25" s="71" t="s">
        <v>12</v>
      </c>
      <c r="G25" s="71" t="s">
        <v>13</v>
      </c>
      <c r="H25" s="71" t="s">
        <v>14</v>
      </c>
      <c r="I25" s="71" t="s">
        <v>5477</v>
      </c>
      <c r="J25" s="71" t="s">
        <v>16</v>
      </c>
      <c r="K25" s="96"/>
    </row>
    <row r="26" spans="1:14" s="49" customFormat="1" ht="19.95" customHeight="1" x14ac:dyDescent="0.3">
      <c r="B26" s="95"/>
      <c r="C26" s="70" t="str">
        <f>IF(ISERROR(MATCH(SMALL(Demandas!$K:$K,ROW()-25),Demandas!$K:$K,0)),"",INDEX(Demandas!A:A,MATCH(SMALL(Demandas!$K:$K,ROW()-25),Demandas!$K:$K,0)))</f>
        <v/>
      </c>
      <c r="D26" s="70" t="str">
        <f>IF(ISERROR(MATCH(SMALL(Demandas!$K:$K,ROW()-25),Demandas!$K:$K,0)),"",INDEX(Demandas!B:B,MATCH(SMALL(Demandas!$K:$K,ROW()-25),Demandas!$K:$K,0)))</f>
        <v/>
      </c>
      <c r="E26" s="70" t="str">
        <f>IF(ISERROR(MATCH(SMALL(Demandas!$K:$K,ROW()-25),Demandas!$K:$K,0)),"",INDEX(Demandas!C:C,MATCH(SMALL(Demandas!$K:$K,ROW()-25),Demandas!$K:$K,0)))</f>
        <v/>
      </c>
      <c r="F26" s="70" t="str">
        <f>IF(ISERROR(MATCH(SMALL(Demandas!$K:$K,ROW()-25),Demandas!$K:$K,0)),"",INDEX(Demandas!D:D,MATCH(SMALL(Demandas!$K:$K,ROW()-25),Demandas!$K:$K,0)))</f>
        <v/>
      </c>
      <c r="G26" s="70" t="str">
        <f>IF(ISERROR(MATCH(SMALL(Demandas!$K:$K,ROW()-25),Demandas!$K:$K,0)),"",INDEX(Demandas!E:E,MATCH(SMALL(Demandas!$K:$K,ROW()-25),Demandas!$K:$K,0)))</f>
        <v/>
      </c>
      <c r="H26" s="70" t="str">
        <f>IF(ISERROR(MATCH(SMALL(Demandas!$K:$K,ROW()-25),Demandas!$K:$K,0)),"",INDEX(Demandas!F:F,MATCH(SMALL(Demandas!$K:$K,ROW()-25),Demandas!$K:$K,0)))</f>
        <v/>
      </c>
      <c r="I26" s="70" t="str">
        <f>IF(ISERROR(MATCH(SMALL(Demandas!$K:$K,ROW()-25),Demandas!$K:$K,0)),"",INDEX(Demandas!G:G,MATCH(SMALL(Demandas!$K:$K,ROW()-25),Demandas!$K:$K,0)))</f>
        <v/>
      </c>
      <c r="J26" s="70" t="str">
        <f>IF(ISERROR(MATCH(SMALL(Demandas!$K:$K,ROW()-25),Demandas!$K:$K,0)),"",INDEX(Demandas!H:H,MATCH(SMALL(Demandas!$K:$K,ROW()-25),Demandas!$K:$K,0)))</f>
        <v/>
      </c>
      <c r="K26" s="97" t="str">
        <f>IF(ISERROR(MATCH(SMALL(Demandas!$K:$K,ROW()-19),Demandas!$K:$K,0)),"",INDEX(Demandas!H:H,MATCH(SMALL(Demandas!$K:$K,ROW()-19),Demandas!$K:$K,0)))</f>
        <v/>
      </c>
    </row>
    <row r="27" spans="1:14" s="49" customFormat="1" ht="19.95" customHeight="1" x14ac:dyDescent="0.3">
      <c r="B27" s="95"/>
      <c r="C27" s="70" t="str">
        <f>IF(ISERROR(MATCH(SMALL(Demandas!$K:$K,ROW()-25),Demandas!$K:$K,0)),"",INDEX(Demandas!A:A,MATCH(SMALL(Demandas!$K:$K,ROW()-25),Demandas!$K:$K,0)))</f>
        <v/>
      </c>
      <c r="D27" s="70" t="str">
        <f>IF(ISERROR(MATCH(SMALL(Demandas!$K:$K,ROW()-25),Demandas!$K:$K,0)),"",INDEX(Demandas!B:B,MATCH(SMALL(Demandas!$K:$K,ROW()-25),Demandas!$K:$K,0)))</f>
        <v/>
      </c>
      <c r="E27" s="70" t="str">
        <f>IF(ISERROR(MATCH(SMALL(Demandas!$K:$K,ROW()-25),Demandas!$K:$K,0)),"",INDEX(Demandas!C:C,MATCH(SMALL(Demandas!$K:$K,ROW()-25),Demandas!$K:$K,0)))</f>
        <v/>
      </c>
      <c r="F27" s="70" t="str">
        <f>IF(ISERROR(MATCH(SMALL(Demandas!$K:$K,ROW()-25),Demandas!$K:$K,0)),"",INDEX(Demandas!D:D,MATCH(SMALL(Demandas!$K:$K,ROW()-25),Demandas!$K:$K,0)))</f>
        <v/>
      </c>
      <c r="G27" s="70" t="str">
        <f>IF(ISERROR(MATCH(SMALL(Demandas!$K:$K,ROW()-25),Demandas!$K:$K,0)),"",INDEX(Demandas!E:E,MATCH(SMALL(Demandas!$K:$K,ROW()-25),Demandas!$K:$K,0)))</f>
        <v/>
      </c>
      <c r="H27" s="70" t="str">
        <f>IF(ISERROR(MATCH(SMALL(Demandas!$K:$K,ROW()-25),Demandas!$K:$K,0)),"",INDEX(Demandas!F:F,MATCH(SMALL(Demandas!$K:$K,ROW()-25),Demandas!$K:$K,0)))</f>
        <v/>
      </c>
      <c r="I27" s="70" t="str">
        <f>IF(ISERROR(MATCH(SMALL(Demandas!$K:$K,ROW()-25),Demandas!$K:$K,0)),"",INDEX(Demandas!G:G,MATCH(SMALL(Demandas!$K:$K,ROW()-25),Demandas!$K:$K,0)))</f>
        <v/>
      </c>
      <c r="J27" s="70" t="str">
        <f>IF(ISERROR(MATCH(SMALL(Demandas!$K:$K,ROW()-25),Demandas!$K:$K,0)),"",INDEX(Demandas!H:H,MATCH(SMALL(Demandas!$K:$K,ROW()-25),Demandas!$K:$K,0)))</f>
        <v/>
      </c>
      <c r="K27" s="97" t="str">
        <f>IF(ISERROR(MATCH(SMALL(Demandas!$K:$K,ROW()-19),Demandas!$K:$K,0)),"",INDEX(Demandas!H:H,MATCH(SMALL(Demandas!$K:$K,ROW()-19),Demandas!$K:$K,0)))</f>
        <v/>
      </c>
    </row>
    <row r="28" spans="1:14" s="49" customFormat="1" ht="19.95" customHeight="1" x14ac:dyDescent="0.3">
      <c r="B28" s="95"/>
      <c r="C28" s="70" t="str">
        <f>IF(ISERROR(MATCH(SMALL(Demandas!$K:$K,ROW()-25),Demandas!$K:$K,0)),"",INDEX(Demandas!A:A,MATCH(SMALL(Demandas!$K:$K,ROW()-25),Demandas!$K:$K,0)))</f>
        <v/>
      </c>
      <c r="D28" s="70" t="str">
        <f>IF(ISERROR(MATCH(SMALL(Demandas!$K:$K,ROW()-25),Demandas!$K:$K,0)),"",INDEX(Demandas!B:B,MATCH(SMALL(Demandas!$K:$K,ROW()-25),Demandas!$K:$K,0)))</f>
        <v/>
      </c>
      <c r="E28" s="70" t="str">
        <f>IF(ISERROR(MATCH(SMALL(Demandas!$K:$K,ROW()-25),Demandas!$K:$K,0)),"",INDEX(Demandas!C:C,MATCH(SMALL(Demandas!$K:$K,ROW()-25),Demandas!$K:$K,0)))</f>
        <v/>
      </c>
      <c r="F28" s="70" t="str">
        <f>IF(ISERROR(MATCH(SMALL(Demandas!$K:$K,ROW()-25),Demandas!$K:$K,0)),"",INDEX(Demandas!D:D,MATCH(SMALL(Demandas!$K:$K,ROW()-25),Demandas!$K:$K,0)))</f>
        <v/>
      </c>
      <c r="G28" s="70" t="str">
        <f>IF(ISERROR(MATCH(SMALL(Demandas!$K:$K,ROW()-25),Demandas!$K:$K,0)),"",INDEX(Demandas!E:E,MATCH(SMALL(Demandas!$K:$K,ROW()-25),Demandas!$K:$K,0)))</f>
        <v/>
      </c>
      <c r="H28" s="70" t="str">
        <f>IF(ISERROR(MATCH(SMALL(Demandas!$K:$K,ROW()-25),Demandas!$K:$K,0)),"",INDEX(Demandas!F:F,MATCH(SMALL(Demandas!$K:$K,ROW()-25),Demandas!$K:$K,0)))</f>
        <v/>
      </c>
      <c r="I28" s="70" t="str">
        <f>IF(ISERROR(MATCH(SMALL(Demandas!$K:$K,ROW()-25),Demandas!$K:$K,0)),"",INDEX(Demandas!G:G,MATCH(SMALL(Demandas!$K:$K,ROW()-25),Demandas!$K:$K,0)))</f>
        <v/>
      </c>
      <c r="J28" s="70" t="str">
        <f>IF(ISERROR(MATCH(SMALL(Demandas!$K:$K,ROW()-25),Demandas!$K:$K,0)),"",INDEX(Demandas!H:H,MATCH(SMALL(Demandas!$K:$K,ROW()-25),Demandas!$K:$K,0)))</f>
        <v/>
      </c>
      <c r="K28" s="97" t="str">
        <f>IF(ISERROR(MATCH(SMALL(Demandas!$K:$K,ROW()-19),Demandas!$K:$K,0)),"",INDEX(Demandas!H:H,MATCH(SMALL(Demandas!$K:$K,ROW()-19),Demandas!$K:$K,0)))</f>
        <v/>
      </c>
    </row>
    <row r="29" spans="1:14" s="49" customFormat="1" ht="19.95" customHeight="1" x14ac:dyDescent="0.3">
      <c r="B29" s="95"/>
      <c r="C29" s="70" t="str">
        <f>IF(ISERROR(MATCH(SMALL(Demandas!$K:$K,ROW()-25),Demandas!$K:$K,0)),"",INDEX(Demandas!A:A,MATCH(SMALL(Demandas!$K:$K,ROW()-25),Demandas!$K:$K,0)))</f>
        <v/>
      </c>
      <c r="D29" s="70" t="str">
        <f>IF(ISERROR(MATCH(SMALL(Demandas!$K:$K,ROW()-25),Demandas!$K:$K,0)),"",INDEX(Demandas!B:B,MATCH(SMALL(Demandas!$K:$K,ROW()-25),Demandas!$K:$K,0)))</f>
        <v/>
      </c>
      <c r="E29" s="70" t="str">
        <f>IF(ISERROR(MATCH(SMALL(Demandas!$K:$K,ROW()-25),Demandas!$K:$K,0)),"",INDEX(Demandas!C:C,MATCH(SMALL(Demandas!$K:$K,ROW()-25),Demandas!$K:$K,0)))</f>
        <v/>
      </c>
      <c r="F29" s="70" t="str">
        <f>IF(ISERROR(MATCH(SMALL(Demandas!$K:$K,ROW()-25),Demandas!$K:$K,0)),"",INDEX(Demandas!D:D,MATCH(SMALL(Demandas!$K:$K,ROW()-25),Demandas!$K:$K,0)))</f>
        <v/>
      </c>
      <c r="G29" s="70" t="str">
        <f>IF(ISERROR(MATCH(SMALL(Demandas!$K:$K,ROW()-25),Demandas!$K:$K,0)),"",INDEX(Demandas!E:E,MATCH(SMALL(Demandas!$K:$K,ROW()-25),Demandas!$K:$K,0)))</f>
        <v/>
      </c>
      <c r="H29" s="70" t="str">
        <f>IF(ISERROR(MATCH(SMALL(Demandas!$K:$K,ROW()-25),Demandas!$K:$K,0)),"",INDEX(Demandas!F:F,MATCH(SMALL(Demandas!$K:$K,ROW()-25),Demandas!$K:$K,0)))</f>
        <v/>
      </c>
      <c r="I29" s="70" t="str">
        <f>IF(ISERROR(MATCH(SMALL(Demandas!$K:$K,ROW()-25),Demandas!$K:$K,0)),"",INDEX(Demandas!G:G,MATCH(SMALL(Demandas!$K:$K,ROW()-25),Demandas!$K:$K,0)))</f>
        <v/>
      </c>
      <c r="J29" s="70" t="str">
        <f>IF(ISERROR(MATCH(SMALL(Demandas!$K:$K,ROW()-25),Demandas!$K:$K,0)),"",INDEX(Demandas!H:H,MATCH(SMALL(Demandas!$K:$K,ROW()-25),Demandas!$K:$K,0)))</f>
        <v/>
      </c>
      <c r="K29" s="97" t="str">
        <f>IF(ISERROR(MATCH(SMALL(Demandas!$K:$K,ROW()-19),Demandas!$K:$K,0)),"",INDEX(Demandas!H:H,MATCH(SMALL(Demandas!$K:$K,ROW()-19),Demandas!$K:$K,0)))</f>
        <v/>
      </c>
    </row>
    <row r="30" spans="1:14" s="49" customFormat="1" ht="19.95" customHeight="1" x14ac:dyDescent="0.3">
      <c r="B30" s="95"/>
      <c r="C30" s="52" t="str">
        <f>IF(ISERROR(MATCH(SMALL(Demandas!$K:$K,ROW()-25),Demandas!$K:$K,0)),"",INDEX(Demandas!A:A,MATCH(SMALL(Demandas!$K:$K,ROW()-25),Demandas!$K:$K,0)))</f>
        <v/>
      </c>
      <c r="D30" s="52" t="str">
        <f>IF(ISERROR(MATCH(SMALL(Demandas!$K:$K,ROW()-25),Demandas!$K:$K,0)),"",INDEX(Demandas!B:B,MATCH(SMALL(Demandas!$K:$K,ROW()-25),Demandas!$K:$K,0)))</f>
        <v/>
      </c>
      <c r="E30" s="52" t="str">
        <f>IF(ISERROR(MATCH(SMALL(Demandas!$K:$K,ROW()-25),Demandas!$K:$K,0)),"",INDEX(Demandas!C:C,MATCH(SMALL(Demandas!$K:$K,ROW()-25),Demandas!$K:$K,0)))</f>
        <v/>
      </c>
      <c r="F30" s="52" t="str">
        <f>IF(ISERROR(MATCH(SMALL(Demandas!$K:$K,ROW()-25),Demandas!$K:$K,0)),"",INDEX(Demandas!D:D,MATCH(SMALL(Demandas!$K:$K,ROW()-25),Demandas!$K:$K,0)))</f>
        <v/>
      </c>
      <c r="G30" s="52" t="str">
        <f>IF(ISERROR(MATCH(SMALL(Demandas!$K:$K,ROW()-25),Demandas!$K:$K,0)),"",INDEX(Demandas!E:E,MATCH(SMALL(Demandas!$K:$K,ROW()-25),Demandas!$K:$K,0)))</f>
        <v/>
      </c>
      <c r="H30" s="52" t="str">
        <f>IF(ISERROR(MATCH(SMALL(Demandas!$K:$K,ROW()-25),Demandas!$K:$K,0)),"",INDEX(Demandas!F:F,MATCH(SMALL(Demandas!$K:$K,ROW()-25),Demandas!$K:$K,0)))</f>
        <v/>
      </c>
      <c r="I30" s="52" t="str">
        <f>IF(ISERROR(MATCH(SMALL(Demandas!$K:$K,ROW()-25),Demandas!$K:$K,0)),"",INDEX(Demandas!G:G,MATCH(SMALL(Demandas!$K:$K,ROW()-25),Demandas!$K:$K,0)))</f>
        <v/>
      </c>
      <c r="J30" s="52" t="str">
        <f>IF(ISERROR(MATCH(SMALL(Demandas!$K:$K,ROW()-25),Demandas!$K:$K,0)),"",INDEX(Demandas!H:H,MATCH(SMALL(Demandas!$K:$K,ROW()-25),Demandas!$K:$K,0)))</f>
        <v/>
      </c>
      <c r="K30" s="97" t="str">
        <f>IF(ISERROR(MATCH(SMALL(Demandas!$K:$K,ROW()-19),Demandas!$K:$K,0)),"",INDEX(Demandas!H:H,MATCH(SMALL(Demandas!$K:$K,ROW()-19),Demandas!$K:$K,0)))</f>
        <v/>
      </c>
    </row>
    <row r="31" spans="1:14" s="49" customFormat="1" ht="19.95" customHeight="1" x14ac:dyDescent="0.3">
      <c r="B31" s="95"/>
      <c r="C31" s="52" t="str">
        <f>IF(ISERROR(MATCH(SMALL(Demandas!$K:$K,ROW()-25),Demandas!$K:$K,0)),"",INDEX(Demandas!A:A,MATCH(SMALL(Demandas!$K:$K,ROW()-25),Demandas!$K:$K,0)))</f>
        <v/>
      </c>
      <c r="D31" s="52" t="str">
        <f>IF(ISERROR(MATCH(SMALL(Demandas!$K:$K,ROW()-25),Demandas!$K:$K,0)),"",INDEX(Demandas!B:B,MATCH(SMALL(Demandas!$K:$K,ROW()-25),Demandas!$K:$K,0)))</f>
        <v/>
      </c>
      <c r="E31" s="52" t="str">
        <f>IF(ISERROR(MATCH(SMALL(Demandas!$K:$K,ROW()-25),Demandas!$K:$K,0)),"",INDEX(Demandas!C:C,MATCH(SMALL(Demandas!$K:$K,ROW()-25),Demandas!$K:$K,0)))</f>
        <v/>
      </c>
      <c r="F31" s="52" t="str">
        <f>IF(ISERROR(MATCH(SMALL(Demandas!$K:$K,ROW()-25),Demandas!$K:$K,0)),"",INDEX(Demandas!D:D,MATCH(SMALL(Demandas!$K:$K,ROW()-25),Demandas!$K:$K,0)))</f>
        <v/>
      </c>
      <c r="G31" s="52" t="str">
        <f>IF(ISERROR(MATCH(SMALL(Demandas!$K:$K,ROW()-25),Demandas!$K:$K,0)),"",INDEX(Demandas!E:E,MATCH(SMALL(Demandas!$K:$K,ROW()-25),Demandas!$K:$K,0)))</f>
        <v/>
      </c>
      <c r="H31" s="52" t="str">
        <f>IF(ISERROR(MATCH(SMALL(Demandas!$K:$K,ROW()-25),Demandas!$K:$K,0)),"",INDEX(Demandas!F:F,MATCH(SMALL(Demandas!$K:$K,ROW()-25),Demandas!$K:$K,0)))</f>
        <v/>
      </c>
      <c r="I31" s="52" t="str">
        <f>IF(ISERROR(MATCH(SMALL(Demandas!$K:$K,ROW()-25),Demandas!$K:$K,0)),"",INDEX(Demandas!G:G,MATCH(SMALL(Demandas!$K:$K,ROW()-25),Demandas!$K:$K,0)))</f>
        <v/>
      </c>
      <c r="J31" s="52" t="str">
        <f>IF(ISERROR(MATCH(SMALL(Demandas!$K:$K,ROW()-25),Demandas!$K:$K,0)),"",INDEX(Demandas!H:H,MATCH(SMALL(Demandas!$K:$K,ROW()-25),Demandas!$K:$K,0)))</f>
        <v/>
      </c>
      <c r="K31" s="97" t="str">
        <f>IF(ISERROR(MATCH(SMALL(Demandas!$K:$K,ROW()-19),Demandas!$K:$K,0)),"",INDEX(Demandas!H:H,MATCH(SMALL(Demandas!$K:$K,ROW()-19),Demandas!$K:$K,0)))</f>
        <v/>
      </c>
    </row>
    <row r="32" spans="1:14" s="49" customFormat="1" ht="19.95" customHeight="1" x14ac:dyDescent="0.3">
      <c r="B32" s="95"/>
      <c r="C32" s="55" t="str">
        <f>IF(ISERROR(MATCH(SMALL(Demandas!$K:$K,ROW()-25),Demandas!$K:$K,0)),"",INDEX(Demandas!A:A,MATCH(SMALL(Demandas!$K:$K,ROW()-25),Demandas!$K:$K,0)))</f>
        <v/>
      </c>
      <c r="D32" s="55" t="str">
        <f>IF(ISERROR(MATCH(SMALL(Demandas!$K:$K,ROW()-25),Demandas!$K:$K,0)),"",INDEX(Demandas!B:B,MATCH(SMALL(Demandas!$K:$K,ROW()-25),Demandas!$K:$K,0)))</f>
        <v/>
      </c>
      <c r="E32" s="55" t="str">
        <f>IF(ISERROR(MATCH(SMALL(Demandas!$K:$K,ROW()-25),Demandas!$K:$K,0)),"",INDEX(Demandas!C:C,MATCH(SMALL(Demandas!$K:$K,ROW()-25),Demandas!$K:$K,0)))</f>
        <v/>
      </c>
      <c r="F32" s="55" t="str">
        <f>IF(ISERROR(MATCH(SMALL(Demandas!$K:$K,ROW()-25),Demandas!$K:$K,0)),"",INDEX(Demandas!D:D,MATCH(SMALL(Demandas!$K:$K,ROW()-25),Demandas!$K:$K,0)))</f>
        <v/>
      </c>
      <c r="G32" s="55" t="str">
        <f>IF(ISERROR(MATCH(SMALL(Demandas!$K:$K,ROW()-25),Demandas!$K:$K,0)),"",INDEX(Demandas!E:E,MATCH(SMALL(Demandas!$K:$K,ROW()-25),Demandas!$K:$K,0)))</f>
        <v/>
      </c>
      <c r="H32" s="55" t="str">
        <f>IF(ISERROR(MATCH(SMALL(Demandas!$K:$K,ROW()-25),Demandas!$K:$K,0)),"",INDEX(Demandas!F:F,MATCH(SMALL(Demandas!$K:$K,ROW()-25),Demandas!$K:$K,0)))</f>
        <v/>
      </c>
      <c r="I32" s="55" t="str">
        <f>IF(ISERROR(MATCH(SMALL(Demandas!$K:$K,ROW()-25),Demandas!$K:$K,0)),"",INDEX(Demandas!G:G,MATCH(SMALL(Demandas!$K:$K,ROW()-25),Demandas!$K:$K,0)))</f>
        <v/>
      </c>
      <c r="J32" s="55" t="str">
        <f>IF(ISERROR(MATCH(SMALL(Demandas!$K:$K,ROW()-25),Demandas!$K:$K,0)),"",INDEX(Demandas!H:H,MATCH(SMALL(Demandas!$K:$K,ROW()-25),Demandas!$K:$K,0)))</f>
        <v/>
      </c>
      <c r="K32" s="97" t="str">
        <f>IF(ISERROR(MATCH(SMALL(Demandas!$K:$K,ROW()-19),Demandas!$K:$K,0)),"",INDEX(Demandas!H:H,MATCH(SMALL(Demandas!$K:$K,ROW()-19),Demandas!$K:$K,0)))</f>
        <v/>
      </c>
    </row>
    <row r="33" spans="1:14" ht="18.600000000000001" customHeight="1" x14ac:dyDescent="0.3">
      <c r="B33" s="43"/>
      <c r="C33" s="19" t="str">
        <f>IF(ISERROR(MATCH(SMALL(Demandas!$K:$K,ROW()-19),Demandas!$K:$K,0)),"",INDEX(Demandas!A:A,MATCH(SMALL(Demandas!$K:$K,ROW()-19),Demandas!$K:$K,0)))</f>
        <v/>
      </c>
      <c r="D33" s="19" t="str">
        <f>IF(ISERROR(MATCH(SMALL(Demandas!$K:$K,ROW()-19),Demandas!$K:$K,0)),"",INDEX(Demandas!B:B,MATCH(SMALL(Demandas!$K:$K,ROW()-19),Demandas!$K:$K,0)))</f>
        <v/>
      </c>
      <c r="E33" s="19" t="str">
        <f>IF(ISERROR(MATCH(SMALL(Demandas!$K:$K,ROW()-19),Demandas!$K:$K,0)),"",INDEX(Demandas!C:C,MATCH(SMALL(Demandas!$K:$K,ROW()-19),Demandas!$K:$K,0)))</f>
        <v/>
      </c>
      <c r="F33" s="19" t="str">
        <f>IF(ISERROR(MATCH(SMALL(Demandas!$K:$K,ROW()-19),Demandas!$K:$K,0)),"",INDEX(Demandas!D:D,MATCH(SMALL(Demandas!$K:$K,ROW()-19),Demandas!$K:$K,0)))</f>
        <v/>
      </c>
      <c r="G33" s="19" t="str">
        <f>IF(ISERROR(MATCH(SMALL(Demandas!$K:$K,ROW()-19),Demandas!$K:$K,0)),"",INDEX(Demandas!E:E,MATCH(SMALL(Demandas!$K:$K,ROW()-19),Demandas!$K:$K,0)))</f>
        <v/>
      </c>
      <c r="H33" s="98" t="str">
        <f>IF(ISERROR(MATCH(SMALL(Demandas!$K:$K,ROW()-19),Demandas!$K:$K,0)),"",INDEX(Demandas!F:F,MATCH(SMALL(Demandas!$K:$K,ROW()-19),Demandas!$K:$K,0)))</f>
        <v/>
      </c>
      <c r="I33" s="98"/>
      <c r="J33" s="19" t="str">
        <f>IF(ISERROR(MATCH(SMALL(Demandas!$K:$K,ROW()-19),Demandas!$K:$K,0)),"",INDEX(Demandas!G:G,MATCH(SMALL(Demandas!$K:$K,ROW()-19),Demandas!$K:$K,0)))</f>
        <v/>
      </c>
      <c r="K33" s="99" t="str">
        <f>IF(ISERROR(MATCH(SMALL(Demandas!$K:$K,ROW()-19),Demandas!$K:$K,0)),"",INDEX(Demandas!H:H,MATCH(SMALL(Demandas!$K:$K,ROW()-19),Demandas!$K:$K,0)))</f>
        <v/>
      </c>
    </row>
    <row r="34" spans="1:14" s="1" customFormat="1" ht="25.8" customHeight="1" x14ac:dyDescent="0.3">
      <c r="A34"/>
      <c r="B34" s="43"/>
      <c r="C34" s="147" t="s">
        <v>11133</v>
      </c>
      <c r="D34" s="148" t="s">
        <v>5472</v>
      </c>
      <c r="E34" s="148"/>
      <c r="F34" s="148"/>
      <c r="G34" s="148"/>
      <c r="H34" s="148"/>
      <c r="I34" s="148"/>
      <c r="J34" s="149"/>
      <c r="K34" s="37"/>
      <c r="L34"/>
      <c r="M34"/>
      <c r="N34"/>
    </row>
    <row r="35" spans="1:14" s="49" customFormat="1" ht="19.95" customHeight="1" x14ac:dyDescent="0.3">
      <c r="B35" s="95"/>
      <c r="C35" s="60"/>
      <c r="D35" s="61" t="s">
        <v>11134</v>
      </c>
      <c r="E35" s="61" t="s">
        <v>11135</v>
      </c>
      <c r="F35" s="62" t="s">
        <v>5475</v>
      </c>
      <c r="G35" s="79"/>
      <c r="H35" s="63" t="s">
        <v>5478</v>
      </c>
      <c r="I35" s="72">
        <f>SUM(D36:D38,D41)</f>
        <v>0</v>
      </c>
      <c r="J35" s="79"/>
      <c r="K35" s="96"/>
    </row>
    <row r="36" spans="1:14" s="49" customFormat="1" ht="19.95" customHeight="1" x14ac:dyDescent="0.3">
      <c r="B36" s="95"/>
      <c r="C36" s="67" t="s">
        <v>11136</v>
      </c>
      <c r="D36" s="73">
        <f>listagens!B26</f>
        <v>0</v>
      </c>
      <c r="E36" s="73">
        <f>listagens!C26</f>
        <v>0</v>
      </c>
      <c r="F36" s="72">
        <f>listagens!D26</f>
        <v>0</v>
      </c>
      <c r="G36" s="79"/>
      <c r="H36" s="64" t="s">
        <v>5479</v>
      </c>
      <c r="I36" s="74">
        <f>SUM(E36:E38,E41)</f>
        <v>0</v>
      </c>
      <c r="J36" s="79"/>
      <c r="K36" s="96"/>
    </row>
    <row r="37" spans="1:14" s="49" customFormat="1" ht="19.95" customHeight="1" x14ac:dyDescent="0.3">
      <c r="B37" s="95"/>
      <c r="C37" s="68" t="s">
        <v>11137</v>
      </c>
      <c r="D37" s="75">
        <f>listagens!B27</f>
        <v>0</v>
      </c>
      <c r="E37" s="75">
        <f>listagens!C27</f>
        <v>0</v>
      </c>
      <c r="F37" s="74">
        <f>listagens!D27</f>
        <v>0</v>
      </c>
      <c r="G37" s="79"/>
      <c r="H37" s="64" t="s">
        <v>11065</v>
      </c>
      <c r="I37" s="74">
        <f>SUMPRODUCT(D36:D38,F36:F38)</f>
        <v>0</v>
      </c>
      <c r="J37" s="79"/>
      <c r="K37" s="96"/>
    </row>
    <row r="38" spans="1:14" s="49" customFormat="1" ht="19.95" customHeight="1" x14ac:dyDescent="0.3">
      <c r="B38" s="95"/>
      <c r="C38" s="69" t="s">
        <v>11138</v>
      </c>
      <c r="D38" s="76">
        <f>listagens!B28</f>
        <v>0</v>
      </c>
      <c r="E38" s="76">
        <f>listagens!C28</f>
        <v>0</v>
      </c>
      <c r="F38" s="77">
        <f>listagens!D28</f>
        <v>0</v>
      </c>
      <c r="G38" s="79"/>
      <c r="H38" s="65" t="s">
        <v>5480</v>
      </c>
      <c r="I38" s="77">
        <f>SUM(I43,I45:I58)</f>
        <v>0</v>
      </c>
      <c r="J38" s="79"/>
      <c r="K38" s="96"/>
    </row>
    <row r="39" spans="1:14" s="49" customFormat="1" ht="19.95" customHeight="1" x14ac:dyDescent="0.3">
      <c r="B39" s="95"/>
      <c r="C39" s="78"/>
      <c r="D39" s="79"/>
      <c r="E39" s="79"/>
      <c r="F39" s="79"/>
      <c r="G39" s="79"/>
      <c r="J39" s="79"/>
      <c r="K39" s="96"/>
    </row>
    <row r="40" spans="1:14" s="49" customFormat="1" ht="19.95" customHeight="1" x14ac:dyDescent="0.3">
      <c r="B40" s="95"/>
      <c r="C40" s="60"/>
      <c r="D40" s="61" t="s">
        <v>5473</v>
      </c>
      <c r="E40" s="61" t="s">
        <v>5474</v>
      </c>
      <c r="F40" s="62"/>
      <c r="G40" s="79"/>
      <c r="J40" s="79"/>
      <c r="K40" s="96"/>
    </row>
    <row r="41" spans="1:14" s="49" customFormat="1" ht="19.95" customHeight="1" x14ac:dyDescent="0.3">
      <c r="B41" s="95"/>
      <c r="C41" s="66" t="s">
        <v>11139</v>
      </c>
      <c r="D41" s="80">
        <f>IFERROR(listagens!B31*1,"")</f>
        <v>0</v>
      </c>
      <c r="E41" s="80">
        <f>IFERROR(listagens!C31*1,"")</f>
        <v>0</v>
      </c>
      <c r="F41" s="81"/>
      <c r="G41" s="79"/>
      <c r="H41" s="79"/>
      <c r="I41" s="79"/>
      <c r="J41" s="79"/>
      <c r="K41" s="96"/>
    </row>
    <row r="42" spans="1:14" x14ac:dyDescent="0.3">
      <c r="B42" s="43"/>
      <c r="K42" s="37"/>
    </row>
    <row r="43" spans="1:14" s="1" customFormat="1" ht="25.2" customHeight="1" x14ac:dyDescent="0.3">
      <c r="A43"/>
      <c r="B43" s="43"/>
      <c r="C43" s="147" t="s">
        <v>11140</v>
      </c>
      <c r="D43" s="148" t="s">
        <v>5476</v>
      </c>
      <c r="E43" s="148"/>
      <c r="F43" s="148"/>
      <c r="G43" s="148"/>
      <c r="H43" s="148" t="str">
        <f>IF(I43="","","Pecuária:")</f>
        <v>Pecuária:</v>
      </c>
      <c r="I43" s="148">
        <f>listagens!B34</f>
        <v>0</v>
      </c>
      <c r="J43" s="149"/>
      <c r="K43" s="37"/>
      <c r="L43"/>
      <c r="M43"/>
      <c r="N43"/>
    </row>
    <row r="44" spans="1:14" s="49" customFormat="1" ht="19.95" customHeight="1" x14ac:dyDescent="0.3">
      <c r="B44" s="95"/>
      <c r="C44" s="71" t="s">
        <v>88</v>
      </c>
      <c r="D44" s="71" t="s">
        <v>5428</v>
      </c>
      <c r="E44" s="71" t="s">
        <v>5447</v>
      </c>
      <c r="F44" s="71" t="s">
        <v>5448</v>
      </c>
      <c r="G44" s="71" t="s">
        <v>5449</v>
      </c>
      <c r="H44" s="71" t="s">
        <v>89</v>
      </c>
      <c r="I44" s="71"/>
      <c r="J44" s="71"/>
      <c r="K44" s="96"/>
    </row>
    <row r="45" spans="1:14" s="49" customFormat="1" ht="19.95" customHeight="1" x14ac:dyDescent="0.3">
      <c r="B45" s="95"/>
      <c r="C45" s="70" t="str" cm="1">
        <f t="array" aca="1" ref="C45" ca="1">IF(INDIRECT("Safras!A"&amp;ROW()-43)="","",INDIRECT("Safras!A"&amp;ROW()-43)&amp;" Safra")</f>
        <v/>
      </c>
      <c r="D45" s="70" t="str" cm="1">
        <f t="array" aca="1" ref="D45" ca="1">IF(INDIRECT("Safras!L"&amp;ROW()-43&amp;"C[-2]",0)="","",INDIRECT("Safras!L"&amp;ROW()-43&amp;"C[-2]",0))</f>
        <v/>
      </c>
      <c r="E45" s="70" t="str" cm="1">
        <f t="array" aca="1" ref="E45" ca="1">IF(INDIRECT("Safras!L"&amp;ROW()-43&amp;"C[-2]",0)="","",INDIRECT("Safras!L"&amp;ROW()-43&amp;"C[-2]",0)*1)</f>
        <v/>
      </c>
      <c r="F45" s="70" t="str" cm="1">
        <f t="array" aca="1" ref="F45" ca="1">IF(INDIRECT("Safras!L"&amp;ROW()-43&amp;"C[-2]",0)="","",INDIRECT("Safras!L"&amp;ROW()-43&amp;"C[-2]",0)*1)</f>
        <v/>
      </c>
      <c r="G45" s="82" t="str" cm="1">
        <f t="array" aca="1" ref="G45" ca="1">IF(INDIRECT("Safras!L"&amp;ROW()-43&amp;"C[-2]",0)="","",INDIRECT("Safras!L"&amp;ROW()-43&amp;"C[-2]",0)*1)</f>
        <v/>
      </c>
      <c r="H45" s="82" t="str" cm="1">
        <f t="array" aca="1" ref="H45" ca="1">IF(INDIRECT("Safras!L"&amp;ROW()-43&amp;"C[-2]",0)="","",INDIRECT("Safras!L"&amp;ROW()-43&amp;"C[-2]",0)*1)</f>
        <v/>
      </c>
      <c r="I45" s="82"/>
      <c r="J45" s="70"/>
      <c r="K45" s="100"/>
    </row>
    <row r="46" spans="1:14" s="49" customFormat="1" ht="19.95" customHeight="1" x14ac:dyDescent="0.3">
      <c r="B46" s="95"/>
      <c r="C46" s="70" t="str" cm="1">
        <f t="array" aca="1" ref="C46" ca="1">IF(INDIRECT("Safras!A"&amp;ROW()-43)="","",INDIRECT("Safras!A"&amp;ROW()-43)&amp;" Safra")</f>
        <v/>
      </c>
      <c r="D46" s="70" t="str" cm="1">
        <f t="array" aca="1" ref="D46" ca="1">IF(INDIRECT("Safras!L"&amp;ROW()-43&amp;"C[-2]",0)="","",INDIRECT("Safras!L"&amp;ROW()-43&amp;"C[-2]",0))</f>
        <v/>
      </c>
      <c r="E46" s="70" t="str" cm="1">
        <f t="array" aca="1" ref="E46" ca="1">IF(INDIRECT("Safras!L"&amp;ROW()-43&amp;"C[-2]",0)="","",INDIRECT("Safras!L"&amp;ROW()-43&amp;"C[-2]",0)*1)</f>
        <v/>
      </c>
      <c r="F46" s="70" t="str" cm="1">
        <f t="array" aca="1" ref="F46" ca="1">IF(INDIRECT("Safras!L"&amp;ROW()-43&amp;"C[-2]",0)="","",INDIRECT("Safras!L"&amp;ROW()-43&amp;"C[-2]",0)*1)</f>
        <v/>
      </c>
      <c r="G46" s="82" t="str" cm="1">
        <f t="array" aca="1" ref="G46" ca="1">IF(INDIRECT("Safras!L"&amp;ROW()-43&amp;"C[-2]",0)="","",INDIRECT("Safras!L"&amp;ROW()-43&amp;"C[-2]",0)*1)</f>
        <v/>
      </c>
      <c r="H46" s="82" t="str" cm="1">
        <f t="array" aca="1" ref="H46" ca="1">IF(INDIRECT("Safras!L"&amp;ROW()-43&amp;"C[-2]",0)="","",INDIRECT("Safras!L"&amp;ROW()-43&amp;"C[-2]",0)*1)</f>
        <v/>
      </c>
      <c r="I46" s="82"/>
      <c r="J46" s="70"/>
      <c r="K46" s="100"/>
    </row>
    <row r="47" spans="1:14" s="49" customFormat="1" ht="19.95" customHeight="1" x14ac:dyDescent="0.3">
      <c r="B47" s="95"/>
      <c r="C47" s="70" t="str" cm="1">
        <f t="array" aca="1" ref="C47" ca="1">IF(INDIRECT("Safras!A"&amp;ROW()-43)="","",INDIRECT("Safras!A"&amp;ROW()-43)&amp;" Safra")</f>
        <v/>
      </c>
      <c r="D47" s="70" t="str" cm="1">
        <f t="array" aca="1" ref="D47" ca="1">IF(INDIRECT("Safras!L"&amp;ROW()-43&amp;"C[-2]",0)="","",INDIRECT("Safras!L"&amp;ROW()-43&amp;"C[-2]",0))</f>
        <v/>
      </c>
      <c r="E47" s="70" t="str" cm="1">
        <f t="array" aca="1" ref="E47" ca="1">IF(INDIRECT("Safras!L"&amp;ROW()-43&amp;"C[-2]",0)="","",INDIRECT("Safras!L"&amp;ROW()-43&amp;"C[-2]",0)*1)</f>
        <v/>
      </c>
      <c r="F47" s="70" t="str" cm="1">
        <f t="array" aca="1" ref="F47" ca="1">IF(INDIRECT("Safras!L"&amp;ROW()-43&amp;"C[-2]",0)="","",INDIRECT("Safras!L"&amp;ROW()-43&amp;"C[-2]",0)*1)</f>
        <v/>
      </c>
      <c r="G47" s="82" t="str" cm="1">
        <f t="array" aca="1" ref="G47" ca="1">IF(INDIRECT("Safras!L"&amp;ROW()-43&amp;"C[-2]",0)="","",INDIRECT("Safras!L"&amp;ROW()-43&amp;"C[-2]",0)*1)</f>
        <v/>
      </c>
      <c r="H47" s="82" t="str" cm="1">
        <f t="array" aca="1" ref="H47" ca="1">IF(INDIRECT("Safras!L"&amp;ROW()-43&amp;"C[-2]",0)="","",INDIRECT("Safras!L"&amp;ROW()-43&amp;"C[-2]",0)*1)</f>
        <v/>
      </c>
      <c r="I47" s="82"/>
      <c r="J47" s="70"/>
      <c r="K47" s="96"/>
    </row>
    <row r="48" spans="1:14" s="49" customFormat="1" ht="19.95" customHeight="1" x14ac:dyDescent="0.3">
      <c r="B48" s="95"/>
      <c r="C48" s="70" t="str" cm="1">
        <f t="array" aca="1" ref="C48" ca="1">IF(INDIRECT("Safras!A"&amp;ROW()-43)="","",INDIRECT("Safras!A"&amp;ROW()-43)&amp;" Safra")</f>
        <v/>
      </c>
      <c r="D48" s="70" t="str" cm="1">
        <f t="array" aca="1" ref="D48" ca="1">IF(INDIRECT("Safras!L"&amp;ROW()-43&amp;"C[-2]",0)="","",INDIRECT("Safras!L"&amp;ROW()-43&amp;"C[-2]",0))</f>
        <v/>
      </c>
      <c r="E48" s="70" t="str" cm="1">
        <f t="array" aca="1" ref="E48" ca="1">IF(INDIRECT("Safras!L"&amp;ROW()-43&amp;"C[-2]",0)="","",INDIRECT("Safras!L"&amp;ROW()-43&amp;"C[-2]",0)*1)</f>
        <v/>
      </c>
      <c r="F48" s="70" t="str" cm="1">
        <f t="array" aca="1" ref="F48" ca="1">IF(INDIRECT("Safras!L"&amp;ROW()-43&amp;"C[-2]",0)="","",INDIRECT("Safras!L"&amp;ROW()-43&amp;"C[-2]",0)*1)</f>
        <v/>
      </c>
      <c r="G48" s="82" t="str" cm="1">
        <f t="array" aca="1" ref="G48" ca="1">IF(INDIRECT("Safras!L"&amp;ROW()-43&amp;"C[-2]",0)="","",INDIRECT("Safras!L"&amp;ROW()-43&amp;"C[-2]",0)*1)</f>
        <v/>
      </c>
      <c r="H48" s="82" t="str" cm="1">
        <f t="array" aca="1" ref="H48" ca="1">IF(INDIRECT("Safras!L"&amp;ROW()-43&amp;"C[-2]",0)="","",INDIRECT("Safras!L"&amp;ROW()-43&amp;"C[-2]",0)*1)</f>
        <v/>
      </c>
      <c r="I48" s="82"/>
      <c r="J48" s="70"/>
      <c r="K48" s="96"/>
    </row>
    <row r="49" spans="1:14" s="49" customFormat="1" ht="19.95" customHeight="1" x14ac:dyDescent="0.3">
      <c r="B49" s="95"/>
      <c r="C49" s="70" t="str" cm="1">
        <f t="array" aca="1" ref="C49" ca="1">IF(INDIRECT("Safras!A"&amp;ROW()-43)="","",INDIRECT("Safras!A"&amp;ROW()-43)&amp;" Safra")</f>
        <v/>
      </c>
      <c r="D49" s="70" t="str" cm="1">
        <f t="array" aca="1" ref="D49" ca="1">IF(INDIRECT("Safras!L"&amp;ROW()-43&amp;"C[-2]",0)="","",INDIRECT("Safras!L"&amp;ROW()-43&amp;"C[-2]",0))</f>
        <v/>
      </c>
      <c r="E49" s="70" t="str" cm="1">
        <f t="array" aca="1" ref="E49" ca="1">IF(INDIRECT("Safras!L"&amp;ROW()-43&amp;"C[-2]",0)="","",INDIRECT("Safras!L"&amp;ROW()-43&amp;"C[-2]",0)*1)</f>
        <v/>
      </c>
      <c r="F49" s="70" t="str" cm="1">
        <f t="array" aca="1" ref="F49" ca="1">IF(INDIRECT("Safras!L"&amp;ROW()-43&amp;"C[-2]",0)="","",INDIRECT("Safras!L"&amp;ROW()-43&amp;"C[-2]",0)*1)</f>
        <v/>
      </c>
      <c r="G49" s="82" t="str" cm="1">
        <f t="array" aca="1" ref="G49" ca="1">IF(INDIRECT("Safras!L"&amp;ROW()-43&amp;"C[-2]",0)="","",INDIRECT("Safras!L"&amp;ROW()-43&amp;"C[-2]",0)*1)</f>
        <v/>
      </c>
      <c r="H49" s="82" t="str" cm="1">
        <f t="array" aca="1" ref="H49" ca="1">IF(INDIRECT("Safras!L"&amp;ROW()-43&amp;"C[-2]",0)="","",INDIRECT("Safras!L"&amp;ROW()-43&amp;"C[-2]",0)*1)</f>
        <v/>
      </c>
      <c r="I49" s="82"/>
      <c r="J49" s="70"/>
      <c r="K49" s="96"/>
    </row>
    <row r="50" spans="1:14" s="49" customFormat="1" ht="19.95" customHeight="1" x14ac:dyDescent="0.3">
      <c r="B50" s="95"/>
      <c r="C50" s="70" t="str" cm="1">
        <f t="array" aca="1" ref="C50" ca="1">IF(INDIRECT("Safras!A"&amp;ROW()-43)="","",INDIRECT("Safras!A"&amp;ROW()-43)&amp;" Safra")</f>
        <v/>
      </c>
      <c r="D50" s="70" t="str" cm="1">
        <f t="array" aca="1" ref="D50" ca="1">IF(INDIRECT("Safras!L"&amp;ROW()-43&amp;"C[-2]",0)="","",INDIRECT("Safras!L"&amp;ROW()-43&amp;"C[-2]",0))</f>
        <v/>
      </c>
      <c r="E50" s="70" t="str" cm="1">
        <f t="array" aca="1" ref="E50" ca="1">IF(INDIRECT("Safras!L"&amp;ROW()-43&amp;"C[-2]",0)="","",INDIRECT("Safras!L"&amp;ROW()-43&amp;"C[-2]",0)*1)</f>
        <v/>
      </c>
      <c r="F50" s="70" t="str" cm="1">
        <f t="array" aca="1" ref="F50" ca="1">IF(INDIRECT("Safras!L"&amp;ROW()-43&amp;"C[-2]",0)="","",INDIRECT("Safras!L"&amp;ROW()-43&amp;"C[-2]",0)*1)</f>
        <v/>
      </c>
      <c r="G50" s="82" t="str" cm="1">
        <f t="array" aca="1" ref="G50" ca="1">IF(INDIRECT("Safras!L"&amp;ROW()-43&amp;"C[-2]",0)="","",INDIRECT("Safras!L"&amp;ROW()-43&amp;"C[-2]",0)*1)</f>
        <v/>
      </c>
      <c r="H50" s="82" t="str" cm="1">
        <f t="array" aca="1" ref="H50" ca="1">IF(INDIRECT("Safras!L"&amp;ROW()-43&amp;"C[-2]",0)="","",INDIRECT("Safras!L"&amp;ROW()-43&amp;"C[-2]",0)*1)</f>
        <v/>
      </c>
      <c r="I50" s="82"/>
      <c r="J50" s="70"/>
      <c r="K50" s="96"/>
    </row>
    <row r="51" spans="1:14" s="49" customFormat="1" ht="19.95" customHeight="1" x14ac:dyDescent="0.3">
      <c r="B51" s="95"/>
      <c r="C51" s="70" t="str" cm="1">
        <f t="array" aca="1" ref="C51" ca="1">IF(INDIRECT("Safras!A"&amp;ROW()-43)="","",INDIRECT("Safras!A"&amp;ROW()-43)&amp;" Safra")</f>
        <v/>
      </c>
      <c r="D51" s="70" t="str" cm="1">
        <f t="array" aca="1" ref="D51" ca="1">IF(INDIRECT("Safras!L"&amp;ROW()-43&amp;"C[-2]",0)="","",INDIRECT("Safras!L"&amp;ROW()-43&amp;"C[-2]",0))</f>
        <v/>
      </c>
      <c r="E51" s="70" t="str" cm="1">
        <f t="array" aca="1" ref="E51" ca="1">IF(INDIRECT("Safras!L"&amp;ROW()-43&amp;"C[-2]",0)="","",INDIRECT("Safras!L"&amp;ROW()-43&amp;"C[-2]",0)*1)</f>
        <v/>
      </c>
      <c r="F51" s="70" t="str" cm="1">
        <f t="array" aca="1" ref="F51" ca="1">IF(INDIRECT("Safras!L"&amp;ROW()-43&amp;"C[-2]",0)="","",INDIRECT("Safras!L"&amp;ROW()-43&amp;"C[-2]",0)*1)</f>
        <v/>
      </c>
      <c r="G51" s="82" t="str" cm="1">
        <f t="array" aca="1" ref="G51" ca="1">IF(INDIRECT("Safras!L"&amp;ROW()-43&amp;"C[-2]",0)="","",INDIRECT("Safras!L"&amp;ROW()-43&amp;"C[-2]",0)*1)</f>
        <v/>
      </c>
      <c r="H51" s="82" t="str" cm="1">
        <f t="array" aca="1" ref="H51" ca="1">IF(INDIRECT("Safras!L"&amp;ROW()-43&amp;"C[-2]",0)="","",INDIRECT("Safras!L"&amp;ROW()-43&amp;"C[-2]",0)*1)</f>
        <v/>
      </c>
      <c r="I51" s="82"/>
      <c r="J51" s="70"/>
      <c r="K51" s="96"/>
    </row>
    <row r="52" spans="1:14" s="49" customFormat="1" ht="19.95" customHeight="1" x14ac:dyDescent="0.3">
      <c r="B52" s="95"/>
      <c r="C52" s="70" t="str" cm="1">
        <f t="array" aca="1" ref="C52" ca="1">IF(INDIRECT("Safras!A"&amp;ROW()-43)="","",INDIRECT("Safras!A"&amp;ROW()-43)&amp;" Safra")</f>
        <v/>
      </c>
      <c r="D52" s="70" t="str" cm="1">
        <f t="array" aca="1" ref="D52" ca="1">IF(INDIRECT("Safras!L"&amp;ROW()-43&amp;"C[-2]",0)="","",INDIRECT("Safras!L"&amp;ROW()-43&amp;"C[-2]",0))</f>
        <v/>
      </c>
      <c r="E52" s="70" t="str" cm="1">
        <f t="array" aca="1" ref="E52" ca="1">IF(INDIRECT("Safras!L"&amp;ROW()-43&amp;"C[-2]",0)="","",INDIRECT("Safras!L"&amp;ROW()-43&amp;"C[-2]",0)*1)</f>
        <v/>
      </c>
      <c r="F52" s="70" t="str" cm="1">
        <f t="array" aca="1" ref="F52" ca="1">IF(INDIRECT("Safras!L"&amp;ROW()-43&amp;"C[-2]",0)="","",INDIRECT("Safras!L"&amp;ROW()-43&amp;"C[-2]",0)*1)</f>
        <v/>
      </c>
      <c r="G52" s="82" t="str" cm="1">
        <f t="array" aca="1" ref="G52" ca="1">IF(INDIRECT("Safras!L"&amp;ROW()-43&amp;"C[-2]",0)="","",INDIRECT("Safras!L"&amp;ROW()-43&amp;"C[-2]",0)*1)</f>
        <v/>
      </c>
      <c r="H52" s="82" t="str" cm="1">
        <f t="array" aca="1" ref="H52" ca="1">IF(INDIRECT("Safras!L"&amp;ROW()-43&amp;"C[-2]",0)="","",INDIRECT("Safras!L"&amp;ROW()-43&amp;"C[-2]",0)*1)</f>
        <v/>
      </c>
      <c r="I52" s="82"/>
      <c r="J52" s="70"/>
      <c r="K52" s="96"/>
    </row>
    <row r="53" spans="1:14" s="49" customFormat="1" ht="19.95" customHeight="1" x14ac:dyDescent="0.3">
      <c r="B53" s="95"/>
      <c r="C53" s="70" t="str" cm="1">
        <f t="array" aca="1" ref="C53" ca="1">IF(INDIRECT("Safras!A"&amp;ROW()-43)="","",INDIRECT("Safras!A"&amp;ROW()-43)&amp;" Safra")</f>
        <v/>
      </c>
      <c r="D53" s="70" t="str" cm="1">
        <f t="array" aca="1" ref="D53" ca="1">IF(INDIRECT("Safras!L"&amp;ROW()-43&amp;"C[-2]",0)="","",INDIRECT("Safras!L"&amp;ROW()-43&amp;"C[-2]",0))</f>
        <v/>
      </c>
      <c r="E53" s="70" t="str" cm="1">
        <f t="array" aca="1" ref="E53" ca="1">IF(INDIRECT("Safras!L"&amp;ROW()-43&amp;"C[-2]",0)="","",INDIRECT("Safras!L"&amp;ROW()-43&amp;"C[-2]",0)*1)</f>
        <v/>
      </c>
      <c r="F53" s="70" t="str" cm="1">
        <f t="array" aca="1" ref="F53" ca="1">IF(INDIRECT("Safras!L"&amp;ROW()-43&amp;"C[-2]",0)="","",INDIRECT("Safras!L"&amp;ROW()-43&amp;"C[-2]",0)*1)</f>
        <v/>
      </c>
      <c r="G53" s="82" t="str" cm="1">
        <f t="array" aca="1" ref="G53" ca="1">IF(INDIRECT("Safras!L"&amp;ROW()-43&amp;"C[-2]",0)="","",INDIRECT("Safras!L"&amp;ROW()-43&amp;"C[-2]",0)*1)</f>
        <v/>
      </c>
      <c r="H53" s="82" t="str" cm="1">
        <f t="array" aca="1" ref="H53" ca="1">IF(INDIRECT("Safras!L"&amp;ROW()-43&amp;"C[-2]",0)="","",INDIRECT("Safras!L"&amp;ROW()-43&amp;"C[-2]",0)*1)</f>
        <v/>
      </c>
      <c r="I53" s="82"/>
      <c r="J53" s="70"/>
      <c r="K53" s="96"/>
    </row>
    <row r="54" spans="1:14" s="49" customFormat="1" ht="19.95" customHeight="1" x14ac:dyDescent="0.3">
      <c r="B54" s="95"/>
      <c r="C54" s="70" t="str" cm="1">
        <f t="array" aca="1" ref="C54" ca="1">IF(INDIRECT("Safras!A"&amp;ROW()-43)="","",INDIRECT("Safras!A"&amp;ROW()-43)&amp;" Safra")</f>
        <v/>
      </c>
      <c r="D54" s="70" t="str" cm="1">
        <f t="array" aca="1" ref="D54" ca="1">IF(INDIRECT("Safras!L"&amp;ROW()-43&amp;"C[-2]",0)="","",INDIRECT("Safras!L"&amp;ROW()-43&amp;"C[-2]",0))</f>
        <v/>
      </c>
      <c r="E54" s="70" t="str" cm="1">
        <f t="array" aca="1" ref="E54" ca="1">IF(INDIRECT("Safras!L"&amp;ROW()-43&amp;"C[-2]",0)="","",INDIRECT("Safras!L"&amp;ROW()-43&amp;"C[-2]",0)*1)</f>
        <v/>
      </c>
      <c r="F54" s="70" t="str" cm="1">
        <f t="array" aca="1" ref="F54" ca="1">IF(INDIRECT("Safras!L"&amp;ROW()-43&amp;"C[-2]",0)="","",INDIRECT("Safras!L"&amp;ROW()-43&amp;"C[-2]",0)*1)</f>
        <v/>
      </c>
      <c r="G54" s="82" t="str" cm="1">
        <f t="array" aca="1" ref="G54" ca="1">IF(INDIRECT("Safras!L"&amp;ROW()-43&amp;"C[-2]",0)="","",INDIRECT("Safras!L"&amp;ROW()-43&amp;"C[-2]",0)*1)</f>
        <v/>
      </c>
      <c r="H54" s="82" t="str" cm="1">
        <f t="array" aca="1" ref="H54" ca="1">IF(INDIRECT("Safras!L"&amp;ROW()-43&amp;"C[-2]",0)="","",INDIRECT("Safras!L"&amp;ROW()-43&amp;"C[-2]",0)*1)</f>
        <v/>
      </c>
      <c r="I54" s="82"/>
      <c r="J54" s="70"/>
      <c r="K54" s="96"/>
    </row>
    <row r="55" spans="1:14" s="49" customFormat="1" ht="19.95" customHeight="1" x14ac:dyDescent="0.3">
      <c r="B55" s="95"/>
      <c r="C55" s="70" t="str" cm="1">
        <f t="array" aca="1" ref="C55" ca="1">IF(INDIRECT("Safras!A"&amp;ROW()-43)="","",INDIRECT("Safras!A"&amp;ROW()-43)&amp;" Safra")</f>
        <v/>
      </c>
      <c r="D55" s="70" t="str" cm="1">
        <f t="array" aca="1" ref="D55" ca="1">IF(INDIRECT("Safras!L"&amp;ROW()-43&amp;"C[-2]",0)="","",INDIRECT("Safras!L"&amp;ROW()-43&amp;"C[-2]",0))</f>
        <v/>
      </c>
      <c r="E55" s="70" t="str" cm="1">
        <f t="array" aca="1" ref="E55" ca="1">IF(INDIRECT("Safras!L"&amp;ROW()-43&amp;"C[-2]",0)="","",INDIRECT("Safras!L"&amp;ROW()-43&amp;"C[-2]",0)*1)</f>
        <v/>
      </c>
      <c r="F55" s="70" t="str" cm="1">
        <f t="array" aca="1" ref="F55" ca="1">IF(INDIRECT("Safras!L"&amp;ROW()-43&amp;"C[-2]",0)="","",INDIRECT("Safras!L"&amp;ROW()-43&amp;"C[-2]",0)*1)</f>
        <v/>
      </c>
      <c r="G55" s="82" t="str" cm="1">
        <f t="array" aca="1" ref="G55" ca="1">IF(INDIRECT("Safras!L"&amp;ROW()-43&amp;"C[-2]",0)="","",INDIRECT("Safras!L"&amp;ROW()-43&amp;"C[-2]",0)*1)</f>
        <v/>
      </c>
      <c r="H55" s="82" t="str" cm="1">
        <f t="array" aca="1" ref="H55" ca="1">IF(INDIRECT("Safras!L"&amp;ROW()-43&amp;"C[-2]",0)="","",INDIRECT("Safras!L"&amp;ROW()-43&amp;"C[-2]",0)*1)</f>
        <v/>
      </c>
      <c r="I55" s="82"/>
      <c r="J55" s="70"/>
      <c r="K55" s="96"/>
    </row>
    <row r="56" spans="1:14" s="49" customFormat="1" ht="19.95" customHeight="1" x14ac:dyDescent="0.3">
      <c r="B56" s="95"/>
      <c r="C56" s="70" t="str" cm="1">
        <f t="array" aca="1" ref="C56" ca="1">IF(INDIRECT("Safras!A"&amp;ROW()-43)="","",INDIRECT("Safras!A"&amp;ROW()-43)&amp;" Safra")</f>
        <v/>
      </c>
      <c r="D56" s="70" t="str" cm="1">
        <f t="array" aca="1" ref="D56" ca="1">IF(INDIRECT("Safras!L"&amp;ROW()-43&amp;"C[-2]",0)="","",INDIRECT("Safras!L"&amp;ROW()-43&amp;"C[-2]",0))</f>
        <v/>
      </c>
      <c r="E56" s="70" t="str" cm="1">
        <f t="array" aca="1" ref="E56" ca="1">IF(INDIRECT("Safras!L"&amp;ROW()-43&amp;"C[-2]",0)="","",INDIRECT("Safras!L"&amp;ROW()-43&amp;"C[-2]",0)*1)</f>
        <v/>
      </c>
      <c r="F56" s="70" t="str" cm="1">
        <f t="array" aca="1" ref="F56" ca="1">IF(INDIRECT("Safras!L"&amp;ROW()-43&amp;"C[-2]",0)="","",INDIRECT("Safras!L"&amp;ROW()-43&amp;"C[-2]",0)*1)</f>
        <v/>
      </c>
      <c r="G56" s="82" t="str" cm="1">
        <f t="array" aca="1" ref="G56" ca="1">IF(INDIRECT("Safras!L"&amp;ROW()-43&amp;"C[-2]",0)="","",INDIRECT("Safras!L"&amp;ROW()-43&amp;"C[-2]",0)*1)</f>
        <v/>
      </c>
      <c r="H56" s="82" t="str" cm="1">
        <f t="array" aca="1" ref="H56" ca="1">IF(INDIRECT("Safras!L"&amp;ROW()-43&amp;"C[-2]",0)="","",INDIRECT("Safras!L"&amp;ROW()-43&amp;"C[-2]",0)*1)</f>
        <v/>
      </c>
      <c r="I56" s="82"/>
      <c r="J56" s="70"/>
      <c r="K56" s="96"/>
    </row>
    <row r="57" spans="1:14" s="49" customFormat="1" ht="19.95" customHeight="1" x14ac:dyDescent="0.3">
      <c r="B57" s="95"/>
      <c r="C57" s="70" t="str" cm="1">
        <f t="array" aca="1" ref="C57" ca="1">IF(INDIRECT("Safras!A"&amp;ROW()-43)="","",INDIRECT("Safras!A"&amp;ROW()-43)&amp;" Safra")</f>
        <v/>
      </c>
      <c r="D57" s="70" t="str" cm="1">
        <f t="array" aca="1" ref="D57" ca="1">IF(INDIRECT("Safras!L"&amp;ROW()-43&amp;"C[-2]",0)="","",INDIRECT("Safras!L"&amp;ROW()-43&amp;"C[-2]",0))</f>
        <v/>
      </c>
      <c r="E57" s="70" t="str" cm="1">
        <f t="array" aca="1" ref="E57" ca="1">IF(INDIRECT("Safras!L"&amp;ROW()-43&amp;"C[-2]",0)="","",INDIRECT("Safras!L"&amp;ROW()-43&amp;"C[-2]",0)*1)</f>
        <v/>
      </c>
      <c r="F57" s="70" t="str" cm="1">
        <f t="array" aca="1" ref="F57" ca="1">IF(INDIRECT("Safras!L"&amp;ROW()-43&amp;"C[-2]",0)="","",INDIRECT("Safras!L"&amp;ROW()-43&amp;"C[-2]",0)*1)</f>
        <v/>
      </c>
      <c r="G57" s="82" t="str" cm="1">
        <f t="array" aca="1" ref="G57" ca="1">IF(INDIRECT("Safras!L"&amp;ROW()-43&amp;"C[-2]",0)="","",INDIRECT("Safras!L"&amp;ROW()-43&amp;"C[-2]",0)*1)</f>
        <v/>
      </c>
      <c r="H57" s="82" t="str" cm="1">
        <f t="array" aca="1" ref="H57" ca="1">IF(INDIRECT("Safras!L"&amp;ROW()-43&amp;"C[-2]",0)="","",INDIRECT("Safras!L"&amp;ROW()-43&amp;"C[-2]",0)*1)</f>
        <v/>
      </c>
      <c r="I57" s="82"/>
      <c r="J57" s="70"/>
      <c r="K57" s="96"/>
    </row>
    <row r="58" spans="1:14" s="49" customFormat="1" ht="19.95" customHeight="1" x14ac:dyDescent="0.3">
      <c r="B58" s="95"/>
      <c r="C58" s="83" t="str" cm="1">
        <f t="array" aca="1" ref="C58" ca="1">IF(INDIRECT("Safras!A"&amp;ROW()-43)="","",INDIRECT("Safras!A"&amp;ROW()-43)&amp;" Safra")</f>
        <v/>
      </c>
      <c r="D58" s="83" t="str" cm="1">
        <f t="array" aca="1" ref="D58" ca="1">IF(INDIRECT("Safras!L"&amp;ROW()-43&amp;"C[-2]",0)="","",INDIRECT("Safras!L"&amp;ROW()-43&amp;"C[-2]",0))</f>
        <v/>
      </c>
      <c r="E58" s="83" t="str" cm="1">
        <f t="array" aca="1" ref="E58" ca="1">IF(INDIRECT("Safras!L"&amp;ROW()-43&amp;"C[-2]",0)="","",INDIRECT("Safras!L"&amp;ROW()-43&amp;"C[-2]",0)*1)</f>
        <v/>
      </c>
      <c r="F58" s="83" t="str" cm="1">
        <f t="array" aca="1" ref="F58" ca="1">IF(INDIRECT("Safras!L"&amp;ROW()-43&amp;"C[-2]",0)="","",INDIRECT("Safras!L"&amp;ROW()-43&amp;"C[-2]",0)*1)</f>
        <v/>
      </c>
      <c r="G58" s="84" t="str" cm="1">
        <f t="array" aca="1" ref="G58" ca="1">IF(INDIRECT("Safras!L"&amp;ROW()-43&amp;"C[-2]",0)="","",INDIRECT("Safras!L"&amp;ROW()-43&amp;"C[-2]",0)*1)</f>
        <v/>
      </c>
      <c r="H58" s="84" t="str" cm="1">
        <f t="array" aca="1" ref="H58" ca="1">IF(INDIRECT("Safras!L"&amp;ROW()-43&amp;"C[-2]",0)="","",INDIRECT("Safras!L"&amp;ROW()-43&amp;"C[-2]",0)*1)</f>
        <v/>
      </c>
      <c r="I58" s="84"/>
      <c r="J58" s="83"/>
      <c r="K58" s="96"/>
    </row>
    <row r="59" spans="1:14" ht="19.8" customHeight="1" x14ac:dyDescent="0.3">
      <c r="B59" s="43"/>
      <c r="D59" s="19" t="str" cm="1">
        <f t="array" aca="1" ref="D59" ca="1">IF(INDIRECT("Safras!A"&amp;ROW()-40)="","",INDIRECT("Safras!A"&amp;ROW()-40)&amp;" Safra")</f>
        <v/>
      </c>
      <c r="E59" s="19" t="str" cm="1">
        <f t="array" aca="1" ref="E59" ca="1">IF(INDIRECT("Safras!L"&amp;ROW()-40&amp;"C[-1]",0)="","",INDIRECT("Safras!L"&amp;ROW()-40&amp;"C[-1]",0))</f>
        <v/>
      </c>
      <c r="F59" s="19" t="str" cm="1">
        <f t="array" aca="1" ref="F59" ca="1">IF(INDIRECT("Safras!L"&amp;ROW()-40&amp;"C[-1]",0)="","",INDIRECT("Safras!L"&amp;ROW()-40&amp;"C[-1]",0)*1)</f>
        <v/>
      </c>
      <c r="G59" s="19" t="str" cm="1">
        <f t="array" aca="1" ref="G59" ca="1">IF(INDIRECT("Safras!L"&amp;ROW()-40&amp;"C[-1]",0)="","",INDIRECT("Safras!L"&amp;ROW()-40&amp;"C[-1]",0)*1)</f>
        <v/>
      </c>
      <c r="H59" s="101" t="str" cm="1">
        <f t="array" aca="1" ref="H59" ca="1">IF(INDIRECT("Safras!L"&amp;ROW()-40&amp;"C[-1]",0)="","",INDIRECT("Safras!L"&amp;ROW()-40&amp;"C[-1]",0)*1)</f>
        <v/>
      </c>
      <c r="I59" s="101" t="str" cm="1">
        <f t="array" aca="1" ref="I59" ca="1">IF(INDIRECT("Safras!L"&amp;ROW()-40&amp;"C[-1]",0)="","",INDIRECT("Safras!L"&amp;ROW()-40&amp;"C[-1]",0)*1)</f>
        <v/>
      </c>
      <c r="K59" s="37"/>
    </row>
    <row r="60" spans="1:14" s="1" customFormat="1" ht="25.2" customHeight="1" x14ac:dyDescent="0.3">
      <c r="A60"/>
      <c r="B60" s="43"/>
      <c r="C60" s="147" t="s">
        <v>11141</v>
      </c>
      <c r="D60" s="148" t="s">
        <v>11064</v>
      </c>
      <c r="E60" s="148"/>
      <c r="F60" s="148"/>
      <c r="G60" s="148"/>
      <c r="H60" s="148"/>
      <c r="I60" s="148"/>
      <c r="J60" s="149"/>
      <c r="K60" s="37"/>
      <c r="L60"/>
      <c r="M60"/>
      <c r="N60"/>
    </row>
    <row r="61" spans="1:14" ht="19.95" customHeight="1" x14ac:dyDescent="0.3">
      <c r="B61" s="43"/>
      <c r="C61" s="86" t="s">
        <v>11058</v>
      </c>
      <c r="D61" s="165" t="s">
        <v>5475</v>
      </c>
      <c r="E61" s="165"/>
      <c r="F61" s="166"/>
      <c r="G61" s="166"/>
      <c r="H61" s="87"/>
      <c r="I61" s="87"/>
      <c r="J61" s="88"/>
      <c r="K61" s="37"/>
    </row>
    <row r="62" spans="1:14" ht="19.95" customHeight="1" x14ac:dyDescent="0.3">
      <c r="B62" s="43"/>
      <c r="C62" s="89" t="str" cm="1">
        <f t="array" aca="1" ref="C62" ca="1">IF(INDIRECT("Pecuaria!A"&amp;ROW()-60)="","",INDIRECT("Pecuaria!A"&amp;ROW()-60))</f>
        <v/>
      </c>
      <c r="D62" s="161" t="str" cm="1">
        <f t="array" aca="1" ref="D62" ca="1">IF(INDIRECT("Pecuaria!B"&amp;ROW()-60)="","",INDIRECT("Pecuaria!B"&amp;ROW()-60))</f>
        <v/>
      </c>
      <c r="E62" s="161"/>
      <c r="F62" s="162" t="str" cm="1">
        <f t="array" aca="1" ref="F62" ca="1">IF(INDIRECT("Pecuaria!B"&amp;ROW()-58)="","",INDIRECT("Pecuaria!B"&amp;ROW()-58))</f>
        <v/>
      </c>
      <c r="G62" s="162"/>
      <c r="H62" s="90"/>
      <c r="I62" s="90"/>
      <c r="J62" s="91"/>
      <c r="K62" s="37"/>
    </row>
    <row r="63" spans="1:14" ht="19.95" customHeight="1" x14ac:dyDescent="0.3">
      <c r="B63" s="43"/>
      <c r="C63" s="89" t="str" cm="1">
        <f t="array" aca="1" ref="C63" ca="1">IF(INDIRECT("Pecuaria!A"&amp;ROW()-60)="","",INDIRECT("Pecuaria!A"&amp;ROW()-60))</f>
        <v/>
      </c>
      <c r="D63" s="161" t="str" cm="1">
        <f t="array" aca="1" ref="D63" ca="1">IF(INDIRECT("Pecuaria!B"&amp;ROW()-60)="","",INDIRECT("Pecuaria!B"&amp;ROW()-60))</f>
        <v/>
      </c>
      <c r="E63" s="161"/>
      <c r="F63" s="162" t="str" cm="1">
        <f t="array" aca="1" ref="F63" ca="1">IF(INDIRECT("Pecuaria!B"&amp;ROW()-58)="","",INDIRECT("Pecuaria!B"&amp;ROW()-58))</f>
        <v/>
      </c>
      <c r="G63" s="162"/>
      <c r="H63" s="90"/>
      <c r="I63" s="90"/>
      <c r="J63" s="91"/>
      <c r="K63" s="37"/>
    </row>
    <row r="64" spans="1:14" ht="19.95" customHeight="1" x14ac:dyDescent="0.3">
      <c r="B64" s="43"/>
      <c r="C64" s="89" t="str" cm="1">
        <f t="array" aca="1" ref="C64" ca="1">IF(INDIRECT("Pecuaria!A"&amp;ROW()-60)="","",INDIRECT("Pecuaria!A"&amp;ROW()-60))</f>
        <v/>
      </c>
      <c r="D64" s="161" t="str" cm="1">
        <f t="array" aca="1" ref="D64" ca="1">IF(INDIRECT("Pecuaria!B"&amp;ROW()-60)="","",INDIRECT("Pecuaria!B"&amp;ROW()-60))</f>
        <v/>
      </c>
      <c r="E64" s="161"/>
      <c r="F64" s="162" t="str" cm="1">
        <f t="array" aca="1" ref="F64" ca="1">IF(INDIRECT("Pecuaria!B"&amp;ROW()-58)="","",INDIRECT("Pecuaria!B"&amp;ROW()-58))</f>
        <v/>
      </c>
      <c r="G64" s="162"/>
      <c r="H64" s="90"/>
      <c r="I64" s="90"/>
      <c r="J64" s="91"/>
      <c r="K64" s="37"/>
    </row>
    <row r="65" spans="2:19" ht="19.95" customHeight="1" x14ac:dyDescent="0.3">
      <c r="B65" s="43"/>
      <c r="C65" s="89" t="str" cm="1">
        <f t="array" aca="1" ref="C65" ca="1">IF(INDIRECT("Pecuaria!A"&amp;ROW()-60)="","",INDIRECT("Pecuaria!A"&amp;ROW()-60))</f>
        <v/>
      </c>
      <c r="D65" s="161" t="str" cm="1">
        <f t="array" aca="1" ref="D65" ca="1">IF(INDIRECT("Pecuaria!B"&amp;ROW()-60)="","",INDIRECT("Pecuaria!B"&amp;ROW()-60))</f>
        <v/>
      </c>
      <c r="E65" s="161"/>
      <c r="F65" s="162" t="str" cm="1">
        <f t="array" aca="1" ref="F65" ca="1">IF(INDIRECT("Pecuaria!B"&amp;ROW()-58)="","",INDIRECT("Pecuaria!B"&amp;ROW()-58))</f>
        <v/>
      </c>
      <c r="G65" s="162"/>
      <c r="H65" s="90"/>
      <c r="I65" s="90"/>
      <c r="J65" s="91"/>
      <c r="K65" s="37"/>
    </row>
    <row r="66" spans="2:19" ht="19.95" customHeight="1" x14ac:dyDescent="0.3">
      <c r="B66" s="43"/>
      <c r="C66" s="89" t="str" cm="1">
        <f t="array" aca="1" ref="C66" ca="1">IF(INDIRECT("Pecuaria!A"&amp;ROW()-60)="","",INDIRECT("Pecuaria!A"&amp;ROW()-60))</f>
        <v/>
      </c>
      <c r="D66" s="161" t="str" cm="1">
        <f t="array" aca="1" ref="D66" ca="1">IF(INDIRECT("Pecuaria!B"&amp;ROW()-60)="","",INDIRECT("Pecuaria!B"&amp;ROW()-60))</f>
        <v/>
      </c>
      <c r="E66" s="161"/>
      <c r="F66" s="162" t="str" cm="1">
        <f t="array" aca="1" ref="F66" ca="1">IF(INDIRECT("Pecuaria!B"&amp;ROW()-58)="","",INDIRECT("Pecuaria!B"&amp;ROW()-58))</f>
        <v/>
      </c>
      <c r="G66" s="162"/>
      <c r="H66" s="90"/>
      <c r="I66" s="90"/>
      <c r="J66" s="91"/>
      <c r="K66" s="37"/>
    </row>
    <row r="67" spans="2:19" ht="19.95" customHeight="1" x14ac:dyDescent="0.3">
      <c r="B67" s="43"/>
      <c r="C67" s="89" t="str" cm="1">
        <f t="array" aca="1" ref="C67" ca="1">IF(INDIRECT("Pecuaria!A"&amp;ROW()-60)="","",INDIRECT("Pecuaria!A"&amp;ROW()-60))</f>
        <v/>
      </c>
      <c r="D67" s="161" t="str" cm="1">
        <f t="array" aca="1" ref="D67" ca="1">IF(INDIRECT("Pecuaria!B"&amp;ROW()-60)="","",INDIRECT("Pecuaria!B"&amp;ROW()-60))</f>
        <v/>
      </c>
      <c r="E67" s="161"/>
      <c r="F67" s="162" t="str" cm="1">
        <f t="array" aca="1" ref="F67" ca="1">IF(INDIRECT("Pecuaria!B"&amp;ROW()-58)="","",INDIRECT("Pecuaria!B"&amp;ROW()-58))</f>
        <v/>
      </c>
      <c r="G67" s="162"/>
      <c r="H67" s="90"/>
      <c r="I67" s="90"/>
      <c r="J67" s="91"/>
      <c r="K67" s="37"/>
    </row>
    <row r="68" spans="2:19" ht="19.95" customHeight="1" x14ac:dyDescent="0.3">
      <c r="B68" s="43"/>
      <c r="C68" s="89" t="str" cm="1">
        <f t="array" aca="1" ref="C68" ca="1">IF(INDIRECT("Pecuaria!A"&amp;ROW()-60)="","",INDIRECT("Pecuaria!A"&amp;ROW()-60))</f>
        <v/>
      </c>
      <c r="D68" s="161" t="str" cm="1">
        <f t="array" aca="1" ref="D68" ca="1">IF(INDIRECT("Pecuaria!B"&amp;ROW()-60)="","",INDIRECT("Pecuaria!B"&amp;ROW()-60))</f>
        <v/>
      </c>
      <c r="E68" s="161"/>
      <c r="F68" s="162" t="str" cm="1">
        <f t="array" aca="1" ref="F68" ca="1">IF(INDIRECT("Pecuaria!B"&amp;ROW()-58)="","",INDIRECT("Pecuaria!B"&amp;ROW()-58))</f>
        <v/>
      </c>
      <c r="G68" s="162"/>
      <c r="H68" s="90"/>
      <c r="I68" s="90"/>
      <c r="J68" s="91"/>
      <c r="K68" s="37"/>
    </row>
    <row r="69" spans="2:19" ht="19.95" customHeight="1" x14ac:dyDescent="0.3">
      <c r="B69" s="43"/>
      <c r="C69" s="89" t="str" cm="1">
        <f t="array" aca="1" ref="C69" ca="1">IF(INDIRECT("Pecuaria!A"&amp;ROW()-60)="","",INDIRECT("Pecuaria!A"&amp;ROW()-60))</f>
        <v/>
      </c>
      <c r="D69" s="161" t="str" cm="1">
        <f t="array" aca="1" ref="D69" ca="1">IF(INDIRECT("Pecuaria!B"&amp;ROW()-60)="","",INDIRECT("Pecuaria!B"&amp;ROW()-60))</f>
        <v/>
      </c>
      <c r="E69" s="161"/>
      <c r="F69" s="162" t="str" cm="1">
        <f t="array" aca="1" ref="F69" ca="1">IF(INDIRECT("Pecuaria!B"&amp;ROW()-58)="","",INDIRECT("Pecuaria!B"&amp;ROW()-58))</f>
        <v/>
      </c>
      <c r="G69" s="162"/>
      <c r="H69" s="90"/>
      <c r="I69" s="90"/>
      <c r="J69" s="91"/>
      <c r="K69" s="37"/>
    </row>
    <row r="70" spans="2:19" ht="19.95" customHeight="1" x14ac:dyDescent="0.3">
      <c r="B70" s="43"/>
      <c r="C70" s="89" t="str" cm="1">
        <f t="array" aca="1" ref="C70" ca="1">IF(INDIRECT("Pecuaria!A"&amp;ROW()-60)="","",INDIRECT("Pecuaria!A"&amp;ROW()-60))</f>
        <v/>
      </c>
      <c r="D70" s="161" t="str" cm="1">
        <f t="array" aca="1" ref="D70" ca="1">IF(INDIRECT("Pecuaria!B"&amp;ROW()-60)="","",INDIRECT("Pecuaria!B"&amp;ROW()-60))</f>
        <v/>
      </c>
      <c r="E70" s="161"/>
      <c r="F70" s="162" t="str" cm="1">
        <f t="array" aca="1" ref="F70" ca="1">IF(INDIRECT("Pecuaria!B"&amp;ROW()-58)="","",INDIRECT("Pecuaria!B"&amp;ROW()-58))</f>
        <v/>
      </c>
      <c r="G70" s="162"/>
      <c r="H70" s="90"/>
      <c r="I70" s="90"/>
      <c r="J70" s="91"/>
      <c r="K70" s="37"/>
    </row>
    <row r="71" spans="2:19" ht="19.95" customHeight="1" x14ac:dyDescent="0.3">
      <c r="B71" s="43"/>
      <c r="C71" s="89" t="str" cm="1">
        <f t="array" aca="1" ref="C71" ca="1">IF(INDIRECT("Pecuaria!A"&amp;ROW()-60)="","",INDIRECT("Pecuaria!A"&amp;ROW()-60))</f>
        <v/>
      </c>
      <c r="D71" s="161" t="str" cm="1">
        <f t="array" aca="1" ref="D71" ca="1">IF(INDIRECT("Pecuaria!B"&amp;ROW()-60)="","",INDIRECT("Pecuaria!B"&amp;ROW()-60))</f>
        <v/>
      </c>
      <c r="E71" s="161"/>
      <c r="F71" s="162" t="str" cm="1">
        <f t="array" aca="1" ref="F71" ca="1">IF(INDIRECT("Pecuaria!B"&amp;ROW()-58)="","",INDIRECT("Pecuaria!B"&amp;ROW()-58))</f>
        <v/>
      </c>
      <c r="G71" s="162"/>
      <c r="H71" s="90"/>
      <c r="I71" s="90"/>
      <c r="J71" s="91"/>
      <c r="K71" s="37"/>
    </row>
    <row r="72" spans="2:19" ht="19.95" customHeight="1" x14ac:dyDescent="0.3">
      <c r="B72" s="43"/>
      <c r="C72" s="89" t="str" cm="1">
        <f t="array" aca="1" ref="C72" ca="1">IF(INDIRECT("Pecuaria!A"&amp;ROW()-60)="","",INDIRECT("Pecuaria!A"&amp;ROW()-60))</f>
        <v/>
      </c>
      <c r="D72" s="161" t="str" cm="1">
        <f t="array" aca="1" ref="D72" ca="1">IF(INDIRECT("Pecuaria!B"&amp;ROW()-60)="","",INDIRECT("Pecuaria!B"&amp;ROW()-60))</f>
        <v/>
      </c>
      <c r="E72" s="161"/>
      <c r="F72" s="162" t="str" cm="1">
        <f t="array" aca="1" ref="F72" ca="1">IF(INDIRECT("Pecuaria!B"&amp;ROW()-58)="","",INDIRECT("Pecuaria!B"&amp;ROW()-58))</f>
        <v/>
      </c>
      <c r="G72" s="162"/>
      <c r="H72" s="90"/>
      <c r="I72" s="90"/>
      <c r="J72" s="91"/>
      <c r="K72" s="37"/>
    </row>
    <row r="73" spans="2:19" ht="19.95" customHeight="1" x14ac:dyDescent="0.3">
      <c r="B73" s="43"/>
      <c r="C73" s="92" t="str" cm="1">
        <f t="array" aca="1" ref="C73" ca="1">IF(INDIRECT("Pecuaria!A"&amp;ROW()-60)="","",INDIRECT("Pecuaria!A"&amp;ROW()-60))</f>
        <v/>
      </c>
      <c r="D73" s="163" t="str" cm="1">
        <f t="array" aca="1" ref="D73" ca="1">IF(INDIRECT("Pecuaria!B"&amp;ROW()-60)="","",INDIRECT("Pecuaria!B"&amp;ROW()-60))</f>
        <v/>
      </c>
      <c r="E73" s="163"/>
      <c r="F73" s="164" t="str" cm="1">
        <f t="array" aca="1" ref="F73" ca="1">IF(INDIRECT("Pecuaria!B"&amp;ROW()-58)="","",INDIRECT("Pecuaria!B"&amp;ROW()-58))</f>
        <v/>
      </c>
      <c r="G73" s="164"/>
      <c r="H73" s="93"/>
      <c r="I73" s="93"/>
      <c r="J73" s="94"/>
      <c r="K73" s="37"/>
    </row>
    <row r="74" spans="2:19" ht="19.95" customHeight="1" x14ac:dyDescent="0.3">
      <c r="B74" s="43"/>
      <c r="D74" s="18"/>
      <c r="E74" s="18"/>
      <c r="F74" s="145"/>
      <c r="G74" s="145"/>
      <c r="H74" s="102"/>
      <c r="I74" s="102"/>
      <c r="K74" s="37"/>
    </row>
    <row r="75" spans="2:19" ht="19.95" customHeight="1" x14ac:dyDescent="0.3">
      <c r="B75" s="43"/>
      <c r="D75" s="18"/>
      <c r="E75" s="18"/>
      <c r="F75" s="18"/>
      <c r="G75" s="18"/>
      <c r="H75" s="102"/>
      <c r="I75" s="102"/>
      <c r="K75" s="37"/>
    </row>
    <row r="76" spans="2:19" ht="19.95" customHeight="1" x14ac:dyDescent="0.3">
      <c r="B76" s="43"/>
      <c r="C76" s="112" t="s">
        <v>11126</v>
      </c>
      <c r="D76" s="112"/>
      <c r="E76" s="112"/>
      <c r="F76" s="112"/>
      <c r="G76" s="112"/>
      <c r="H76" s="112"/>
      <c r="I76" s="112"/>
      <c r="J76" s="112"/>
      <c r="K76" s="106"/>
      <c r="L76" s="105"/>
      <c r="M76" s="105"/>
      <c r="N76" s="105"/>
      <c r="O76" s="105"/>
      <c r="P76" s="105"/>
      <c r="Q76" s="105"/>
      <c r="R76" s="105"/>
      <c r="S76" s="105"/>
    </row>
    <row r="77" spans="2:19" ht="19.95" customHeight="1" x14ac:dyDescent="0.3">
      <c r="B77" s="43"/>
      <c r="C77" s="112"/>
      <c r="D77" s="112"/>
      <c r="E77" s="112"/>
      <c r="F77" s="112"/>
      <c r="G77" s="112"/>
      <c r="H77" s="112"/>
      <c r="I77" s="112"/>
      <c r="J77" s="112"/>
      <c r="K77" s="106"/>
      <c r="L77" s="105"/>
      <c r="M77" s="105"/>
      <c r="N77" s="105"/>
      <c r="O77" s="105"/>
      <c r="P77" s="105"/>
      <c r="Q77" s="105"/>
      <c r="R77" s="105"/>
      <c r="S77" s="105"/>
    </row>
    <row r="78" spans="2:19" ht="19.95" customHeight="1" x14ac:dyDescent="0.3">
      <c r="B78" s="44"/>
      <c r="C78" s="45"/>
      <c r="D78" s="103"/>
      <c r="E78" s="103"/>
      <c r="F78" s="103"/>
      <c r="G78" s="103"/>
      <c r="H78" s="104"/>
      <c r="I78" s="104"/>
      <c r="J78" s="45"/>
      <c r="K78" s="38"/>
    </row>
    <row r="79" spans="2:19" ht="19.95" customHeight="1" x14ac:dyDescent="0.3">
      <c r="D79" s="18"/>
      <c r="E79" s="18"/>
      <c r="F79" s="18"/>
      <c r="G79" s="18"/>
      <c r="H79" s="85"/>
      <c r="I79" s="85"/>
    </row>
    <row r="80" spans="2:19" ht="19.95" customHeight="1" x14ac:dyDescent="0.3"/>
    <row r="81" spans="1:17" ht="19.95" customHeight="1" x14ac:dyDescent="0.3">
      <c r="B81" s="46"/>
      <c r="C81" s="31"/>
      <c r="D81" s="31"/>
      <c r="E81" s="31"/>
      <c r="F81" s="31"/>
      <c r="G81" s="31"/>
      <c r="H81" s="31"/>
      <c r="I81" s="31"/>
      <c r="J81" s="31"/>
      <c r="K81" s="35"/>
    </row>
    <row r="82" spans="1:17" ht="19.95" customHeight="1" x14ac:dyDescent="0.3">
      <c r="B82" s="43"/>
      <c r="C82" s="158"/>
      <c r="D82" s="119" t="s">
        <v>11128</v>
      </c>
      <c r="E82" s="120"/>
      <c r="F82" s="120"/>
      <c r="G82" s="120"/>
      <c r="H82" s="121"/>
      <c r="I82" s="128" t="s">
        <v>11121</v>
      </c>
      <c r="J82" s="129"/>
      <c r="K82" s="37"/>
    </row>
    <row r="83" spans="1:17" ht="19.95" customHeight="1" x14ac:dyDescent="0.3">
      <c r="B83" s="43"/>
      <c r="C83" s="159"/>
      <c r="D83" s="122"/>
      <c r="E83" s="123"/>
      <c r="F83" s="123"/>
      <c r="G83" s="123"/>
      <c r="H83" s="124"/>
      <c r="I83" s="130" t="s">
        <v>11127</v>
      </c>
      <c r="J83" s="131"/>
      <c r="K83" s="37"/>
    </row>
    <row r="84" spans="1:17" ht="19.95" customHeight="1" x14ac:dyDescent="0.3">
      <c r="B84" s="43"/>
      <c r="C84" s="159"/>
      <c r="D84" s="122"/>
      <c r="E84" s="123"/>
      <c r="F84" s="123"/>
      <c r="G84" s="123"/>
      <c r="H84" s="124"/>
      <c r="I84" s="132" t="s">
        <v>11122</v>
      </c>
      <c r="J84" s="133"/>
      <c r="K84" s="37"/>
    </row>
    <row r="85" spans="1:17" ht="15" customHeight="1" x14ac:dyDescent="0.3">
      <c r="B85" s="43"/>
      <c r="C85" s="159"/>
      <c r="D85" s="122"/>
      <c r="E85" s="123"/>
      <c r="F85" s="123"/>
      <c r="G85" s="123"/>
      <c r="H85" s="124"/>
      <c r="I85" s="134" t="s">
        <v>11123</v>
      </c>
      <c r="J85" s="135"/>
      <c r="K85" s="37"/>
    </row>
    <row r="86" spans="1:17" x14ac:dyDescent="0.3">
      <c r="B86" s="43"/>
      <c r="C86" s="159"/>
      <c r="D86" s="122"/>
      <c r="E86" s="123"/>
      <c r="F86" s="123"/>
      <c r="G86" s="123"/>
      <c r="H86" s="124"/>
      <c r="I86" s="128" t="s">
        <v>11124</v>
      </c>
      <c r="J86" s="129"/>
      <c r="K86" s="37"/>
    </row>
    <row r="87" spans="1:17" x14ac:dyDescent="0.3">
      <c r="B87" s="43"/>
      <c r="C87" s="159"/>
      <c r="D87" s="122"/>
      <c r="E87" s="123"/>
      <c r="F87" s="123"/>
      <c r="G87" s="123"/>
      <c r="H87" s="124"/>
      <c r="I87" s="136">
        <v>45709</v>
      </c>
      <c r="J87" s="137"/>
      <c r="K87" s="37"/>
      <c r="Q87" t="str">
        <f>listagens!A20</f>
        <v>TESTE</v>
      </c>
    </row>
    <row r="88" spans="1:17" x14ac:dyDescent="0.3">
      <c r="B88" s="43"/>
      <c r="C88" s="159"/>
      <c r="D88" s="122"/>
      <c r="E88" s="123"/>
      <c r="F88" s="123"/>
      <c r="G88" s="123"/>
      <c r="H88" s="124"/>
      <c r="I88" s="132" t="s">
        <v>11125</v>
      </c>
      <c r="J88" s="133"/>
      <c r="K88" s="37"/>
    </row>
    <row r="89" spans="1:17" x14ac:dyDescent="0.3">
      <c r="B89" s="43"/>
      <c r="C89" s="160"/>
      <c r="D89" s="125"/>
      <c r="E89" s="126"/>
      <c r="F89" s="126"/>
      <c r="G89" s="126"/>
      <c r="H89" s="127"/>
      <c r="I89" s="130" t="s">
        <v>11130</v>
      </c>
      <c r="J89" s="131"/>
      <c r="K89" s="37"/>
    </row>
    <row r="90" spans="1:17" ht="24.6" x14ac:dyDescent="0.3">
      <c r="B90" s="43"/>
      <c r="C90" s="18"/>
      <c r="D90" s="39"/>
      <c r="E90" s="39"/>
      <c r="F90" s="39"/>
      <c r="G90" s="39"/>
      <c r="H90" s="39"/>
      <c r="I90" s="42"/>
      <c r="J90" s="42"/>
      <c r="K90" s="37"/>
    </row>
    <row r="91" spans="1:17" ht="24.6" x14ac:dyDescent="0.3">
      <c r="B91" s="43"/>
      <c r="C91" s="50" t="s">
        <v>5468</v>
      </c>
      <c r="D91" s="146" t="str">
        <f>listagens!A14</f>
        <v>GRUPO</v>
      </c>
      <c r="E91" s="146"/>
      <c r="F91" s="146"/>
      <c r="G91" s="146"/>
      <c r="H91" s="39"/>
      <c r="I91" s="42"/>
      <c r="J91" s="42"/>
      <c r="K91" s="37"/>
    </row>
    <row r="92" spans="1:17" ht="24.6" x14ac:dyDescent="0.3">
      <c r="B92" s="43"/>
      <c r="C92" s="50" t="s">
        <v>5469</v>
      </c>
      <c r="D92" s="146" t="str">
        <f>listagens!A17</f>
        <v>Abadiânia/GO</v>
      </c>
      <c r="E92" s="146"/>
      <c r="F92" s="146"/>
      <c r="G92" s="146"/>
      <c r="H92" s="39"/>
      <c r="I92" s="42"/>
      <c r="J92" s="42"/>
      <c r="K92" s="37"/>
    </row>
    <row r="93" spans="1:17" x14ac:dyDescent="0.3">
      <c r="B93" s="43"/>
      <c r="D93" t="s">
        <v>11142</v>
      </c>
      <c r="K93" s="37"/>
    </row>
    <row r="94" spans="1:17" s="1" customFormat="1" ht="25.8" customHeight="1" x14ac:dyDescent="0.3">
      <c r="A94"/>
      <c r="B94" s="43"/>
      <c r="C94" s="147" t="s">
        <v>5444</v>
      </c>
      <c r="D94" s="148"/>
      <c r="E94" s="148"/>
      <c r="F94" s="148"/>
      <c r="G94" s="148"/>
      <c r="H94" s="148"/>
      <c r="I94" s="148"/>
      <c r="J94" s="149"/>
      <c r="K94" s="37"/>
      <c r="L94"/>
      <c r="M94"/>
      <c r="N94"/>
    </row>
    <row r="95" spans="1:17" ht="19.95" customHeight="1" x14ac:dyDescent="0.3">
      <c r="B95" s="43"/>
      <c r="C95" s="150" t="str">
        <f>listagens!A20</f>
        <v>TESTE</v>
      </c>
      <c r="D95" s="151"/>
      <c r="E95" s="151"/>
      <c r="F95" s="151"/>
      <c r="G95" s="151"/>
      <c r="H95" s="151"/>
      <c r="I95" s="151"/>
      <c r="J95" s="152"/>
      <c r="K95" s="37"/>
    </row>
    <row r="96" spans="1:17" ht="19.95" customHeight="1" x14ac:dyDescent="0.3">
      <c r="B96" s="43"/>
      <c r="C96" s="153"/>
      <c r="D96" s="140"/>
      <c r="E96" s="140"/>
      <c r="F96" s="140"/>
      <c r="G96" s="140"/>
      <c r="H96" s="140"/>
      <c r="I96" s="140"/>
      <c r="J96" s="154"/>
      <c r="K96" s="37"/>
    </row>
    <row r="97" spans="2:11" ht="19.95" customHeight="1" x14ac:dyDescent="0.3">
      <c r="B97" s="43"/>
      <c r="C97" s="153"/>
      <c r="D97" s="140"/>
      <c r="E97" s="140"/>
      <c r="F97" s="140"/>
      <c r="G97" s="140"/>
      <c r="H97" s="140"/>
      <c r="I97" s="140"/>
      <c r="J97" s="154"/>
      <c r="K97" s="37"/>
    </row>
    <row r="98" spans="2:11" ht="19.95" customHeight="1" x14ac:dyDescent="0.3">
      <c r="B98" s="43"/>
      <c r="C98" s="153"/>
      <c r="D98" s="140"/>
      <c r="E98" s="140"/>
      <c r="F98" s="140"/>
      <c r="G98" s="140"/>
      <c r="H98" s="140"/>
      <c r="I98" s="140"/>
      <c r="J98" s="154"/>
      <c r="K98" s="37"/>
    </row>
    <row r="99" spans="2:11" ht="19.95" customHeight="1" x14ac:dyDescent="0.3">
      <c r="B99" s="43"/>
      <c r="C99" s="153"/>
      <c r="D99" s="140"/>
      <c r="E99" s="140"/>
      <c r="F99" s="140"/>
      <c r="G99" s="140"/>
      <c r="H99" s="140"/>
      <c r="I99" s="140"/>
      <c r="J99" s="154"/>
      <c r="K99" s="37"/>
    </row>
    <row r="100" spans="2:11" ht="19.95" customHeight="1" x14ac:dyDescent="0.3">
      <c r="B100" s="43"/>
      <c r="C100" s="153"/>
      <c r="D100" s="140"/>
      <c r="E100" s="140"/>
      <c r="F100" s="140"/>
      <c r="G100" s="140"/>
      <c r="H100" s="140"/>
      <c r="I100" s="140"/>
      <c r="J100" s="154"/>
      <c r="K100" s="37"/>
    </row>
    <row r="101" spans="2:11" ht="19.95" customHeight="1" x14ac:dyDescent="0.3">
      <c r="B101" s="43"/>
      <c r="C101" s="153"/>
      <c r="D101" s="140"/>
      <c r="E101" s="140"/>
      <c r="F101" s="140"/>
      <c r="G101" s="140"/>
      <c r="H101" s="140"/>
      <c r="I101" s="140"/>
      <c r="J101" s="154"/>
      <c r="K101" s="37"/>
    </row>
    <row r="102" spans="2:11" ht="19.95" customHeight="1" x14ac:dyDescent="0.3">
      <c r="B102" s="43"/>
      <c r="C102" s="153"/>
      <c r="D102" s="140"/>
      <c r="E102" s="140"/>
      <c r="F102" s="140"/>
      <c r="G102" s="140"/>
      <c r="H102" s="140"/>
      <c r="I102" s="140"/>
      <c r="J102" s="154"/>
      <c r="K102" s="37"/>
    </row>
    <row r="103" spans="2:11" ht="19.95" customHeight="1" x14ac:dyDescent="0.3">
      <c r="B103" s="43"/>
      <c r="C103" s="153"/>
      <c r="D103" s="140"/>
      <c r="E103" s="140"/>
      <c r="F103" s="140"/>
      <c r="G103" s="140"/>
      <c r="H103" s="140"/>
      <c r="I103" s="140"/>
      <c r="J103" s="154"/>
      <c r="K103" s="37"/>
    </row>
    <row r="104" spans="2:11" ht="19.95" customHeight="1" x14ac:dyDescent="0.3">
      <c r="B104" s="43"/>
      <c r="C104" s="153"/>
      <c r="D104" s="140"/>
      <c r="E104" s="140"/>
      <c r="F104" s="140"/>
      <c r="G104" s="140"/>
      <c r="H104" s="140"/>
      <c r="I104" s="140"/>
      <c r="J104" s="154"/>
      <c r="K104" s="37"/>
    </row>
    <row r="105" spans="2:11" ht="19.95" customHeight="1" x14ac:dyDescent="0.3">
      <c r="B105" s="43"/>
      <c r="C105" s="153"/>
      <c r="D105" s="140"/>
      <c r="E105" s="140"/>
      <c r="F105" s="140"/>
      <c r="G105" s="140"/>
      <c r="H105" s="140"/>
      <c r="I105" s="140"/>
      <c r="J105" s="154"/>
      <c r="K105" s="37"/>
    </row>
    <row r="106" spans="2:11" ht="19.95" customHeight="1" x14ac:dyDescent="0.3">
      <c r="B106" s="43"/>
      <c r="C106" s="153"/>
      <c r="D106" s="140"/>
      <c r="E106" s="140"/>
      <c r="F106" s="140"/>
      <c r="G106" s="140"/>
      <c r="H106" s="140"/>
      <c r="I106" s="140"/>
      <c r="J106" s="154"/>
      <c r="K106" s="37"/>
    </row>
    <row r="107" spans="2:11" ht="19.95" customHeight="1" x14ac:dyDescent="0.3">
      <c r="B107" s="43"/>
      <c r="C107" s="153"/>
      <c r="D107" s="140"/>
      <c r="E107" s="140"/>
      <c r="F107" s="140"/>
      <c r="G107" s="140"/>
      <c r="H107" s="140"/>
      <c r="I107" s="140"/>
      <c r="J107" s="154"/>
      <c r="K107" s="37"/>
    </row>
    <row r="108" spans="2:11" ht="19.95" customHeight="1" x14ac:dyDescent="0.3">
      <c r="B108" s="43"/>
      <c r="C108" s="153"/>
      <c r="D108" s="140"/>
      <c r="E108" s="140"/>
      <c r="F108" s="140"/>
      <c r="G108" s="140"/>
      <c r="H108" s="140"/>
      <c r="I108" s="140"/>
      <c r="J108" s="154"/>
      <c r="K108" s="37"/>
    </row>
    <row r="109" spans="2:11" ht="19.95" customHeight="1" x14ac:dyDescent="0.3">
      <c r="B109" s="43"/>
      <c r="C109" s="153"/>
      <c r="D109" s="140"/>
      <c r="E109" s="140"/>
      <c r="F109" s="140"/>
      <c r="G109" s="140"/>
      <c r="H109" s="140"/>
      <c r="I109" s="140"/>
      <c r="J109" s="154"/>
      <c r="K109" s="37"/>
    </row>
    <row r="110" spans="2:11" ht="19.95" customHeight="1" x14ac:dyDescent="0.3">
      <c r="B110" s="43"/>
      <c r="C110" s="153"/>
      <c r="D110" s="140"/>
      <c r="E110" s="140"/>
      <c r="F110" s="140"/>
      <c r="G110" s="140"/>
      <c r="H110" s="140"/>
      <c r="I110" s="140"/>
      <c r="J110" s="154"/>
      <c r="K110" s="37"/>
    </row>
    <row r="111" spans="2:11" ht="19.95" customHeight="1" x14ac:dyDescent="0.3">
      <c r="B111" s="43"/>
      <c r="C111" s="153"/>
      <c r="D111" s="140"/>
      <c r="E111" s="140"/>
      <c r="F111" s="140"/>
      <c r="G111" s="140"/>
      <c r="H111" s="140"/>
      <c r="I111" s="140"/>
      <c r="J111" s="154"/>
      <c r="K111" s="37"/>
    </row>
    <row r="112" spans="2:11" ht="19.95" customHeight="1" x14ac:dyDescent="0.3">
      <c r="B112" s="43"/>
      <c r="C112" s="153"/>
      <c r="D112" s="140"/>
      <c r="E112" s="140"/>
      <c r="F112" s="140"/>
      <c r="G112" s="140"/>
      <c r="H112" s="140"/>
      <c r="I112" s="140"/>
      <c r="J112" s="154"/>
      <c r="K112" s="37"/>
    </row>
    <row r="113" spans="2:11" ht="19.95" customHeight="1" x14ac:dyDescent="0.3">
      <c r="B113" s="43"/>
      <c r="C113" s="153"/>
      <c r="D113" s="140"/>
      <c r="E113" s="140"/>
      <c r="F113" s="140"/>
      <c r="G113" s="140"/>
      <c r="H113" s="140"/>
      <c r="I113" s="140"/>
      <c r="J113" s="154"/>
      <c r="K113" s="37"/>
    </row>
    <row r="114" spans="2:11" ht="19.95" customHeight="1" x14ac:dyDescent="0.3">
      <c r="B114" s="43"/>
      <c r="C114" s="153"/>
      <c r="D114" s="140"/>
      <c r="E114" s="140"/>
      <c r="F114" s="140"/>
      <c r="G114" s="140"/>
      <c r="H114" s="140"/>
      <c r="I114" s="140"/>
      <c r="J114" s="154"/>
      <c r="K114" s="37"/>
    </row>
    <row r="115" spans="2:11" ht="19.95" customHeight="1" x14ac:dyDescent="0.3">
      <c r="B115" s="43"/>
      <c r="C115" s="153"/>
      <c r="D115" s="140"/>
      <c r="E115" s="140"/>
      <c r="F115" s="140"/>
      <c r="G115" s="140"/>
      <c r="H115" s="140"/>
      <c r="I115" s="140"/>
      <c r="J115" s="154"/>
      <c r="K115" s="37"/>
    </row>
    <row r="116" spans="2:11" ht="19.95" customHeight="1" x14ac:dyDescent="0.3">
      <c r="B116" s="43"/>
      <c r="C116" s="153"/>
      <c r="D116" s="140"/>
      <c r="E116" s="140"/>
      <c r="F116" s="140"/>
      <c r="G116" s="140"/>
      <c r="H116" s="140"/>
      <c r="I116" s="140"/>
      <c r="J116" s="154"/>
      <c r="K116" s="37"/>
    </row>
    <row r="117" spans="2:11" ht="19.95" customHeight="1" x14ac:dyDescent="0.3">
      <c r="B117" s="43"/>
      <c r="C117" s="153"/>
      <c r="D117" s="140"/>
      <c r="E117" s="140"/>
      <c r="F117" s="140"/>
      <c r="G117" s="140"/>
      <c r="H117" s="140"/>
      <c r="I117" s="140"/>
      <c r="J117" s="154"/>
      <c r="K117" s="37"/>
    </row>
    <row r="118" spans="2:11" ht="19.95" customHeight="1" x14ac:dyDescent="0.3">
      <c r="B118" s="43"/>
      <c r="C118" s="153"/>
      <c r="D118" s="140"/>
      <c r="E118" s="140"/>
      <c r="F118" s="140"/>
      <c r="G118" s="140"/>
      <c r="H118" s="140"/>
      <c r="I118" s="140"/>
      <c r="J118" s="154"/>
      <c r="K118" s="37"/>
    </row>
    <row r="119" spans="2:11" ht="19.95" customHeight="1" x14ac:dyDescent="0.3">
      <c r="B119" s="43"/>
      <c r="C119" s="153"/>
      <c r="D119" s="140"/>
      <c r="E119" s="140"/>
      <c r="F119" s="140"/>
      <c r="G119" s="140"/>
      <c r="H119" s="140"/>
      <c r="I119" s="140"/>
      <c r="J119" s="154"/>
      <c r="K119" s="37"/>
    </row>
    <row r="120" spans="2:11" ht="19.95" customHeight="1" x14ac:dyDescent="0.3">
      <c r="B120" s="43"/>
      <c r="C120" s="153"/>
      <c r="D120" s="140"/>
      <c r="E120" s="140"/>
      <c r="F120" s="140"/>
      <c r="G120" s="140"/>
      <c r="H120" s="140"/>
      <c r="I120" s="140"/>
      <c r="J120" s="154"/>
      <c r="K120" s="37"/>
    </row>
    <row r="121" spans="2:11" ht="19.95" customHeight="1" x14ac:dyDescent="0.3">
      <c r="B121" s="43"/>
      <c r="C121" s="153"/>
      <c r="D121" s="140"/>
      <c r="E121" s="140"/>
      <c r="F121" s="140"/>
      <c r="G121" s="140"/>
      <c r="H121" s="140"/>
      <c r="I121" s="140"/>
      <c r="J121" s="154"/>
      <c r="K121" s="37"/>
    </row>
    <row r="122" spans="2:11" ht="19.95" customHeight="1" x14ac:dyDescent="0.3">
      <c r="B122" s="43"/>
      <c r="C122" s="153"/>
      <c r="D122" s="140"/>
      <c r="E122" s="140"/>
      <c r="F122" s="140"/>
      <c r="G122" s="140"/>
      <c r="H122" s="140"/>
      <c r="I122" s="140"/>
      <c r="J122" s="154"/>
      <c r="K122" s="37"/>
    </row>
    <row r="123" spans="2:11" ht="19.95" customHeight="1" x14ac:dyDescent="0.3">
      <c r="B123" s="43"/>
      <c r="C123" s="153"/>
      <c r="D123" s="140"/>
      <c r="E123" s="140"/>
      <c r="F123" s="140"/>
      <c r="G123" s="140"/>
      <c r="H123" s="140"/>
      <c r="I123" s="140"/>
      <c r="J123" s="154"/>
      <c r="K123" s="37"/>
    </row>
    <row r="124" spans="2:11" ht="19.95" customHeight="1" x14ac:dyDescent="0.3">
      <c r="B124" s="43"/>
      <c r="C124" s="153"/>
      <c r="D124" s="140"/>
      <c r="E124" s="140"/>
      <c r="F124" s="140"/>
      <c r="G124" s="140"/>
      <c r="H124" s="140"/>
      <c r="I124" s="140"/>
      <c r="J124" s="154"/>
      <c r="K124" s="37"/>
    </row>
    <row r="125" spans="2:11" ht="19.95" customHeight="1" x14ac:dyDescent="0.3">
      <c r="B125" s="43"/>
      <c r="C125" s="153"/>
      <c r="D125" s="140"/>
      <c r="E125" s="140"/>
      <c r="F125" s="140"/>
      <c r="G125" s="140"/>
      <c r="H125" s="140"/>
      <c r="I125" s="140"/>
      <c r="J125" s="154"/>
      <c r="K125" s="37"/>
    </row>
    <row r="126" spans="2:11" ht="19.95" customHeight="1" x14ac:dyDescent="0.3">
      <c r="B126" s="43"/>
      <c r="C126" s="153"/>
      <c r="D126" s="140"/>
      <c r="E126" s="140"/>
      <c r="F126" s="140"/>
      <c r="G126" s="140"/>
      <c r="H126" s="140"/>
      <c r="I126" s="140"/>
      <c r="J126" s="154"/>
      <c r="K126" s="37"/>
    </row>
    <row r="127" spans="2:11" ht="19.95" customHeight="1" x14ac:dyDescent="0.3">
      <c r="B127" s="43"/>
      <c r="C127" s="153"/>
      <c r="D127" s="140"/>
      <c r="E127" s="140"/>
      <c r="F127" s="140"/>
      <c r="G127" s="140"/>
      <c r="H127" s="140"/>
      <c r="I127" s="140"/>
      <c r="J127" s="154"/>
      <c r="K127" s="37"/>
    </row>
    <row r="128" spans="2:11" ht="19.95" customHeight="1" x14ac:dyDescent="0.3">
      <c r="B128" s="43"/>
      <c r="C128" s="153"/>
      <c r="D128" s="140"/>
      <c r="E128" s="140"/>
      <c r="F128" s="140"/>
      <c r="G128" s="140"/>
      <c r="H128" s="140"/>
      <c r="I128" s="140"/>
      <c r="J128" s="154"/>
      <c r="K128" s="37"/>
    </row>
    <row r="129" spans="2:11" ht="19.95" customHeight="1" x14ac:dyDescent="0.3">
      <c r="B129" s="43"/>
      <c r="C129" s="153"/>
      <c r="D129" s="140"/>
      <c r="E129" s="140"/>
      <c r="F129" s="140"/>
      <c r="G129" s="140"/>
      <c r="H129" s="140"/>
      <c r="I129" s="140"/>
      <c r="J129" s="154"/>
      <c r="K129" s="37"/>
    </row>
    <row r="130" spans="2:11" ht="19.95" customHeight="1" x14ac:dyDescent="0.3">
      <c r="B130" s="43"/>
      <c r="C130" s="153"/>
      <c r="D130" s="140"/>
      <c r="E130" s="140"/>
      <c r="F130" s="140"/>
      <c r="G130" s="140"/>
      <c r="H130" s="140"/>
      <c r="I130" s="140"/>
      <c r="J130" s="154"/>
      <c r="K130" s="37"/>
    </row>
    <row r="131" spans="2:11" ht="19.95" customHeight="1" x14ac:dyDescent="0.3">
      <c r="B131" s="43"/>
      <c r="C131" s="153"/>
      <c r="D131" s="140"/>
      <c r="E131" s="140"/>
      <c r="F131" s="140"/>
      <c r="G131" s="140"/>
      <c r="H131" s="140"/>
      <c r="I131" s="140"/>
      <c r="J131" s="154"/>
      <c r="K131" s="37"/>
    </row>
    <row r="132" spans="2:11" ht="19.95" customHeight="1" x14ac:dyDescent="0.3">
      <c r="B132" s="43"/>
      <c r="C132" s="153"/>
      <c r="D132" s="140"/>
      <c r="E132" s="140"/>
      <c r="F132" s="140"/>
      <c r="G132" s="140"/>
      <c r="H132" s="140"/>
      <c r="I132" s="140"/>
      <c r="J132" s="154"/>
      <c r="K132" s="37"/>
    </row>
    <row r="133" spans="2:11" ht="19.95" customHeight="1" x14ac:dyDescent="0.3">
      <c r="B133" s="43"/>
      <c r="C133" s="153"/>
      <c r="D133" s="140"/>
      <c r="E133" s="140"/>
      <c r="F133" s="140"/>
      <c r="G133" s="140"/>
      <c r="H133" s="140"/>
      <c r="I133" s="140"/>
      <c r="J133" s="154"/>
      <c r="K133" s="37"/>
    </row>
    <row r="134" spans="2:11" ht="19.95" customHeight="1" x14ac:dyDescent="0.3">
      <c r="B134" s="43"/>
      <c r="C134" s="153"/>
      <c r="D134" s="140"/>
      <c r="E134" s="140"/>
      <c r="F134" s="140"/>
      <c r="G134" s="140"/>
      <c r="H134" s="140"/>
      <c r="I134" s="140"/>
      <c r="J134" s="154"/>
      <c r="K134" s="37"/>
    </row>
    <row r="135" spans="2:11" ht="19.95" customHeight="1" x14ac:dyDescent="0.3">
      <c r="B135" s="43"/>
      <c r="C135" s="153"/>
      <c r="D135" s="140"/>
      <c r="E135" s="140"/>
      <c r="F135" s="140"/>
      <c r="G135" s="140"/>
      <c r="H135" s="140"/>
      <c r="I135" s="140"/>
      <c r="J135" s="154"/>
      <c r="K135" s="37"/>
    </row>
    <row r="136" spans="2:11" ht="19.95" customHeight="1" x14ac:dyDescent="0.3">
      <c r="B136" s="43"/>
      <c r="C136" s="153"/>
      <c r="D136" s="140"/>
      <c r="E136" s="140"/>
      <c r="F136" s="140"/>
      <c r="G136" s="140"/>
      <c r="H136" s="140"/>
      <c r="I136" s="140"/>
      <c r="J136" s="154"/>
      <c r="K136" s="37"/>
    </row>
    <row r="137" spans="2:11" ht="19.95" customHeight="1" x14ac:dyDescent="0.3">
      <c r="B137" s="43"/>
      <c r="C137" s="153"/>
      <c r="D137" s="140"/>
      <c r="E137" s="140"/>
      <c r="F137" s="140"/>
      <c r="G137" s="140"/>
      <c r="H137" s="140"/>
      <c r="I137" s="140"/>
      <c r="J137" s="154"/>
      <c r="K137" s="37"/>
    </row>
    <row r="138" spans="2:11" ht="19.95" customHeight="1" x14ac:dyDescent="0.3">
      <c r="B138" s="43"/>
      <c r="C138" s="153"/>
      <c r="D138" s="140"/>
      <c r="E138" s="140"/>
      <c r="F138" s="140"/>
      <c r="G138" s="140"/>
      <c r="H138" s="140"/>
      <c r="I138" s="140"/>
      <c r="J138" s="154"/>
      <c r="K138" s="37"/>
    </row>
    <row r="139" spans="2:11" ht="19.95" customHeight="1" x14ac:dyDescent="0.3">
      <c r="B139" s="43"/>
      <c r="C139" s="153"/>
      <c r="D139" s="140"/>
      <c r="E139" s="140"/>
      <c r="F139" s="140"/>
      <c r="G139" s="140"/>
      <c r="H139" s="140"/>
      <c r="I139" s="140"/>
      <c r="J139" s="154"/>
      <c r="K139" s="37"/>
    </row>
    <row r="140" spans="2:11" ht="19.95" customHeight="1" x14ac:dyDescent="0.3">
      <c r="B140" s="43"/>
      <c r="C140" s="153"/>
      <c r="D140" s="140"/>
      <c r="E140" s="140"/>
      <c r="F140" s="140"/>
      <c r="G140" s="140"/>
      <c r="H140" s="140"/>
      <c r="I140" s="140"/>
      <c r="J140" s="154"/>
      <c r="K140" s="37"/>
    </row>
    <row r="141" spans="2:11" ht="19.95" customHeight="1" x14ac:dyDescent="0.3">
      <c r="B141" s="43"/>
      <c r="C141" s="153"/>
      <c r="D141" s="140"/>
      <c r="E141" s="140"/>
      <c r="F141" s="140"/>
      <c r="G141" s="140"/>
      <c r="H141" s="140"/>
      <c r="I141" s="140"/>
      <c r="J141" s="154"/>
      <c r="K141" s="37"/>
    </row>
    <row r="142" spans="2:11" ht="19.95" customHeight="1" x14ac:dyDescent="0.3">
      <c r="B142" s="43"/>
      <c r="C142" s="153"/>
      <c r="D142" s="140"/>
      <c r="E142" s="140"/>
      <c r="F142" s="140"/>
      <c r="G142" s="140"/>
      <c r="H142" s="140"/>
      <c r="I142" s="140"/>
      <c r="J142" s="154"/>
      <c r="K142" s="37"/>
    </row>
    <row r="143" spans="2:11" ht="19.95" customHeight="1" x14ac:dyDescent="0.3">
      <c r="B143" s="43"/>
      <c r="C143" s="153"/>
      <c r="D143" s="140"/>
      <c r="E143" s="140"/>
      <c r="F143" s="140"/>
      <c r="G143" s="140"/>
      <c r="H143" s="140"/>
      <c r="I143" s="140"/>
      <c r="J143" s="154"/>
      <c r="K143" s="37"/>
    </row>
    <row r="144" spans="2:11" ht="19.95" customHeight="1" x14ac:dyDescent="0.3">
      <c r="B144" s="43"/>
      <c r="C144" s="153"/>
      <c r="D144" s="140"/>
      <c r="E144" s="140"/>
      <c r="F144" s="140"/>
      <c r="G144" s="140"/>
      <c r="H144" s="140"/>
      <c r="I144" s="140"/>
      <c r="J144" s="154"/>
      <c r="K144" s="37"/>
    </row>
    <row r="145" spans="2:11" ht="19.95" customHeight="1" x14ac:dyDescent="0.3">
      <c r="B145" s="43"/>
      <c r="C145" s="153"/>
      <c r="D145" s="140"/>
      <c r="E145" s="140"/>
      <c r="F145" s="140"/>
      <c r="G145" s="140"/>
      <c r="H145" s="140"/>
      <c r="I145" s="140"/>
      <c r="J145" s="154"/>
      <c r="K145" s="37"/>
    </row>
    <row r="146" spans="2:11" ht="19.95" customHeight="1" x14ac:dyDescent="0.3">
      <c r="B146" s="43"/>
      <c r="C146" s="153"/>
      <c r="D146" s="140"/>
      <c r="E146" s="140"/>
      <c r="F146" s="140"/>
      <c r="G146" s="140"/>
      <c r="H146" s="140"/>
      <c r="I146" s="140"/>
      <c r="J146" s="154"/>
      <c r="K146" s="37"/>
    </row>
    <row r="147" spans="2:11" ht="19.95" customHeight="1" x14ac:dyDescent="0.3">
      <c r="B147" s="43"/>
      <c r="C147" s="153"/>
      <c r="D147" s="140"/>
      <c r="E147" s="140"/>
      <c r="F147" s="140"/>
      <c r="G147" s="140"/>
      <c r="H147" s="140"/>
      <c r="I147" s="140"/>
      <c r="J147" s="154"/>
      <c r="K147" s="37"/>
    </row>
    <row r="148" spans="2:11" ht="19.95" customHeight="1" x14ac:dyDescent="0.3">
      <c r="B148" s="43"/>
      <c r="C148" s="153"/>
      <c r="D148" s="140"/>
      <c r="E148" s="140"/>
      <c r="F148" s="140"/>
      <c r="G148" s="140"/>
      <c r="H148" s="140"/>
      <c r="I148" s="140"/>
      <c r="J148" s="154"/>
      <c r="K148" s="37"/>
    </row>
    <row r="149" spans="2:11" ht="19.95" customHeight="1" x14ac:dyDescent="0.3">
      <c r="B149" s="43"/>
      <c r="C149" s="153"/>
      <c r="D149" s="140"/>
      <c r="E149" s="140"/>
      <c r="F149" s="140"/>
      <c r="G149" s="140"/>
      <c r="H149" s="140"/>
      <c r="I149" s="140"/>
      <c r="J149" s="154"/>
      <c r="K149" s="37"/>
    </row>
    <row r="150" spans="2:11" ht="19.95" customHeight="1" x14ac:dyDescent="0.3">
      <c r="B150" s="43"/>
      <c r="C150" s="153"/>
      <c r="D150" s="140"/>
      <c r="E150" s="140"/>
      <c r="F150" s="140"/>
      <c r="G150" s="140"/>
      <c r="H150" s="140"/>
      <c r="I150" s="140"/>
      <c r="J150" s="154"/>
      <c r="K150" s="37"/>
    </row>
    <row r="151" spans="2:11" ht="19.95" customHeight="1" x14ac:dyDescent="0.3">
      <c r="B151" s="43"/>
      <c r="C151" s="153"/>
      <c r="D151" s="140"/>
      <c r="E151" s="140"/>
      <c r="F151" s="140"/>
      <c r="G151" s="140"/>
      <c r="H151" s="140"/>
      <c r="I151" s="140"/>
      <c r="J151" s="154"/>
      <c r="K151" s="37"/>
    </row>
    <row r="152" spans="2:11" ht="19.95" customHeight="1" x14ac:dyDescent="0.3">
      <c r="B152" s="43"/>
      <c r="C152" s="155"/>
      <c r="D152" s="156"/>
      <c r="E152" s="156"/>
      <c r="F152" s="156"/>
      <c r="G152" s="156"/>
      <c r="H152" s="156"/>
      <c r="I152" s="156"/>
      <c r="J152" s="157"/>
      <c r="K152" s="37"/>
    </row>
    <row r="153" spans="2:11" ht="19.95" customHeight="1" x14ac:dyDescent="0.3">
      <c r="B153" s="43"/>
      <c r="D153" s="19"/>
      <c r="E153" s="19"/>
      <c r="F153" s="19"/>
      <c r="G153" s="19"/>
      <c r="H153" s="101"/>
      <c r="I153" s="101"/>
      <c r="K153" s="37"/>
    </row>
    <row r="154" spans="2:11" ht="19.95" customHeight="1" x14ac:dyDescent="0.3">
      <c r="B154" s="43"/>
      <c r="C154" s="112" t="s">
        <v>11126</v>
      </c>
      <c r="D154" s="112"/>
      <c r="E154" s="112"/>
      <c r="F154" s="112"/>
      <c r="G154" s="112"/>
      <c r="H154" s="112"/>
      <c r="I154" s="112"/>
      <c r="J154" s="112"/>
      <c r="K154" s="37"/>
    </row>
    <row r="155" spans="2:11" ht="19.95" customHeight="1" x14ac:dyDescent="0.3">
      <c r="B155" s="43"/>
      <c r="C155" s="112"/>
      <c r="D155" s="112"/>
      <c r="E155" s="112"/>
      <c r="F155" s="112"/>
      <c r="G155" s="112"/>
      <c r="H155" s="112"/>
      <c r="I155" s="112"/>
      <c r="J155" s="112"/>
      <c r="K155" s="37"/>
    </row>
    <row r="156" spans="2:11" ht="19.95" customHeight="1" x14ac:dyDescent="0.3">
      <c r="B156" s="44"/>
      <c r="C156" s="45"/>
      <c r="D156" s="107"/>
      <c r="E156" s="107"/>
      <c r="F156" s="107"/>
      <c r="G156" s="107"/>
      <c r="H156" s="108"/>
      <c r="I156" s="108"/>
      <c r="J156" s="45"/>
      <c r="K156" s="38"/>
    </row>
    <row r="157" spans="2:11" ht="19.95" customHeight="1" x14ac:dyDescent="1.1000000000000001">
      <c r="D157" s="19"/>
      <c r="E157" s="17"/>
      <c r="F157" s="16"/>
      <c r="G157" s="19"/>
      <c r="H157" s="20"/>
      <c r="I157" s="20"/>
    </row>
    <row r="158" spans="2:11" ht="19.95" customHeight="1" x14ac:dyDescent="0.3">
      <c r="D158" s="19"/>
      <c r="E158" s="19"/>
      <c r="F158" s="19"/>
      <c r="G158" s="19"/>
      <c r="H158" s="109"/>
      <c r="I158" s="109"/>
    </row>
    <row r="159" spans="2:11" ht="19.95" customHeight="1" x14ac:dyDescent="0.3">
      <c r="B159" s="46"/>
      <c r="C159" s="31"/>
      <c r="D159" s="31"/>
      <c r="E159" s="31"/>
      <c r="F159" s="31"/>
      <c r="G159" s="31"/>
      <c r="H159" s="31"/>
      <c r="I159" s="31"/>
      <c r="J159" s="31"/>
      <c r="K159" s="35"/>
    </row>
    <row r="160" spans="2:11" ht="19.95" customHeight="1" x14ac:dyDescent="0.3">
      <c r="B160" s="43"/>
      <c r="C160" s="158"/>
      <c r="D160" s="119" t="s">
        <v>11128</v>
      </c>
      <c r="E160" s="120"/>
      <c r="F160" s="120"/>
      <c r="G160" s="120"/>
      <c r="H160" s="121"/>
      <c r="I160" s="128" t="s">
        <v>11121</v>
      </c>
      <c r="J160" s="129"/>
      <c r="K160" s="37"/>
    </row>
    <row r="161" spans="1:14" ht="19.95" customHeight="1" x14ac:dyDescent="0.3">
      <c r="B161" s="43"/>
      <c r="C161" s="159"/>
      <c r="D161" s="122"/>
      <c r="E161" s="123"/>
      <c r="F161" s="123"/>
      <c r="G161" s="123"/>
      <c r="H161" s="124"/>
      <c r="I161" s="130" t="s">
        <v>11127</v>
      </c>
      <c r="J161" s="131"/>
      <c r="K161" s="37"/>
    </row>
    <row r="162" spans="1:14" ht="19.95" customHeight="1" x14ac:dyDescent="0.3">
      <c r="B162" s="43"/>
      <c r="C162" s="159"/>
      <c r="D162" s="122"/>
      <c r="E162" s="123"/>
      <c r="F162" s="123"/>
      <c r="G162" s="123"/>
      <c r="H162" s="124"/>
      <c r="I162" s="132" t="s">
        <v>11122</v>
      </c>
      <c r="J162" s="133"/>
      <c r="K162" s="37"/>
    </row>
    <row r="163" spans="1:14" ht="15" customHeight="1" x14ac:dyDescent="0.3">
      <c r="B163" s="43"/>
      <c r="C163" s="159"/>
      <c r="D163" s="122"/>
      <c r="E163" s="123"/>
      <c r="F163" s="123"/>
      <c r="G163" s="123"/>
      <c r="H163" s="124"/>
      <c r="I163" s="134" t="s">
        <v>11123</v>
      </c>
      <c r="J163" s="135"/>
      <c r="K163" s="37"/>
    </row>
    <row r="164" spans="1:14" ht="14.4" customHeight="1" x14ac:dyDescent="0.3">
      <c r="B164" s="43"/>
      <c r="C164" s="159"/>
      <c r="D164" s="122"/>
      <c r="E164" s="123"/>
      <c r="F164" s="123"/>
      <c r="G164" s="123"/>
      <c r="H164" s="124"/>
      <c r="I164" s="128" t="s">
        <v>11124</v>
      </c>
      <c r="J164" s="129"/>
      <c r="K164" s="37"/>
    </row>
    <row r="165" spans="1:14" ht="14.4" customHeight="1" x14ac:dyDescent="0.3">
      <c r="B165" s="43"/>
      <c r="C165" s="159"/>
      <c r="D165" s="122"/>
      <c r="E165" s="123"/>
      <c r="F165" s="123"/>
      <c r="G165" s="123"/>
      <c r="H165" s="124"/>
      <c r="I165" s="136">
        <v>45709</v>
      </c>
      <c r="J165" s="137"/>
      <c r="K165" s="37"/>
    </row>
    <row r="166" spans="1:14" ht="14.4" customHeight="1" x14ac:dyDescent="0.3">
      <c r="B166" s="43"/>
      <c r="C166" s="159"/>
      <c r="D166" s="122"/>
      <c r="E166" s="123"/>
      <c r="F166" s="123"/>
      <c r="G166" s="123"/>
      <c r="H166" s="124"/>
      <c r="I166" s="132" t="s">
        <v>11125</v>
      </c>
      <c r="J166" s="133"/>
      <c r="K166" s="37"/>
    </row>
    <row r="167" spans="1:14" ht="14.4" customHeight="1" x14ac:dyDescent="0.3">
      <c r="B167" s="43"/>
      <c r="C167" s="160"/>
      <c r="D167" s="125"/>
      <c r="E167" s="126"/>
      <c r="F167" s="126"/>
      <c r="G167" s="126"/>
      <c r="H167" s="127"/>
      <c r="I167" s="130" t="s">
        <v>11130</v>
      </c>
      <c r="J167" s="131"/>
      <c r="K167" s="37"/>
    </row>
    <row r="168" spans="1:14" ht="24.6" x14ac:dyDescent="0.3">
      <c r="B168" s="43"/>
      <c r="C168" s="18"/>
      <c r="D168" s="39"/>
      <c r="E168" s="39"/>
      <c r="F168" s="39"/>
      <c r="G168" s="39"/>
      <c r="H168" s="39"/>
      <c r="I168" s="42"/>
      <c r="J168" s="42"/>
      <c r="K168" s="37"/>
    </row>
    <row r="169" spans="1:14" ht="24.6" x14ac:dyDescent="0.3">
      <c r="B169" s="43"/>
      <c r="C169" s="50" t="s">
        <v>5468</v>
      </c>
      <c r="D169" s="146" t="str">
        <f>listagens!A14</f>
        <v>GRUPO</v>
      </c>
      <c r="E169" s="146"/>
      <c r="F169" s="146"/>
      <c r="G169" s="146"/>
      <c r="H169" s="39"/>
      <c r="I169" s="42"/>
      <c r="J169" s="42"/>
      <c r="K169" s="37"/>
    </row>
    <row r="170" spans="1:14" ht="24.6" x14ac:dyDescent="0.3">
      <c r="B170" s="43"/>
      <c r="C170" s="50" t="s">
        <v>5469</v>
      </c>
      <c r="D170" s="146" t="str">
        <f>listagens!A17</f>
        <v>Abadiânia/GO</v>
      </c>
      <c r="E170" s="146"/>
      <c r="F170" s="146"/>
      <c r="G170" s="146"/>
      <c r="H170" s="39"/>
      <c r="I170" s="42"/>
      <c r="J170" s="42"/>
      <c r="K170" s="37"/>
    </row>
    <row r="171" spans="1:14" x14ac:dyDescent="0.3">
      <c r="B171" s="43"/>
      <c r="D171" t="s">
        <v>11142</v>
      </c>
      <c r="K171" s="37"/>
    </row>
    <row r="172" spans="1:14" s="1" customFormat="1" ht="25.8" customHeight="1" x14ac:dyDescent="0.3">
      <c r="A172"/>
      <c r="B172" s="43"/>
      <c r="C172" s="147" t="s">
        <v>5444</v>
      </c>
      <c r="D172" s="148"/>
      <c r="E172" s="148"/>
      <c r="F172" s="148"/>
      <c r="G172" s="148"/>
      <c r="H172" s="148"/>
      <c r="I172" s="148"/>
      <c r="J172" s="149"/>
      <c r="K172" s="37"/>
      <c r="L172"/>
      <c r="M172"/>
      <c r="N172"/>
    </row>
    <row r="173" spans="1:14" ht="19.95" customHeight="1" x14ac:dyDescent="0.3">
      <c r="B173" s="43"/>
      <c r="C173" s="150">
        <f>listagens!B36</f>
        <v>0</v>
      </c>
      <c r="D173" s="151"/>
      <c r="E173" s="151"/>
      <c r="F173" s="151"/>
      <c r="G173" s="151"/>
      <c r="H173" s="151"/>
      <c r="I173" s="151"/>
      <c r="J173" s="152"/>
      <c r="K173" s="37"/>
    </row>
    <row r="174" spans="1:14" ht="19.95" customHeight="1" x14ac:dyDescent="0.3">
      <c r="B174" s="43"/>
      <c r="C174" s="153"/>
      <c r="D174" s="140"/>
      <c r="E174" s="140"/>
      <c r="F174" s="140"/>
      <c r="G174" s="140"/>
      <c r="H174" s="140"/>
      <c r="I174" s="140"/>
      <c r="J174" s="154"/>
      <c r="K174" s="37"/>
    </row>
    <row r="175" spans="1:14" ht="19.95" customHeight="1" x14ac:dyDescent="0.3">
      <c r="B175" s="43"/>
      <c r="C175" s="153"/>
      <c r="D175" s="140"/>
      <c r="E175" s="140"/>
      <c r="F175" s="140"/>
      <c r="G175" s="140"/>
      <c r="H175" s="140"/>
      <c r="I175" s="140"/>
      <c r="J175" s="154"/>
      <c r="K175" s="37"/>
    </row>
    <row r="176" spans="1:14" ht="19.95" customHeight="1" x14ac:dyDescent="0.3">
      <c r="B176" s="43"/>
      <c r="C176" s="153"/>
      <c r="D176" s="140"/>
      <c r="E176" s="140"/>
      <c r="F176" s="140"/>
      <c r="G176" s="140"/>
      <c r="H176" s="140"/>
      <c r="I176" s="140"/>
      <c r="J176" s="154"/>
      <c r="K176" s="37"/>
    </row>
    <row r="177" spans="2:11" ht="19.95" customHeight="1" x14ac:dyDescent="0.3">
      <c r="B177" s="43"/>
      <c r="C177" s="153"/>
      <c r="D177" s="140"/>
      <c r="E177" s="140"/>
      <c r="F177" s="140"/>
      <c r="G177" s="140"/>
      <c r="H177" s="140"/>
      <c r="I177" s="140"/>
      <c r="J177" s="154"/>
      <c r="K177" s="37"/>
    </row>
    <row r="178" spans="2:11" ht="19.95" customHeight="1" x14ac:dyDescent="0.3">
      <c r="B178" s="43"/>
      <c r="C178" s="153"/>
      <c r="D178" s="140"/>
      <c r="E178" s="140"/>
      <c r="F178" s="140"/>
      <c r="G178" s="140"/>
      <c r="H178" s="140"/>
      <c r="I178" s="140"/>
      <c r="J178" s="154"/>
      <c r="K178" s="37"/>
    </row>
    <row r="179" spans="2:11" ht="19.95" customHeight="1" x14ac:dyDescent="0.3">
      <c r="B179" s="43"/>
      <c r="C179" s="153"/>
      <c r="D179" s="140"/>
      <c r="E179" s="140"/>
      <c r="F179" s="140"/>
      <c r="G179" s="140"/>
      <c r="H179" s="140"/>
      <c r="I179" s="140"/>
      <c r="J179" s="154"/>
      <c r="K179" s="37"/>
    </row>
    <row r="180" spans="2:11" ht="19.95" customHeight="1" x14ac:dyDescent="0.3">
      <c r="B180" s="43"/>
      <c r="C180" s="153"/>
      <c r="D180" s="140"/>
      <c r="E180" s="140"/>
      <c r="F180" s="140"/>
      <c r="G180" s="140"/>
      <c r="H180" s="140"/>
      <c r="I180" s="140"/>
      <c r="J180" s="154"/>
      <c r="K180" s="37"/>
    </row>
    <row r="181" spans="2:11" ht="19.95" customHeight="1" x14ac:dyDescent="0.3">
      <c r="B181" s="43"/>
      <c r="C181" s="153"/>
      <c r="D181" s="140"/>
      <c r="E181" s="140"/>
      <c r="F181" s="140"/>
      <c r="G181" s="140"/>
      <c r="H181" s="140"/>
      <c r="I181" s="140"/>
      <c r="J181" s="154"/>
      <c r="K181" s="37"/>
    </row>
    <row r="182" spans="2:11" ht="19.95" customHeight="1" x14ac:dyDescent="0.3">
      <c r="B182" s="43"/>
      <c r="C182" s="153"/>
      <c r="D182" s="140"/>
      <c r="E182" s="140"/>
      <c r="F182" s="140"/>
      <c r="G182" s="140"/>
      <c r="H182" s="140"/>
      <c r="I182" s="140"/>
      <c r="J182" s="154"/>
      <c r="K182" s="37"/>
    </row>
    <row r="183" spans="2:11" ht="19.95" customHeight="1" x14ac:dyDescent="0.3">
      <c r="B183" s="43"/>
      <c r="C183" s="153"/>
      <c r="D183" s="140"/>
      <c r="E183" s="140"/>
      <c r="F183" s="140"/>
      <c r="G183" s="140"/>
      <c r="H183" s="140"/>
      <c r="I183" s="140"/>
      <c r="J183" s="154"/>
      <c r="K183" s="37"/>
    </row>
    <row r="184" spans="2:11" ht="19.95" customHeight="1" x14ac:dyDescent="0.3">
      <c r="B184" s="43"/>
      <c r="C184" s="153"/>
      <c r="D184" s="140"/>
      <c r="E184" s="140"/>
      <c r="F184" s="140"/>
      <c r="G184" s="140"/>
      <c r="H184" s="140"/>
      <c r="I184" s="140"/>
      <c r="J184" s="154"/>
      <c r="K184" s="37"/>
    </row>
    <row r="185" spans="2:11" ht="19.95" customHeight="1" x14ac:dyDescent="0.3">
      <c r="B185" s="43"/>
      <c r="C185" s="153"/>
      <c r="D185" s="140"/>
      <c r="E185" s="140"/>
      <c r="F185" s="140"/>
      <c r="G185" s="140"/>
      <c r="H185" s="140"/>
      <c r="I185" s="140"/>
      <c r="J185" s="154"/>
      <c r="K185" s="37"/>
    </row>
    <row r="186" spans="2:11" ht="19.95" customHeight="1" x14ac:dyDescent="0.3">
      <c r="B186" s="43"/>
      <c r="C186" s="153"/>
      <c r="D186" s="140"/>
      <c r="E186" s="140"/>
      <c r="F186" s="140"/>
      <c r="G186" s="140"/>
      <c r="H186" s="140"/>
      <c r="I186" s="140"/>
      <c r="J186" s="154"/>
      <c r="K186" s="37"/>
    </row>
    <row r="187" spans="2:11" ht="19.95" customHeight="1" x14ac:dyDescent="0.3">
      <c r="B187" s="43"/>
      <c r="C187" s="153"/>
      <c r="D187" s="140"/>
      <c r="E187" s="140"/>
      <c r="F187" s="140"/>
      <c r="G187" s="140"/>
      <c r="H187" s="140"/>
      <c r="I187" s="140"/>
      <c r="J187" s="154"/>
      <c r="K187" s="37"/>
    </row>
    <row r="188" spans="2:11" ht="19.95" customHeight="1" x14ac:dyDescent="0.3">
      <c r="B188" s="43"/>
      <c r="C188" s="153"/>
      <c r="D188" s="140"/>
      <c r="E188" s="140"/>
      <c r="F188" s="140"/>
      <c r="G188" s="140"/>
      <c r="H188" s="140"/>
      <c r="I188" s="140"/>
      <c r="J188" s="154"/>
      <c r="K188" s="37"/>
    </row>
    <row r="189" spans="2:11" ht="19.95" customHeight="1" x14ac:dyDescent="0.3">
      <c r="B189" s="43"/>
      <c r="C189" s="153"/>
      <c r="D189" s="140"/>
      <c r="E189" s="140"/>
      <c r="F189" s="140"/>
      <c r="G189" s="140"/>
      <c r="H189" s="140"/>
      <c r="I189" s="140"/>
      <c r="J189" s="154"/>
      <c r="K189" s="37"/>
    </row>
    <row r="190" spans="2:11" ht="19.95" customHeight="1" x14ac:dyDescent="0.3">
      <c r="B190" s="43"/>
      <c r="C190" s="153"/>
      <c r="D190" s="140"/>
      <c r="E190" s="140"/>
      <c r="F190" s="140"/>
      <c r="G190" s="140"/>
      <c r="H190" s="140"/>
      <c r="I190" s="140"/>
      <c r="J190" s="154"/>
      <c r="K190" s="37"/>
    </row>
    <row r="191" spans="2:11" ht="19.95" customHeight="1" x14ac:dyDescent="0.3">
      <c r="B191" s="43"/>
      <c r="C191" s="153"/>
      <c r="D191" s="140"/>
      <c r="E191" s="140"/>
      <c r="F191" s="140"/>
      <c r="G191" s="140"/>
      <c r="H191" s="140"/>
      <c r="I191" s="140"/>
      <c r="J191" s="154"/>
      <c r="K191" s="37"/>
    </row>
    <row r="192" spans="2:11" ht="19.95" customHeight="1" x14ac:dyDescent="0.3">
      <c r="B192" s="43"/>
      <c r="C192" s="153"/>
      <c r="D192" s="140"/>
      <c r="E192" s="140"/>
      <c r="F192" s="140"/>
      <c r="G192" s="140"/>
      <c r="H192" s="140"/>
      <c r="I192" s="140"/>
      <c r="J192" s="154"/>
      <c r="K192" s="37"/>
    </row>
    <row r="193" spans="2:11" ht="19.95" customHeight="1" x14ac:dyDescent="0.3">
      <c r="B193" s="43"/>
      <c r="C193" s="153"/>
      <c r="D193" s="140"/>
      <c r="E193" s="140"/>
      <c r="F193" s="140"/>
      <c r="G193" s="140"/>
      <c r="H193" s="140"/>
      <c r="I193" s="140"/>
      <c r="J193" s="154"/>
      <c r="K193" s="37"/>
    </row>
    <row r="194" spans="2:11" ht="19.95" customHeight="1" x14ac:dyDescent="0.3">
      <c r="B194" s="43"/>
      <c r="C194" s="153"/>
      <c r="D194" s="140"/>
      <c r="E194" s="140"/>
      <c r="F194" s="140"/>
      <c r="G194" s="140"/>
      <c r="H194" s="140"/>
      <c r="I194" s="140"/>
      <c r="J194" s="154"/>
      <c r="K194" s="37"/>
    </row>
    <row r="195" spans="2:11" ht="19.95" customHeight="1" x14ac:dyDescent="0.3">
      <c r="B195" s="43"/>
      <c r="C195" s="153"/>
      <c r="D195" s="140"/>
      <c r="E195" s="140"/>
      <c r="F195" s="140"/>
      <c r="G195" s="140"/>
      <c r="H195" s="140"/>
      <c r="I195" s="140"/>
      <c r="J195" s="154"/>
      <c r="K195" s="37"/>
    </row>
    <row r="196" spans="2:11" ht="19.95" customHeight="1" x14ac:dyDescent="0.3">
      <c r="B196" s="43"/>
      <c r="C196" s="153"/>
      <c r="D196" s="140"/>
      <c r="E196" s="140"/>
      <c r="F196" s="140"/>
      <c r="G196" s="140"/>
      <c r="H196" s="140"/>
      <c r="I196" s="140"/>
      <c r="J196" s="154"/>
      <c r="K196" s="37"/>
    </row>
    <row r="197" spans="2:11" ht="19.95" customHeight="1" x14ac:dyDescent="0.3">
      <c r="B197" s="43"/>
      <c r="C197" s="153"/>
      <c r="D197" s="140"/>
      <c r="E197" s="140"/>
      <c r="F197" s="140"/>
      <c r="G197" s="140"/>
      <c r="H197" s="140"/>
      <c r="I197" s="140"/>
      <c r="J197" s="154"/>
      <c r="K197" s="37"/>
    </row>
    <row r="198" spans="2:11" ht="19.95" customHeight="1" x14ac:dyDescent="0.3">
      <c r="B198" s="43"/>
      <c r="C198" s="153"/>
      <c r="D198" s="140"/>
      <c r="E198" s="140"/>
      <c r="F198" s="140"/>
      <c r="G198" s="140"/>
      <c r="H198" s="140"/>
      <c r="I198" s="140"/>
      <c r="J198" s="154"/>
      <c r="K198" s="37"/>
    </row>
    <row r="199" spans="2:11" ht="19.95" customHeight="1" x14ac:dyDescent="0.3">
      <c r="B199" s="43"/>
      <c r="C199" s="153"/>
      <c r="D199" s="140"/>
      <c r="E199" s="140"/>
      <c r="F199" s="140"/>
      <c r="G199" s="140"/>
      <c r="H199" s="140"/>
      <c r="I199" s="140"/>
      <c r="J199" s="154"/>
      <c r="K199" s="37"/>
    </row>
    <row r="200" spans="2:11" ht="19.95" customHeight="1" x14ac:dyDescent="0.3">
      <c r="B200" s="43"/>
      <c r="C200" s="153"/>
      <c r="D200" s="140"/>
      <c r="E200" s="140"/>
      <c r="F200" s="140"/>
      <c r="G200" s="140"/>
      <c r="H200" s="140"/>
      <c r="I200" s="140"/>
      <c r="J200" s="154"/>
      <c r="K200" s="37"/>
    </row>
    <row r="201" spans="2:11" ht="19.95" customHeight="1" x14ac:dyDescent="0.3">
      <c r="B201" s="43"/>
      <c r="C201" s="153"/>
      <c r="D201" s="140"/>
      <c r="E201" s="140"/>
      <c r="F201" s="140"/>
      <c r="G201" s="140"/>
      <c r="H201" s="140"/>
      <c r="I201" s="140"/>
      <c r="J201" s="154"/>
      <c r="K201" s="37"/>
    </row>
    <row r="202" spans="2:11" ht="19.95" customHeight="1" x14ac:dyDescent="0.3">
      <c r="B202" s="43"/>
      <c r="C202" s="153"/>
      <c r="D202" s="140"/>
      <c r="E202" s="140"/>
      <c r="F202" s="140"/>
      <c r="G202" s="140"/>
      <c r="H202" s="140"/>
      <c r="I202" s="140"/>
      <c r="J202" s="154"/>
      <c r="K202" s="37"/>
    </row>
    <row r="203" spans="2:11" ht="19.95" customHeight="1" x14ac:dyDescent="0.3">
      <c r="B203" s="43"/>
      <c r="C203" s="153"/>
      <c r="D203" s="140"/>
      <c r="E203" s="140"/>
      <c r="F203" s="140"/>
      <c r="G203" s="140"/>
      <c r="H203" s="140"/>
      <c r="I203" s="140"/>
      <c r="J203" s="154"/>
      <c r="K203" s="37"/>
    </row>
    <row r="204" spans="2:11" ht="19.95" customHeight="1" x14ac:dyDescent="0.3">
      <c r="B204" s="43"/>
      <c r="C204" s="153"/>
      <c r="D204" s="140"/>
      <c r="E204" s="140"/>
      <c r="F204" s="140"/>
      <c r="G204" s="140"/>
      <c r="H204" s="140"/>
      <c r="I204" s="140"/>
      <c r="J204" s="154"/>
      <c r="K204" s="37"/>
    </row>
    <row r="205" spans="2:11" ht="19.95" customHeight="1" x14ac:dyDescent="0.3">
      <c r="B205" s="43"/>
      <c r="C205" s="153"/>
      <c r="D205" s="140"/>
      <c r="E205" s="140"/>
      <c r="F205" s="140"/>
      <c r="G205" s="140"/>
      <c r="H205" s="140"/>
      <c r="I205" s="140"/>
      <c r="J205" s="154"/>
      <c r="K205" s="37"/>
    </row>
    <row r="206" spans="2:11" ht="19.95" customHeight="1" x14ac:dyDescent="0.3">
      <c r="B206" s="43"/>
      <c r="C206" s="153"/>
      <c r="D206" s="140"/>
      <c r="E206" s="140"/>
      <c r="F206" s="140"/>
      <c r="G206" s="140"/>
      <c r="H206" s="140"/>
      <c r="I206" s="140"/>
      <c r="J206" s="154"/>
      <c r="K206" s="37"/>
    </row>
    <row r="207" spans="2:11" ht="19.95" customHeight="1" x14ac:dyDescent="0.3">
      <c r="B207" s="43"/>
      <c r="C207" s="153"/>
      <c r="D207" s="140"/>
      <c r="E207" s="140"/>
      <c r="F207" s="140"/>
      <c r="G207" s="140"/>
      <c r="H207" s="140"/>
      <c r="I207" s="140"/>
      <c r="J207" s="154"/>
      <c r="K207" s="37"/>
    </row>
    <row r="208" spans="2:11" ht="19.95" customHeight="1" x14ac:dyDescent="0.3">
      <c r="B208" s="43"/>
      <c r="C208" s="153"/>
      <c r="D208" s="140"/>
      <c r="E208" s="140"/>
      <c r="F208" s="140"/>
      <c r="G208" s="140"/>
      <c r="H208" s="140"/>
      <c r="I208" s="140"/>
      <c r="J208" s="154"/>
      <c r="K208" s="37"/>
    </row>
    <row r="209" spans="2:11" ht="19.95" customHeight="1" x14ac:dyDescent="0.3">
      <c r="B209" s="43"/>
      <c r="C209" s="153"/>
      <c r="D209" s="140"/>
      <c r="E209" s="140"/>
      <c r="F209" s="140"/>
      <c r="G209" s="140"/>
      <c r="H209" s="140"/>
      <c r="I209" s="140"/>
      <c r="J209" s="154"/>
      <c r="K209" s="37"/>
    </row>
    <row r="210" spans="2:11" ht="19.95" customHeight="1" x14ac:dyDescent="0.3">
      <c r="B210" s="43"/>
      <c r="C210" s="153"/>
      <c r="D210" s="140"/>
      <c r="E210" s="140"/>
      <c r="F210" s="140"/>
      <c r="G210" s="140"/>
      <c r="H210" s="140"/>
      <c r="I210" s="140"/>
      <c r="J210" s="154"/>
      <c r="K210" s="37"/>
    </row>
    <row r="211" spans="2:11" ht="19.95" customHeight="1" x14ac:dyDescent="0.3">
      <c r="B211" s="43"/>
      <c r="C211" s="153"/>
      <c r="D211" s="140"/>
      <c r="E211" s="140"/>
      <c r="F211" s="140"/>
      <c r="G211" s="140"/>
      <c r="H211" s="140"/>
      <c r="I211" s="140"/>
      <c r="J211" s="154"/>
      <c r="K211" s="37"/>
    </row>
    <row r="212" spans="2:11" ht="19.95" customHeight="1" x14ac:dyDescent="0.3">
      <c r="B212" s="43"/>
      <c r="C212" s="153"/>
      <c r="D212" s="140"/>
      <c r="E212" s="140"/>
      <c r="F212" s="140"/>
      <c r="G212" s="140"/>
      <c r="H212" s="140"/>
      <c r="I212" s="140"/>
      <c r="J212" s="154"/>
      <c r="K212" s="37"/>
    </row>
    <row r="213" spans="2:11" ht="19.95" customHeight="1" x14ac:dyDescent="0.3">
      <c r="B213" s="43"/>
      <c r="C213" s="153"/>
      <c r="D213" s="140"/>
      <c r="E213" s="140"/>
      <c r="F213" s="140"/>
      <c r="G213" s="140"/>
      <c r="H213" s="140"/>
      <c r="I213" s="140"/>
      <c r="J213" s="154"/>
      <c r="K213" s="37"/>
    </row>
    <row r="214" spans="2:11" ht="19.95" customHeight="1" x14ac:dyDescent="0.3">
      <c r="B214" s="43"/>
      <c r="C214" s="153"/>
      <c r="D214" s="140"/>
      <c r="E214" s="140"/>
      <c r="F214" s="140"/>
      <c r="G214" s="140"/>
      <c r="H214" s="140"/>
      <c r="I214" s="140"/>
      <c r="J214" s="154"/>
      <c r="K214" s="37"/>
    </row>
    <row r="215" spans="2:11" ht="19.95" customHeight="1" x14ac:dyDescent="0.3">
      <c r="B215" s="43"/>
      <c r="C215" s="153"/>
      <c r="D215" s="140"/>
      <c r="E215" s="140"/>
      <c r="F215" s="140"/>
      <c r="G215" s="140"/>
      <c r="H215" s="140"/>
      <c r="I215" s="140"/>
      <c r="J215" s="154"/>
      <c r="K215" s="37"/>
    </row>
    <row r="216" spans="2:11" ht="19.95" customHeight="1" x14ac:dyDescent="0.3">
      <c r="B216" s="43"/>
      <c r="C216" s="153"/>
      <c r="D216" s="140"/>
      <c r="E216" s="140"/>
      <c r="F216" s="140"/>
      <c r="G216" s="140"/>
      <c r="H216" s="140"/>
      <c r="I216" s="140"/>
      <c r="J216" s="154"/>
      <c r="K216" s="37"/>
    </row>
    <row r="217" spans="2:11" ht="19.95" customHeight="1" x14ac:dyDescent="0.3">
      <c r="B217" s="43"/>
      <c r="C217" s="153"/>
      <c r="D217" s="140"/>
      <c r="E217" s="140"/>
      <c r="F217" s="140"/>
      <c r="G217" s="140"/>
      <c r="H217" s="140"/>
      <c r="I217" s="140"/>
      <c r="J217" s="154"/>
      <c r="K217" s="37"/>
    </row>
    <row r="218" spans="2:11" ht="19.95" customHeight="1" x14ac:dyDescent="0.3">
      <c r="B218" s="43"/>
      <c r="C218" s="153"/>
      <c r="D218" s="140"/>
      <c r="E218" s="140"/>
      <c r="F218" s="140"/>
      <c r="G218" s="140"/>
      <c r="H218" s="140"/>
      <c r="I218" s="140"/>
      <c r="J218" s="154"/>
      <c r="K218" s="37"/>
    </row>
    <row r="219" spans="2:11" ht="19.95" customHeight="1" x14ac:dyDescent="0.3">
      <c r="B219" s="43"/>
      <c r="C219" s="153"/>
      <c r="D219" s="140"/>
      <c r="E219" s="140"/>
      <c r="F219" s="140"/>
      <c r="G219" s="140"/>
      <c r="H219" s="140"/>
      <c r="I219" s="140"/>
      <c r="J219" s="154"/>
      <c r="K219" s="37"/>
    </row>
    <row r="220" spans="2:11" ht="19.95" customHeight="1" x14ac:dyDescent="0.3">
      <c r="B220" s="43"/>
      <c r="C220" s="153"/>
      <c r="D220" s="140"/>
      <c r="E220" s="140"/>
      <c r="F220" s="140"/>
      <c r="G220" s="140"/>
      <c r="H220" s="140"/>
      <c r="I220" s="140"/>
      <c r="J220" s="154"/>
      <c r="K220" s="37"/>
    </row>
    <row r="221" spans="2:11" ht="19.95" customHeight="1" x14ac:dyDescent="0.3">
      <c r="B221" s="43"/>
      <c r="C221" s="153"/>
      <c r="D221" s="140"/>
      <c r="E221" s="140"/>
      <c r="F221" s="140"/>
      <c r="G221" s="140"/>
      <c r="H221" s="140"/>
      <c r="I221" s="140"/>
      <c r="J221" s="154"/>
      <c r="K221" s="37"/>
    </row>
    <row r="222" spans="2:11" ht="19.95" customHeight="1" x14ac:dyDescent="0.3">
      <c r="B222" s="43"/>
      <c r="C222" s="153"/>
      <c r="D222" s="140"/>
      <c r="E222" s="140"/>
      <c r="F222" s="140"/>
      <c r="G222" s="140"/>
      <c r="H222" s="140"/>
      <c r="I222" s="140"/>
      <c r="J222" s="154"/>
      <c r="K222" s="37"/>
    </row>
    <row r="223" spans="2:11" ht="19.95" customHeight="1" x14ac:dyDescent="0.3">
      <c r="B223" s="43"/>
      <c r="C223" s="153"/>
      <c r="D223" s="140"/>
      <c r="E223" s="140"/>
      <c r="F223" s="140"/>
      <c r="G223" s="140"/>
      <c r="H223" s="140"/>
      <c r="I223" s="140"/>
      <c r="J223" s="154"/>
      <c r="K223" s="37"/>
    </row>
    <row r="224" spans="2:11" ht="19.95" customHeight="1" x14ac:dyDescent="0.3">
      <c r="B224" s="43"/>
      <c r="C224" s="153"/>
      <c r="D224" s="140"/>
      <c r="E224" s="140"/>
      <c r="F224" s="140"/>
      <c r="G224" s="140"/>
      <c r="H224" s="140"/>
      <c r="I224" s="140"/>
      <c r="J224" s="154"/>
      <c r="K224" s="37"/>
    </row>
    <row r="225" spans="2:11" ht="19.95" customHeight="1" x14ac:dyDescent="0.3">
      <c r="B225" s="43"/>
      <c r="C225" s="153"/>
      <c r="D225" s="140"/>
      <c r="E225" s="140"/>
      <c r="F225" s="140"/>
      <c r="G225" s="140"/>
      <c r="H225" s="140"/>
      <c r="I225" s="140"/>
      <c r="J225" s="154"/>
      <c r="K225" s="37"/>
    </row>
    <row r="226" spans="2:11" ht="19.95" customHeight="1" x14ac:dyDescent="0.3">
      <c r="B226" s="43"/>
      <c r="C226" s="153"/>
      <c r="D226" s="140"/>
      <c r="E226" s="140"/>
      <c r="F226" s="140"/>
      <c r="G226" s="140"/>
      <c r="H226" s="140"/>
      <c r="I226" s="140"/>
      <c r="J226" s="154"/>
      <c r="K226" s="37"/>
    </row>
    <row r="227" spans="2:11" ht="19.95" customHeight="1" x14ac:dyDescent="0.3">
      <c r="B227" s="43"/>
      <c r="C227" s="153"/>
      <c r="D227" s="140"/>
      <c r="E227" s="140"/>
      <c r="F227" s="140"/>
      <c r="G227" s="140"/>
      <c r="H227" s="140"/>
      <c r="I227" s="140"/>
      <c r="J227" s="154"/>
      <c r="K227" s="37"/>
    </row>
    <row r="228" spans="2:11" ht="19.95" customHeight="1" x14ac:dyDescent="0.3">
      <c r="B228" s="43"/>
      <c r="C228" s="153"/>
      <c r="D228" s="140"/>
      <c r="E228" s="140"/>
      <c r="F228" s="140"/>
      <c r="G228" s="140"/>
      <c r="H228" s="140"/>
      <c r="I228" s="140"/>
      <c r="J228" s="154"/>
      <c r="K228" s="37"/>
    </row>
    <row r="229" spans="2:11" ht="19.95" customHeight="1" x14ac:dyDescent="0.3">
      <c r="B229" s="43"/>
      <c r="C229" s="153"/>
      <c r="D229" s="140"/>
      <c r="E229" s="140"/>
      <c r="F229" s="140"/>
      <c r="G229" s="140"/>
      <c r="H229" s="140"/>
      <c r="I229" s="140"/>
      <c r="J229" s="154"/>
      <c r="K229" s="37"/>
    </row>
    <row r="230" spans="2:11" ht="19.95" customHeight="1" x14ac:dyDescent="0.3">
      <c r="B230" s="43"/>
      <c r="C230" s="155"/>
      <c r="D230" s="156"/>
      <c r="E230" s="156"/>
      <c r="F230" s="156"/>
      <c r="G230" s="156"/>
      <c r="H230" s="156"/>
      <c r="I230" s="156"/>
      <c r="J230" s="157"/>
      <c r="K230" s="37"/>
    </row>
    <row r="231" spans="2:11" ht="19.95" customHeight="1" x14ac:dyDescent="0.3">
      <c r="B231" s="43"/>
      <c r="D231" s="19"/>
      <c r="E231" s="19"/>
      <c r="F231" s="19"/>
      <c r="G231" s="19"/>
      <c r="H231" s="101"/>
      <c r="I231" s="101"/>
      <c r="K231" s="37"/>
    </row>
    <row r="232" spans="2:11" ht="19.95" customHeight="1" x14ac:dyDescent="0.3">
      <c r="B232" s="43"/>
      <c r="C232" s="112" t="s">
        <v>11126</v>
      </c>
      <c r="D232" s="112"/>
      <c r="E232" s="112"/>
      <c r="F232" s="112"/>
      <c r="G232" s="112"/>
      <c r="H232" s="112"/>
      <c r="I232" s="112"/>
      <c r="J232" s="112"/>
      <c r="K232" s="37"/>
    </row>
    <row r="233" spans="2:11" ht="19.95" customHeight="1" x14ac:dyDescent="0.3">
      <c r="B233" s="43"/>
      <c r="C233" s="112"/>
      <c r="D233" s="112"/>
      <c r="E233" s="112"/>
      <c r="F233" s="112"/>
      <c r="G233" s="112"/>
      <c r="H233" s="112"/>
      <c r="I233" s="112"/>
      <c r="J233" s="112"/>
      <c r="K233" s="37"/>
    </row>
    <row r="234" spans="2:11" ht="19.95" customHeight="1" x14ac:dyDescent="0.3">
      <c r="B234" s="44"/>
      <c r="C234" s="45"/>
      <c r="D234" s="107"/>
      <c r="E234" s="107"/>
      <c r="F234" s="107"/>
      <c r="G234" s="107"/>
      <c r="H234" s="108"/>
      <c r="I234" s="108"/>
      <c r="J234" s="45"/>
      <c r="K234" s="38"/>
    </row>
    <row r="235" spans="2:11" ht="19.95" customHeight="1" x14ac:dyDescent="0.3">
      <c r="B235" s="40"/>
      <c r="D235" s="19"/>
      <c r="E235" s="19"/>
      <c r="F235" s="19"/>
      <c r="G235" s="19"/>
      <c r="H235" s="101"/>
      <c r="I235" s="101"/>
      <c r="K235" s="40"/>
    </row>
    <row r="236" spans="2:11" ht="19.95" customHeight="1" x14ac:dyDescent="0.3">
      <c r="B236" s="31"/>
      <c r="C236" s="31"/>
      <c r="D236" s="31"/>
      <c r="E236" s="31"/>
      <c r="F236" s="31"/>
      <c r="G236" s="31"/>
      <c r="H236" s="31"/>
      <c r="I236" s="31"/>
      <c r="J236" s="31"/>
      <c r="K236" s="31"/>
    </row>
    <row r="237" spans="2:11" ht="19.95" customHeight="1" x14ac:dyDescent="0.3">
      <c r="C237" s="145"/>
      <c r="D237" s="123"/>
      <c r="E237" s="123"/>
      <c r="F237" s="123"/>
      <c r="G237" s="123"/>
      <c r="H237" s="123"/>
      <c r="I237" s="143"/>
      <c r="J237" s="143"/>
    </row>
    <row r="238" spans="2:11" ht="19.95" customHeight="1" x14ac:dyDescent="0.3">
      <c r="C238" s="145"/>
      <c r="D238" s="123"/>
      <c r="E238" s="123"/>
      <c r="F238" s="123"/>
      <c r="G238" s="123"/>
      <c r="H238" s="123"/>
      <c r="I238" s="142"/>
      <c r="J238" s="142"/>
    </row>
    <row r="239" spans="2:11" ht="19.95" customHeight="1" x14ac:dyDescent="0.3">
      <c r="C239" s="145"/>
      <c r="D239" s="123"/>
      <c r="E239" s="123"/>
      <c r="F239" s="123"/>
      <c r="G239" s="123"/>
      <c r="H239" s="123"/>
      <c r="I239" s="143"/>
      <c r="J239" s="143"/>
    </row>
    <row r="240" spans="2:11" ht="15" customHeight="1" x14ac:dyDescent="0.3">
      <c r="C240" s="145"/>
      <c r="D240" s="123"/>
      <c r="E240" s="123"/>
      <c r="F240" s="123"/>
      <c r="G240" s="123"/>
      <c r="H240" s="123"/>
      <c r="I240" s="142"/>
      <c r="J240" s="142"/>
    </row>
    <row r="241" spans="1:14" x14ac:dyDescent="0.3">
      <c r="C241" s="145"/>
      <c r="D241" s="123"/>
      <c r="E241" s="123"/>
      <c r="F241" s="123"/>
      <c r="G241" s="123"/>
      <c r="H241" s="123"/>
      <c r="I241" s="143"/>
      <c r="J241" s="143"/>
    </row>
    <row r="242" spans="1:14" x14ac:dyDescent="0.3">
      <c r="C242" s="145"/>
      <c r="D242" s="123"/>
      <c r="E242" s="123"/>
      <c r="F242" s="123"/>
      <c r="G242" s="123"/>
      <c r="H242" s="123"/>
      <c r="I242" s="144"/>
      <c r="J242" s="144"/>
    </row>
    <row r="243" spans="1:14" x14ac:dyDescent="0.3">
      <c r="C243" s="145"/>
      <c r="D243" s="123"/>
      <c r="E243" s="123"/>
      <c r="F243" s="123"/>
      <c r="G243" s="123"/>
      <c r="H243" s="123"/>
      <c r="I243" s="143"/>
      <c r="J243" s="143"/>
    </row>
    <row r="244" spans="1:14" x14ac:dyDescent="0.3">
      <c r="C244" s="145"/>
      <c r="D244" s="123"/>
      <c r="E244" s="123"/>
      <c r="F244" s="123"/>
      <c r="G244" s="123"/>
      <c r="H244" s="123"/>
      <c r="I244" s="142"/>
      <c r="J244" s="142"/>
    </row>
    <row r="245" spans="1:14" ht="24.6" x14ac:dyDescent="0.3">
      <c r="C245" s="18"/>
      <c r="D245" s="39"/>
      <c r="E245" s="39"/>
      <c r="F245" s="39"/>
      <c r="G245" s="39"/>
      <c r="H245" s="39"/>
      <c r="I245" s="42"/>
      <c r="J245" s="42"/>
    </row>
    <row r="246" spans="1:14" ht="24.6" x14ac:dyDescent="0.3">
      <c r="C246" s="110"/>
      <c r="D246" s="138"/>
      <c r="E246" s="138"/>
      <c r="F246" s="138"/>
      <c r="G246" s="138"/>
      <c r="H246" s="39"/>
      <c r="I246" s="42"/>
      <c r="J246" s="42"/>
    </row>
    <row r="247" spans="1:14" ht="24.6" x14ac:dyDescent="0.3">
      <c r="C247" s="110"/>
      <c r="D247" s="138"/>
      <c r="E247" s="138"/>
      <c r="F247" s="138"/>
      <c r="G247" s="138"/>
      <c r="H247" s="39"/>
      <c r="I247" s="42"/>
      <c r="J247" s="42"/>
    </row>
    <row r="249" spans="1:14" s="1" customFormat="1" ht="25.8" customHeight="1" x14ac:dyDescent="0.3">
      <c r="A249"/>
      <c r="B249"/>
      <c r="C249" s="139"/>
      <c r="D249" s="139"/>
      <c r="E249" s="139"/>
      <c r="F249" s="139"/>
      <c r="G249" s="139"/>
      <c r="H249" s="139"/>
      <c r="I249" s="139"/>
      <c r="J249" s="139"/>
      <c r="K249"/>
      <c r="L249"/>
      <c r="M249"/>
      <c r="N249"/>
    </row>
    <row r="250" spans="1:14" ht="19.95" customHeight="1" x14ac:dyDescent="0.3">
      <c r="C250" s="140"/>
      <c r="D250" s="141"/>
      <c r="E250" s="141"/>
      <c r="F250" s="141"/>
      <c r="G250" s="141"/>
      <c r="H250" s="141"/>
      <c r="I250" s="141"/>
      <c r="J250" s="141"/>
    </row>
    <row r="251" spans="1:14" ht="19.95" customHeight="1" x14ac:dyDescent="0.3">
      <c r="C251" s="141"/>
      <c r="D251" s="141"/>
      <c r="E251" s="141"/>
      <c r="F251" s="141"/>
      <c r="G251" s="141"/>
      <c r="H251" s="141"/>
      <c r="I251" s="141"/>
      <c r="J251" s="141"/>
    </row>
    <row r="252" spans="1:14" ht="19.95" customHeight="1" x14ac:dyDescent="0.3">
      <c r="C252" s="141"/>
      <c r="D252" s="141"/>
      <c r="E252" s="141"/>
      <c r="F252" s="141"/>
      <c r="G252" s="141"/>
      <c r="H252" s="141"/>
      <c r="I252" s="141"/>
      <c r="J252" s="141"/>
    </row>
    <row r="253" spans="1:14" ht="19.95" customHeight="1" x14ac:dyDescent="0.3">
      <c r="C253" s="141"/>
      <c r="D253" s="141"/>
      <c r="E253" s="141"/>
      <c r="F253" s="141"/>
      <c r="G253" s="141"/>
      <c r="H253" s="141"/>
      <c r="I253" s="141"/>
      <c r="J253" s="141"/>
    </row>
  </sheetData>
  <mergeCells count="89">
    <mergeCell ref="D61:E61"/>
    <mergeCell ref="D62:E62"/>
    <mergeCell ref="F62:G62"/>
    <mergeCell ref="C60:J60"/>
    <mergeCell ref="F61:G61"/>
    <mergeCell ref="D63:E63"/>
    <mergeCell ref="F63:G63"/>
    <mergeCell ref="D64:E64"/>
    <mergeCell ref="F64:G64"/>
    <mergeCell ref="D65:E65"/>
    <mergeCell ref="F65:G65"/>
    <mergeCell ref="D66:E66"/>
    <mergeCell ref="F66:G66"/>
    <mergeCell ref="D67:E67"/>
    <mergeCell ref="F67:G67"/>
    <mergeCell ref="D68:E68"/>
    <mergeCell ref="F68:G68"/>
    <mergeCell ref="C76:J77"/>
    <mergeCell ref="C82:C89"/>
    <mergeCell ref="D82:H89"/>
    <mergeCell ref="D69:E69"/>
    <mergeCell ref="F69:G69"/>
    <mergeCell ref="D70:E70"/>
    <mergeCell ref="F70:G70"/>
    <mergeCell ref="D71:E71"/>
    <mergeCell ref="F71:G71"/>
    <mergeCell ref="D72:E72"/>
    <mergeCell ref="F72:G72"/>
    <mergeCell ref="D73:E73"/>
    <mergeCell ref="F73:G73"/>
    <mergeCell ref="F74:G74"/>
    <mergeCell ref="C43:J43"/>
    <mergeCell ref="C3:C10"/>
    <mergeCell ref="I3:J3"/>
    <mergeCell ref="I4:J4"/>
    <mergeCell ref="I5:J5"/>
    <mergeCell ref="I6:J6"/>
    <mergeCell ref="I7:J7"/>
    <mergeCell ref="I10:J10"/>
    <mergeCell ref="D3:H10"/>
    <mergeCell ref="I9:J9"/>
    <mergeCell ref="I8:J8"/>
    <mergeCell ref="C15:J15"/>
    <mergeCell ref="D12:G12"/>
    <mergeCell ref="D13:G13"/>
    <mergeCell ref="C24:J24"/>
    <mergeCell ref="C34:J34"/>
    <mergeCell ref="C154:J155"/>
    <mergeCell ref="C95:J152"/>
    <mergeCell ref="I82:J82"/>
    <mergeCell ref="I83:J83"/>
    <mergeCell ref="I84:J84"/>
    <mergeCell ref="I85:J85"/>
    <mergeCell ref="I86:J86"/>
    <mergeCell ref="I87:J87"/>
    <mergeCell ref="I88:J88"/>
    <mergeCell ref="I89:J89"/>
    <mergeCell ref="D91:G91"/>
    <mergeCell ref="D92:G92"/>
    <mergeCell ref="C94:J94"/>
    <mergeCell ref="C160:C167"/>
    <mergeCell ref="D160:H167"/>
    <mergeCell ref="I160:J160"/>
    <mergeCell ref="I161:J161"/>
    <mergeCell ref="I162:J162"/>
    <mergeCell ref="I163:J163"/>
    <mergeCell ref="I164:J164"/>
    <mergeCell ref="I165:J165"/>
    <mergeCell ref="I166:J166"/>
    <mergeCell ref="I167:J167"/>
    <mergeCell ref="D169:G169"/>
    <mergeCell ref="D170:G170"/>
    <mergeCell ref="C172:J172"/>
    <mergeCell ref="C173:J230"/>
    <mergeCell ref="C232:J233"/>
    <mergeCell ref="D247:G247"/>
    <mergeCell ref="C249:J249"/>
    <mergeCell ref="C250:J253"/>
    <mergeCell ref="I240:J240"/>
    <mergeCell ref="I241:J241"/>
    <mergeCell ref="I242:J242"/>
    <mergeCell ref="I243:J243"/>
    <mergeCell ref="I244:J244"/>
    <mergeCell ref="D246:G246"/>
    <mergeCell ref="C237:C244"/>
    <mergeCell ref="D237:H244"/>
    <mergeCell ref="I237:J237"/>
    <mergeCell ref="I238:J238"/>
    <mergeCell ref="I239:J239"/>
  </mergeCells>
  <conditionalFormatting sqref="I3:I13">
    <cfRule type="cellIs" dxfId="6" priority="8" operator="lessThan">
      <formula>0</formula>
    </cfRule>
  </conditionalFormatting>
  <conditionalFormatting sqref="C76">
    <cfRule type="cellIs" dxfId="5" priority="7" operator="lessThan">
      <formula>0</formula>
    </cfRule>
  </conditionalFormatting>
  <conditionalFormatting sqref="I82:I92">
    <cfRule type="cellIs" dxfId="4" priority="6" operator="lessThan">
      <formula>0</formula>
    </cfRule>
  </conditionalFormatting>
  <conditionalFormatting sqref="C154">
    <cfRule type="cellIs" dxfId="3" priority="5" operator="lessThan">
      <formula>0</formula>
    </cfRule>
  </conditionalFormatting>
  <conditionalFormatting sqref="I237:I247">
    <cfRule type="cellIs" dxfId="2" priority="4" operator="lessThan">
      <formula>0</formula>
    </cfRule>
  </conditionalFormatting>
  <conditionalFormatting sqref="I160:I170">
    <cfRule type="cellIs" dxfId="1" priority="2" operator="lessThan">
      <formula>0</formula>
    </cfRule>
  </conditionalFormatting>
  <conditionalFormatting sqref="C232">
    <cfRule type="cellIs" dxfId="0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scale="47" orientation="portrait" r:id="rId1"/>
  <colBreaks count="1" manualBreakCount="1">
    <brk id="12" max="257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B63A1-53F5-4866-909C-A45423050D84}">
  <sheetPr codeName="Planilha14"/>
  <dimension ref="A1:C3"/>
  <sheetViews>
    <sheetView workbookViewId="0">
      <selection activeCell="D34" sqref="D34"/>
    </sheetView>
  </sheetViews>
  <sheetFormatPr defaultRowHeight="14.4" x14ac:dyDescent="0.3"/>
  <cols>
    <col min="2" max="2" width="9.109375" style="7"/>
  </cols>
  <sheetData>
    <row r="1" spans="1:3" x14ac:dyDescent="0.3">
      <c r="A1" t="s">
        <v>11058</v>
      </c>
      <c r="B1" s="7" t="s">
        <v>5475</v>
      </c>
      <c r="C1" t="s">
        <v>11059</v>
      </c>
    </row>
    <row r="2" spans="1:3" x14ac:dyDescent="0.3">
      <c r="C2" s="6"/>
    </row>
    <row r="3" spans="1:3" x14ac:dyDescent="0.3">
      <c r="C3" s="6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FB299-CCB8-4AAA-9C11-BAF059A95A43}">
  <sheetPr codeName="Planilha9"/>
  <dimension ref="A1:C1"/>
  <sheetViews>
    <sheetView workbookViewId="0">
      <selection activeCell="O17" sqref="O17"/>
    </sheetView>
  </sheetViews>
  <sheetFormatPr defaultRowHeight="14.4" x14ac:dyDescent="0.3"/>
  <sheetData>
    <row r="1" spans="1:3" x14ac:dyDescent="0.3">
      <c r="A1" t="s">
        <v>5437</v>
      </c>
      <c r="B1" t="s">
        <v>5438</v>
      </c>
      <c r="C1" t="s">
        <v>5397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16F859-55B4-48D9-986B-1746E359A1AB}">
  <sheetPr codeName="Planilha4"/>
  <dimension ref="A6:K17"/>
  <sheetViews>
    <sheetView showGridLines="0" workbookViewId="0">
      <selection activeCell="O17" sqref="O17"/>
    </sheetView>
  </sheetViews>
  <sheetFormatPr defaultRowHeight="14.4" x14ac:dyDescent="0.3"/>
  <cols>
    <col min="1" max="1" width="27.33203125" customWidth="1"/>
    <col min="3" max="3" width="27.44140625" customWidth="1"/>
    <col min="4" max="4" width="11.5546875" customWidth="1"/>
    <col min="5" max="5" width="27.109375" bestFit="1" customWidth="1"/>
    <col min="6" max="6" width="32.44140625" bestFit="1" customWidth="1"/>
    <col min="7" max="9" width="17.33203125" customWidth="1"/>
    <col min="10" max="10" width="14.44140625" hidden="1" customWidth="1"/>
    <col min="11" max="11" width="12.5546875" hidden="1" customWidth="1"/>
  </cols>
  <sheetData>
    <row r="6" spans="1:11" s="11" customFormat="1" ht="46.5" customHeight="1" x14ac:dyDescent="0.3">
      <c r="A6" s="13" t="s">
        <v>5427</v>
      </c>
      <c r="B6" s="13" t="s">
        <v>5397</v>
      </c>
      <c r="C6" s="13" t="s">
        <v>5428</v>
      </c>
      <c r="D6" s="13" t="s">
        <v>5436</v>
      </c>
      <c r="E6" s="13" t="s">
        <v>5429</v>
      </c>
      <c r="F6" s="13" t="s">
        <v>5430</v>
      </c>
      <c r="G6" s="13" t="s">
        <v>5431</v>
      </c>
      <c r="H6" s="13" t="s">
        <v>5432</v>
      </c>
      <c r="I6" s="13" t="s">
        <v>5433</v>
      </c>
      <c r="J6" s="13" t="s">
        <v>5434</v>
      </c>
      <c r="K6" s="13" t="s">
        <v>5435</v>
      </c>
    </row>
    <row r="7" spans="1:11" x14ac:dyDescent="0.3">
      <c r="E7" s="14"/>
      <c r="F7" s="9"/>
      <c r="G7" s="10"/>
      <c r="H7" s="10"/>
      <c r="I7" s="10"/>
      <c r="J7" s="12"/>
      <c r="K7" s="12"/>
    </row>
    <row r="8" spans="1:11" x14ac:dyDescent="0.3">
      <c r="E8" s="14"/>
      <c r="F8" s="9"/>
      <c r="G8" s="10"/>
      <c r="H8" s="10"/>
      <c r="I8" s="10"/>
      <c r="J8" s="12"/>
      <c r="K8" s="12"/>
    </row>
    <row r="9" spans="1:11" x14ac:dyDescent="0.3">
      <c r="E9" s="14"/>
      <c r="F9" s="9"/>
      <c r="G9" s="10"/>
      <c r="H9" s="10"/>
      <c r="I9" s="10"/>
      <c r="J9" s="12"/>
      <c r="K9" s="12"/>
    </row>
    <row r="10" spans="1:11" x14ac:dyDescent="0.3">
      <c r="E10" s="14"/>
      <c r="F10" s="9"/>
      <c r="G10" s="10"/>
      <c r="H10" s="10"/>
      <c r="I10" s="10"/>
      <c r="J10" s="12"/>
      <c r="K10" s="12"/>
    </row>
    <row r="11" spans="1:11" x14ac:dyDescent="0.3">
      <c r="E11" s="14"/>
      <c r="F11" s="9"/>
      <c r="G11" s="10"/>
      <c r="H11" s="10"/>
      <c r="I11" s="10"/>
      <c r="J11" s="12">
        <v>3</v>
      </c>
      <c r="K11" s="12">
        <v>1</v>
      </c>
    </row>
    <row r="12" spans="1:11" x14ac:dyDescent="0.3">
      <c r="E12" s="14"/>
      <c r="F12" s="9"/>
      <c r="G12" s="10"/>
      <c r="H12" s="10"/>
      <c r="I12" s="10"/>
      <c r="J12" s="12">
        <v>3</v>
      </c>
      <c r="K12" s="12">
        <v>1</v>
      </c>
    </row>
    <row r="13" spans="1:11" x14ac:dyDescent="0.3">
      <c r="F13" s="9"/>
      <c r="G13" s="10"/>
      <c r="H13" s="10"/>
      <c r="I13" s="10"/>
      <c r="J13" s="12">
        <v>3</v>
      </c>
      <c r="K13" s="12">
        <v>1</v>
      </c>
    </row>
    <row r="14" spans="1:11" x14ac:dyDescent="0.3">
      <c r="F14" s="9"/>
      <c r="G14" s="10"/>
      <c r="H14" s="10"/>
      <c r="I14" s="10"/>
      <c r="J14" s="12">
        <v>3</v>
      </c>
      <c r="K14" s="12">
        <v>1</v>
      </c>
    </row>
    <row r="15" spans="1:11" x14ac:dyDescent="0.3">
      <c r="F15" s="9"/>
      <c r="G15" s="10"/>
      <c r="H15" s="10"/>
      <c r="I15" s="10"/>
      <c r="J15" s="12">
        <v>3</v>
      </c>
      <c r="K15" s="12">
        <v>1</v>
      </c>
    </row>
    <row r="16" spans="1:11" x14ac:dyDescent="0.3">
      <c r="F16" s="9"/>
    </row>
    <row r="17" spans="6:6" x14ac:dyDescent="0.3">
      <c r="F17" s="9"/>
    </row>
  </sheetData>
  <dataValidations count="3">
    <dataValidation type="list" allowBlank="1" showInputMessage="1" showErrorMessage="1" sqref="A8:A25" xr:uid="{4895706B-A427-4E38-A1D2-1B925A496269}">
      <formula1>cidades</formula1>
    </dataValidation>
    <dataValidation type="list" allowBlank="1" showInputMessage="1" showErrorMessage="1" sqref="B12:B13 B15" xr:uid="{42C69D4C-7EAC-433E-89B9-57B902ACFA38}">
      <formula1>UFs</formula1>
    </dataValidation>
    <dataValidation type="list" allowBlank="1" showInputMessage="1" showErrorMessage="1" sqref="C12:D13 C15:D15" xr:uid="{0357CB5D-416D-455B-BA7B-7C5A99F5992B}">
      <formula1>graos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F7F6B-10AD-4B24-8CDA-840BC57B128A}">
  <sheetPr codeName="Planilha2"/>
  <dimension ref="A1:U5571"/>
  <sheetViews>
    <sheetView workbookViewId="0">
      <selection activeCell="B34" sqref="B34"/>
    </sheetView>
  </sheetViews>
  <sheetFormatPr defaultRowHeight="14.4" x14ac:dyDescent="0.3"/>
  <cols>
    <col min="1" max="1" width="40.6640625" bestFit="1" customWidth="1"/>
    <col min="3" max="3" width="12.88671875" bestFit="1" customWidth="1"/>
    <col min="9" max="9" width="35.88671875" bestFit="1" customWidth="1"/>
    <col min="11" max="11" width="14.88671875" bestFit="1" customWidth="1"/>
    <col min="12" max="12" width="12.44140625" bestFit="1" customWidth="1"/>
  </cols>
  <sheetData>
    <row r="1" spans="1:21" x14ac:dyDescent="0.3">
      <c r="A1" s="1" t="s">
        <v>0</v>
      </c>
      <c r="C1" s="1" t="s">
        <v>3</v>
      </c>
      <c r="E1" s="1" t="s">
        <v>26</v>
      </c>
      <c r="G1" s="1" t="s">
        <v>13</v>
      </c>
      <c r="I1" s="1" t="s">
        <v>33</v>
      </c>
      <c r="K1" s="1" t="s">
        <v>48</v>
      </c>
      <c r="L1" s="15">
        <f>COUNTA(K2:K8)-COUNTIF(L2:L8,TRUE)</f>
        <v>3</v>
      </c>
      <c r="N1" s="1" t="s">
        <v>67</v>
      </c>
      <c r="O1" s="1"/>
      <c r="P1" t="s">
        <v>76</v>
      </c>
      <c r="R1" s="1" t="s">
        <v>99</v>
      </c>
      <c r="S1" s="1" t="s">
        <v>5397</v>
      </c>
      <c r="U1" s="1" t="s">
        <v>5462</v>
      </c>
    </row>
    <row r="2" spans="1:21" x14ac:dyDescent="0.3">
      <c r="A2" t="str">
        <f>"CONTROLE DE CLIENTES"</f>
        <v>CONTROLE DE CLIENTES</v>
      </c>
      <c r="C2" t="s">
        <v>5</v>
      </c>
      <c r="E2" t="s">
        <v>19</v>
      </c>
      <c r="G2" t="s">
        <v>27</v>
      </c>
      <c r="I2" t="s">
        <v>34</v>
      </c>
      <c r="K2" t="s">
        <v>49</v>
      </c>
      <c r="L2" t="b">
        <f>(COUNTA(Sócios!A:A)&gt;1)</f>
        <v>1</v>
      </c>
      <c r="N2" t="s">
        <v>68</v>
      </c>
      <c r="P2" t="s">
        <v>77</v>
      </c>
      <c r="R2" t="s">
        <v>5168</v>
      </c>
      <c r="S2" t="s">
        <v>5398</v>
      </c>
      <c r="U2" t="s">
        <v>5463</v>
      </c>
    </row>
    <row r="3" spans="1:21" x14ac:dyDescent="0.3">
      <c r="A3" t="str" cm="1">
        <f t="array" aca="1" ref="A3" ca="1">"CONTROLE DE CLIENTES - "&amp;LEFT(RIGHT(CELL("filename"),LEN(CELL("filename"))-MAX(IF(NOT(ISERR(SEARCH("\",CELL("filename"),ROW(2:256)))),SEARCH("\",CELL("filename"),ROW(2:256))))-1),SEARCH(".",RIGHT(CELL("filename"),LEN(CELL("filename"))-MAX(IF(NOT(ISERR(SEARCH("\",CELL("filename"),ROW(2:256)))),SEARCH("\",CELL("filename"),ROW(2:256))))))-2)</f>
        <v>CONTROLE DE CLIENTES - R</v>
      </c>
      <c r="C3" t="s">
        <v>6</v>
      </c>
      <c r="E3" t="s">
        <v>20</v>
      </c>
      <c r="G3" t="s">
        <v>28</v>
      </c>
      <c r="I3" t="s">
        <v>35</v>
      </c>
      <c r="K3" t="s">
        <v>50</v>
      </c>
      <c r="L3" t="b">
        <f>(COUNTIFS(Demandas!J:J,"&gt;0"))&gt;=1</f>
        <v>0</v>
      </c>
      <c r="N3" t="s">
        <v>69</v>
      </c>
      <c r="P3" t="s">
        <v>78</v>
      </c>
      <c r="R3" t="s">
        <v>2257</v>
      </c>
      <c r="S3" t="s">
        <v>5399</v>
      </c>
      <c r="U3" t="s">
        <v>5464</v>
      </c>
    </row>
    <row r="4" spans="1:21" x14ac:dyDescent="0.3">
      <c r="A4" s="1" t="s">
        <v>5425</v>
      </c>
      <c r="C4" t="s">
        <v>7</v>
      </c>
      <c r="E4" t="s">
        <v>21</v>
      </c>
      <c r="G4" t="s">
        <v>29</v>
      </c>
      <c r="I4" t="s">
        <v>36</v>
      </c>
      <c r="K4" t="s">
        <v>98</v>
      </c>
      <c r="L4" t="b">
        <f>AND(COUNTIF(Safras!A:A,"&gt;0")&gt;=1)</f>
        <v>0</v>
      </c>
      <c r="N4" t="s">
        <v>70</v>
      </c>
      <c r="P4" t="s">
        <v>79</v>
      </c>
      <c r="R4" t="s">
        <v>5169</v>
      </c>
      <c r="S4" t="s">
        <v>5400</v>
      </c>
      <c r="U4" t="s">
        <v>5465</v>
      </c>
    </row>
    <row r="5" spans="1:21" x14ac:dyDescent="0.3">
      <c r="A5" t="s">
        <v>3928</v>
      </c>
      <c r="C5" t="s">
        <v>8</v>
      </c>
      <c r="E5" t="s">
        <v>22</v>
      </c>
      <c r="G5" t="s">
        <v>30</v>
      </c>
      <c r="I5" t="s">
        <v>37</v>
      </c>
      <c r="K5" t="s">
        <v>5458</v>
      </c>
      <c r="L5" t="b">
        <f>B36&lt;&gt;""</f>
        <v>0</v>
      </c>
      <c r="N5" t="s">
        <v>71</v>
      </c>
      <c r="P5" t="s">
        <v>80</v>
      </c>
      <c r="R5" t="s">
        <v>2258</v>
      </c>
      <c r="S5" t="s">
        <v>5401</v>
      </c>
      <c r="U5" t="s">
        <v>5466</v>
      </c>
    </row>
    <row r="6" spans="1:21" x14ac:dyDescent="0.3">
      <c r="C6" t="s">
        <v>9</v>
      </c>
      <c r="E6" t="s">
        <v>23</v>
      </c>
      <c r="G6" t="s">
        <v>31</v>
      </c>
      <c r="I6" t="s">
        <v>38</v>
      </c>
      <c r="N6" t="s">
        <v>72</v>
      </c>
      <c r="P6" t="s">
        <v>81</v>
      </c>
      <c r="R6" t="s">
        <v>251</v>
      </c>
      <c r="S6" t="s">
        <v>5402</v>
      </c>
      <c r="U6" t="s">
        <v>5467</v>
      </c>
    </row>
    <row r="7" spans="1:21" x14ac:dyDescent="0.3">
      <c r="A7" s="1" t="s">
        <v>5426</v>
      </c>
      <c r="C7" t="s">
        <v>10</v>
      </c>
      <c r="E7" t="s">
        <v>24</v>
      </c>
      <c r="G7" t="s">
        <v>32</v>
      </c>
      <c r="I7" t="s">
        <v>39</v>
      </c>
      <c r="N7" t="s">
        <v>73</v>
      </c>
      <c r="P7" t="s">
        <v>82</v>
      </c>
      <c r="R7" t="s">
        <v>986</v>
      </c>
      <c r="S7" t="s">
        <v>5403</v>
      </c>
    </row>
    <row r="8" spans="1:21" x14ac:dyDescent="0.3">
      <c r="A8" t="s">
        <v>5415</v>
      </c>
      <c r="E8" t="s">
        <v>25</v>
      </c>
      <c r="I8" t="s">
        <v>40</v>
      </c>
      <c r="N8" t="s">
        <v>74</v>
      </c>
      <c r="P8" t="s">
        <v>83</v>
      </c>
      <c r="R8" t="s">
        <v>1861</v>
      </c>
      <c r="S8" t="s">
        <v>5404</v>
      </c>
    </row>
    <row r="9" spans="1:21" x14ac:dyDescent="0.3">
      <c r="I9" t="s">
        <v>41</v>
      </c>
      <c r="N9" t="s">
        <v>75</v>
      </c>
      <c r="P9" t="s">
        <v>84</v>
      </c>
      <c r="R9" t="s">
        <v>1862</v>
      </c>
      <c r="S9" t="s">
        <v>5405</v>
      </c>
    </row>
    <row r="10" spans="1:21" x14ac:dyDescent="0.3">
      <c r="I10" t="s">
        <v>42</v>
      </c>
      <c r="P10" t="s">
        <v>85</v>
      </c>
      <c r="R10" t="s">
        <v>3873</v>
      </c>
      <c r="S10" t="s">
        <v>5406</v>
      </c>
    </row>
    <row r="11" spans="1:21" x14ac:dyDescent="0.3">
      <c r="I11" t="s">
        <v>43</v>
      </c>
      <c r="P11" t="s">
        <v>86</v>
      </c>
      <c r="R11" t="s">
        <v>4236</v>
      </c>
      <c r="S11" t="s">
        <v>5407</v>
      </c>
    </row>
    <row r="12" spans="1:21" x14ac:dyDescent="0.3">
      <c r="I12" t="s">
        <v>44</v>
      </c>
      <c r="R12" t="s">
        <v>252</v>
      </c>
      <c r="S12" t="s">
        <v>5408</v>
      </c>
    </row>
    <row r="13" spans="1:21" x14ac:dyDescent="0.3">
      <c r="A13" s="1" t="s">
        <v>5445</v>
      </c>
      <c r="I13" t="s">
        <v>45</v>
      </c>
      <c r="K13" t="str">
        <f>IF(L1=0,"TUDO OK",L1&amp;" CADASTROS INICIAIS NECESSÁRIOS")</f>
        <v>3 CADASTROS INICIAIS NECESSÁRIOS</v>
      </c>
      <c r="R13" t="s">
        <v>4237</v>
      </c>
      <c r="S13" t="s">
        <v>5409</v>
      </c>
    </row>
    <row r="14" spans="1:21" x14ac:dyDescent="0.3">
      <c r="A14" t="s">
        <v>11147</v>
      </c>
      <c r="R14" t="s">
        <v>2259</v>
      </c>
      <c r="S14" t="s">
        <v>5410</v>
      </c>
    </row>
    <row r="15" spans="1:21" x14ac:dyDescent="0.3">
      <c r="R15" t="s">
        <v>1533</v>
      </c>
      <c r="S15" t="s">
        <v>5411</v>
      </c>
    </row>
    <row r="16" spans="1:21" x14ac:dyDescent="0.3">
      <c r="A16" s="1" t="s">
        <v>5446</v>
      </c>
      <c r="R16" t="s">
        <v>411</v>
      </c>
      <c r="S16" t="s">
        <v>5412</v>
      </c>
    </row>
    <row r="17" spans="1:19" x14ac:dyDescent="0.3">
      <c r="A17" t="s">
        <v>10807</v>
      </c>
      <c r="R17" t="s">
        <v>2260</v>
      </c>
      <c r="S17" t="s">
        <v>5413</v>
      </c>
    </row>
    <row r="18" spans="1:19" x14ac:dyDescent="0.3">
      <c r="R18" t="s">
        <v>548</v>
      </c>
      <c r="S18" t="s">
        <v>5414</v>
      </c>
    </row>
    <row r="19" spans="1:19" x14ac:dyDescent="0.3">
      <c r="A19" s="1" t="s">
        <v>5444</v>
      </c>
      <c r="R19" t="s">
        <v>1863</v>
      </c>
      <c r="S19" t="s">
        <v>5415</v>
      </c>
    </row>
    <row r="20" spans="1:19" x14ac:dyDescent="0.3">
      <c r="A20" s="21" t="s">
        <v>11148</v>
      </c>
      <c r="R20" t="s">
        <v>253</v>
      </c>
      <c r="S20" t="s">
        <v>5416</v>
      </c>
    </row>
    <row r="21" spans="1:19" x14ac:dyDescent="0.3">
      <c r="R21" t="s">
        <v>987</v>
      </c>
      <c r="S21" t="s">
        <v>5417</v>
      </c>
    </row>
    <row r="22" spans="1:19" x14ac:dyDescent="0.3">
      <c r="A22" s="1" t="s">
        <v>5460</v>
      </c>
      <c r="R22" t="s">
        <v>988</v>
      </c>
      <c r="S22" t="s">
        <v>5418</v>
      </c>
    </row>
    <row r="23" spans="1:19" x14ac:dyDescent="0.3">
      <c r="A23" t="s">
        <v>11149</v>
      </c>
      <c r="R23" t="s">
        <v>1166</v>
      </c>
      <c r="S23" t="s">
        <v>5419</v>
      </c>
    </row>
    <row r="24" spans="1:19" x14ac:dyDescent="0.3">
      <c r="R24" t="s">
        <v>763</v>
      </c>
      <c r="S24" t="s">
        <v>5420</v>
      </c>
    </row>
    <row r="25" spans="1:19" x14ac:dyDescent="0.3">
      <c r="B25" s="1" t="s">
        <v>5454</v>
      </c>
      <c r="C25" s="1" t="s">
        <v>5451</v>
      </c>
      <c r="D25" s="1" t="s">
        <v>5455</v>
      </c>
      <c r="R25" t="s">
        <v>4496</v>
      </c>
      <c r="S25" t="s">
        <v>5421</v>
      </c>
    </row>
    <row r="26" spans="1:19" x14ac:dyDescent="0.3">
      <c r="A26" s="1" t="s">
        <v>5451</v>
      </c>
      <c r="R26" t="s">
        <v>989</v>
      </c>
      <c r="S26" t="s">
        <v>5422</v>
      </c>
    </row>
    <row r="27" spans="1:19" x14ac:dyDescent="0.3">
      <c r="A27" s="1" t="s">
        <v>5452</v>
      </c>
      <c r="R27" t="s">
        <v>5036</v>
      </c>
      <c r="S27" t="s">
        <v>5423</v>
      </c>
    </row>
    <row r="28" spans="1:19" x14ac:dyDescent="0.3">
      <c r="A28" s="1" t="s">
        <v>5453</v>
      </c>
      <c r="R28" t="s">
        <v>152</v>
      </c>
      <c r="S28" t="s">
        <v>5424</v>
      </c>
    </row>
    <row r="29" spans="1:19" x14ac:dyDescent="0.3">
      <c r="R29" t="s">
        <v>5170</v>
      </c>
    </row>
    <row r="30" spans="1:19" x14ac:dyDescent="0.3">
      <c r="B30" t="s">
        <v>5454</v>
      </c>
      <c r="C30" t="s">
        <v>5451</v>
      </c>
      <c r="R30" t="s">
        <v>1167</v>
      </c>
    </row>
    <row r="31" spans="1:19" x14ac:dyDescent="0.3">
      <c r="A31" s="1" t="s">
        <v>5456</v>
      </c>
      <c r="R31" t="s">
        <v>2261</v>
      </c>
    </row>
    <row r="32" spans="1:19" x14ac:dyDescent="0.3">
      <c r="R32" t="s">
        <v>3253</v>
      </c>
    </row>
    <row r="33" spans="1:18" x14ac:dyDescent="0.3">
      <c r="B33" t="s">
        <v>5457</v>
      </c>
      <c r="R33" t="s">
        <v>5171</v>
      </c>
    </row>
    <row r="34" spans="1:18" x14ac:dyDescent="0.3">
      <c r="A34" s="1" t="s">
        <v>5459</v>
      </c>
      <c r="R34" t="s">
        <v>3254</v>
      </c>
    </row>
    <row r="35" spans="1:18" x14ac:dyDescent="0.3">
      <c r="R35" t="s">
        <v>3874</v>
      </c>
    </row>
    <row r="36" spans="1:18" x14ac:dyDescent="0.3">
      <c r="A36" s="1" t="s">
        <v>5458</v>
      </c>
      <c r="B36" s="21"/>
      <c r="R36" t="s">
        <v>1864</v>
      </c>
    </row>
    <row r="37" spans="1:18" x14ac:dyDescent="0.3">
      <c r="R37" t="s">
        <v>1534</v>
      </c>
    </row>
    <row r="38" spans="1:18" x14ac:dyDescent="0.3">
      <c r="R38" t="s">
        <v>1168</v>
      </c>
    </row>
    <row r="39" spans="1:18" x14ac:dyDescent="0.3">
      <c r="R39" t="s">
        <v>3092</v>
      </c>
    </row>
    <row r="40" spans="1:18" x14ac:dyDescent="0.3">
      <c r="R40" t="s">
        <v>549</v>
      </c>
    </row>
    <row r="41" spans="1:18" x14ac:dyDescent="0.3">
      <c r="R41" t="s">
        <v>1535</v>
      </c>
    </row>
    <row r="42" spans="1:18" x14ac:dyDescent="0.3">
      <c r="R42" t="s">
        <v>254</v>
      </c>
    </row>
    <row r="43" spans="1:18" x14ac:dyDescent="0.3">
      <c r="R43" t="s">
        <v>1536</v>
      </c>
    </row>
    <row r="44" spans="1:18" x14ac:dyDescent="0.3">
      <c r="R44" t="s">
        <v>764</v>
      </c>
    </row>
    <row r="45" spans="1:18" x14ac:dyDescent="0.3">
      <c r="R45" t="s">
        <v>4238</v>
      </c>
    </row>
    <row r="46" spans="1:18" x14ac:dyDescent="0.3">
      <c r="R46" t="s">
        <v>4239</v>
      </c>
    </row>
    <row r="47" spans="1:18" x14ac:dyDescent="0.3">
      <c r="R47" t="s">
        <v>255</v>
      </c>
    </row>
    <row r="48" spans="1:18" x14ac:dyDescent="0.3">
      <c r="R48" t="s">
        <v>2262</v>
      </c>
    </row>
    <row r="49" spans="18:18" x14ac:dyDescent="0.3">
      <c r="R49" t="s">
        <v>2262</v>
      </c>
    </row>
    <row r="50" spans="18:18" x14ac:dyDescent="0.3">
      <c r="R50" t="s">
        <v>765</v>
      </c>
    </row>
    <row r="51" spans="18:18" x14ac:dyDescent="0.3">
      <c r="R51" t="s">
        <v>765</v>
      </c>
    </row>
    <row r="52" spans="18:18" x14ac:dyDescent="0.3">
      <c r="R52" t="s">
        <v>765</v>
      </c>
    </row>
    <row r="53" spans="18:18" x14ac:dyDescent="0.3">
      <c r="R53" t="s">
        <v>4966</v>
      </c>
    </row>
    <row r="54" spans="18:18" x14ac:dyDescent="0.3">
      <c r="R54" t="s">
        <v>2263</v>
      </c>
    </row>
    <row r="55" spans="18:18" x14ac:dyDescent="0.3">
      <c r="R55" t="s">
        <v>4240</v>
      </c>
    </row>
    <row r="56" spans="18:18" x14ac:dyDescent="0.3">
      <c r="R56" t="s">
        <v>550</v>
      </c>
    </row>
    <row r="57" spans="18:18" x14ac:dyDescent="0.3">
      <c r="R57" t="s">
        <v>3094</v>
      </c>
    </row>
    <row r="58" spans="18:18" x14ac:dyDescent="0.3">
      <c r="R58" t="s">
        <v>1865</v>
      </c>
    </row>
    <row r="59" spans="18:18" x14ac:dyDescent="0.3">
      <c r="R59" t="s">
        <v>5172</v>
      </c>
    </row>
    <row r="60" spans="18:18" x14ac:dyDescent="0.3">
      <c r="R60" t="s">
        <v>5173</v>
      </c>
    </row>
    <row r="61" spans="18:18" x14ac:dyDescent="0.3">
      <c r="R61" t="s">
        <v>1169</v>
      </c>
    </row>
    <row r="62" spans="18:18" x14ac:dyDescent="0.3">
      <c r="R62" t="s">
        <v>1537</v>
      </c>
    </row>
    <row r="63" spans="18:18" x14ac:dyDescent="0.3">
      <c r="R63" t="s">
        <v>4497</v>
      </c>
    </row>
    <row r="64" spans="18:18" x14ac:dyDescent="0.3">
      <c r="R64" t="s">
        <v>3255</v>
      </c>
    </row>
    <row r="65" spans="18:18" x14ac:dyDescent="0.3">
      <c r="R65" t="s">
        <v>2264</v>
      </c>
    </row>
    <row r="66" spans="18:18" x14ac:dyDescent="0.3">
      <c r="R66" t="s">
        <v>1538</v>
      </c>
    </row>
    <row r="67" spans="18:18" x14ac:dyDescent="0.3">
      <c r="R67" t="s">
        <v>3256</v>
      </c>
    </row>
    <row r="68" spans="18:18" x14ac:dyDescent="0.3">
      <c r="R68" t="s">
        <v>4241</v>
      </c>
    </row>
    <row r="69" spans="18:18" x14ac:dyDescent="0.3">
      <c r="R69" t="s">
        <v>3257</v>
      </c>
    </row>
    <row r="70" spans="18:18" x14ac:dyDescent="0.3">
      <c r="R70" t="s">
        <v>3258</v>
      </c>
    </row>
    <row r="71" spans="18:18" x14ac:dyDescent="0.3">
      <c r="R71" t="s">
        <v>3259</v>
      </c>
    </row>
    <row r="72" spans="18:18" x14ac:dyDescent="0.3">
      <c r="R72" t="s">
        <v>2265</v>
      </c>
    </row>
    <row r="73" spans="18:18" x14ac:dyDescent="0.3">
      <c r="R73" t="s">
        <v>4242</v>
      </c>
    </row>
    <row r="74" spans="18:18" x14ac:dyDescent="0.3">
      <c r="R74" t="s">
        <v>5174</v>
      </c>
    </row>
    <row r="75" spans="18:18" x14ac:dyDescent="0.3">
      <c r="R75" t="s">
        <v>4243</v>
      </c>
    </row>
    <row r="76" spans="18:18" x14ac:dyDescent="0.3">
      <c r="R76" t="s">
        <v>2266</v>
      </c>
    </row>
    <row r="77" spans="18:18" x14ac:dyDescent="0.3">
      <c r="R77" t="s">
        <v>4498</v>
      </c>
    </row>
    <row r="78" spans="18:18" x14ac:dyDescent="0.3">
      <c r="R78" t="s">
        <v>3260</v>
      </c>
    </row>
    <row r="79" spans="18:18" x14ac:dyDescent="0.3">
      <c r="R79" t="s">
        <v>3875</v>
      </c>
    </row>
    <row r="80" spans="18:18" x14ac:dyDescent="0.3">
      <c r="R80" t="s">
        <v>3093</v>
      </c>
    </row>
    <row r="81" spans="18:18" x14ac:dyDescent="0.3">
      <c r="R81" t="s">
        <v>1329</v>
      </c>
    </row>
    <row r="82" spans="18:18" x14ac:dyDescent="0.3">
      <c r="R82" t="s">
        <v>412</v>
      </c>
    </row>
    <row r="83" spans="18:18" x14ac:dyDescent="0.3">
      <c r="R83" t="s">
        <v>2267</v>
      </c>
    </row>
    <row r="84" spans="18:18" x14ac:dyDescent="0.3">
      <c r="R84" t="s">
        <v>1867</v>
      </c>
    </row>
    <row r="85" spans="18:18" x14ac:dyDescent="0.3">
      <c r="R85" t="s">
        <v>990</v>
      </c>
    </row>
    <row r="86" spans="18:18" x14ac:dyDescent="0.3">
      <c r="R86" t="s">
        <v>2268</v>
      </c>
    </row>
    <row r="87" spans="18:18" x14ac:dyDescent="0.3">
      <c r="R87" t="s">
        <v>4499</v>
      </c>
    </row>
    <row r="88" spans="18:18" x14ac:dyDescent="0.3">
      <c r="R88" t="s">
        <v>2269</v>
      </c>
    </row>
    <row r="89" spans="18:18" x14ac:dyDescent="0.3">
      <c r="R89" t="s">
        <v>1330</v>
      </c>
    </row>
    <row r="90" spans="18:18" x14ac:dyDescent="0.3">
      <c r="R90" t="s">
        <v>1331</v>
      </c>
    </row>
    <row r="91" spans="18:18" x14ac:dyDescent="0.3">
      <c r="R91" t="s">
        <v>1332</v>
      </c>
    </row>
    <row r="92" spans="18:18" x14ac:dyDescent="0.3">
      <c r="R92" t="s">
        <v>1332</v>
      </c>
    </row>
    <row r="93" spans="18:18" x14ac:dyDescent="0.3">
      <c r="R93" t="s">
        <v>766</v>
      </c>
    </row>
    <row r="94" spans="18:18" x14ac:dyDescent="0.3">
      <c r="R94" t="s">
        <v>1868</v>
      </c>
    </row>
    <row r="95" spans="18:18" x14ac:dyDescent="0.3">
      <c r="R95" t="s">
        <v>3261</v>
      </c>
    </row>
    <row r="96" spans="18:18" x14ac:dyDescent="0.3">
      <c r="R96" t="s">
        <v>2270</v>
      </c>
    </row>
    <row r="97" spans="18:18" x14ac:dyDescent="0.3">
      <c r="R97" t="s">
        <v>551</v>
      </c>
    </row>
    <row r="98" spans="18:18" x14ac:dyDescent="0.3">
      <c r="R98" t="s">
        <v>991</v>
      </c>
    </row>
    <row r="99" spans="18:18" x14ac:dyDescent="0.3">
      <c r="R99" t="s">
        <v>1333</v>
      </c>
    </row>
    <row r="100" spans="18:18" x14ac:dyDescent="0.3">
      <c r="R100" t="s">
        <v>4967</v>
      </c>
    </row>
    <row r="101" spans="18:18" x14ac:dyDescent="0.3">
      <c r="R101" t="s">
        <v>1869</v>
      </c>
    </row>
    <row r="102" spans="18:18" x14ac:dyDescent="0.3">
      <c r="R102" t="s">
        <v>552</v>
      </c>
    </row>
    <row r="103" spans="18:18" x14ac:dyDescent="0.3">
      <c r="R103" t="s">
        <v>4500</v>
      </c>
    </row>
    <row r="104" spans="18:18" x14ac:dyDescent="0.3">
      <c r="R104" t="s">
        <v>3095</v>
      </c>
    </row>
    <row r="105" spans="18:18" x14ac:dyDescent="0.3">
      <c r="R105" t="s">
        <v>4501</v>
      </c>
    </row>
    <row r="106" spans="18:18" x14ac:dyDescent="0.3">
      <c r="R106" t="s">
        <v>767</v>
      </c>
    </row>
    <row r="107" spans="18:18" x14ac:dyDescent="0.3">
      <c r="R107" t="s">
        <v>4502</v>
      </c>
    </row>
    <row r="108" spans="18:18" x14ac:dyDescent="0.3">
      <c r="R108" t="s">
        <v>2271</v>
      </c>
    </row>
    <row r="109" spans="18:18" x14ac:dyDescent="0.3">
      <c r="R109" t="s">
        <v>256</v>
      </c>
    </row>
    <row r="110" spans="18:18" x14ac:dyDescent="0.3">
      <c r="R110" t="s">
        <v>1170</v>
      </c>
    </row>
    <row r="111" spans="18:18" x14ac:dyDescent="0.3">
      <c r="R111" t="s">
        <v>5175</v>
      </c>
    </row>
    <row r="112" spans="18:18" x14ac:dyDescent="0.3">
      <c r="R112" t="s">
        <v>2272</v>
      </c>
    </row>
    <row r="113" spans="18:18" x14ac:dyDescent="0.3">
      <c r="R113" t="s">
        <v>3096</v>
      </c>
    </row>
    <row r="114" spans="18:18" x14ac:dyDescent="0.3">
      <c r="R114" t="s">
        <v>3262</v>
      </c>
    </row>
    <row r="115" spans="18:18" x14ac:dyDescent="0.3">
      <c r="R115" t="s">
        <v>2273</v>
      </c>
    </row>
    <row r="116" spans="18:18" x14ac:dyDescent="0.3">
      <c r="R116" t="s">
        <v>4244</v>
      </c>
    </row>
    <row r="117" spans="18:18" x14ac:dyDescent="0.3">
      <c r="R117" t="s">
        <v>1334</v>
      </c>
    </row>
    <row r="118" spans="18:18" x14ac:dyDescent="0.3">
      <c r="R118" t="s">
        <v>1335</v>
      </c>
    </row>
    <row r="119" spans="18:18" x14ac:dyDescent="0.3">
      <c r="R119" t="s">
        <v>1539</v>
      </c>
    </row>
    <row r="120" spans="18:18" x14ac:dyDescent="0.3">
      <c r="R120" t="s">
        <v>413</v>
      </c>
    </row>
    <row r="121" spans="18:18" x14ac:dyDescent="0.3">
      <c r="R121" t="s">
        <v>1870</v>
      </c>
    </row>
    <row r="122" spans="18:18" x14ac:dyDescent="0.3">
      <c r="R122" t="s">
        <v>414</v>
      </c>
    </row>
    <row r="123" spans="18:18" x14ac:dyDescent="0.3">
      <c r="R123" t="s">
        <v>257</v>
      </c>
    </row>
    <row r="124" spans="18:18" x14ac:dyDescent="0.3">
      <c r="R124" t="s">
        <v>2274</v>
      </c>
    </row>
    <row r="125" spans="18:18" x14ac:dyDescent="0.3">
      <c r="R125" t="s">
        <v>1171</v>
      </c>
    </row>
    <row r="126" spans="18:18" x14ac:dyDescent="0.3">
      <c r="R126" t="s">
        <v>3876</v>
      </c>
    </row>
    <row r="127" spans="18:18" x14ac:dyDescent="0.3">
      <c r="R127" t="s">
        <v>4503</v>
      </c>
    </row>
    <row r="128" spans="18:18" x14ac:dyDescent="0.3">
      <c r="R128" t="s">
        <v>5176</v>
      </c>
    </row>
    <row r="129" spans="18:18" x14ac:dyDescent="0.3">
      <c r="R129" t="s">
        <v>2275</v>
      </c>
    </row>
    <row r="130" spans="18:18" x14ac:dyDescent="0.3">
      <c r="R130" t="s">
        <v>4504</v>
      </c>
    </row>
    <row r="131" spans="18:18" x14ac:dyDescent="0.3">
      <c r="R131" t="s">
        <v>2276</v>
      </c>
    </row>
    <row r="132" spans="18:18" x14ac:dyDescent="0.3">
      <c r="R132" t="s">
        <v>5037</v>
      </c>
    </row>
    <row r="133" spans="18:18" x14ac:dyDescent="0.3">
      <c r="R133" t="s">
        <v>100</v>
      </c>
    </row>
    <row r="134" spans="18:18" x14ac:dyDescent="0.3">
      <c r="R134" t="s">
        <v>3263</v>
      </c>
    </row>
    <row r="135" spans="18:18" x14ac:dyDescent="0.3">
      <c r="R135" t="s">
        <v>258</v>
      </c>
    </row>
    <row r="136" spans="18:18" x14ac:dyDescent="0.3">
      <c r="R136" t="s">
        <v>553</v>
      </c>
    </row>
    <row r="137" spans="18:18" x14ac:dyDescent="0.3">
      <c r="R137" t="s">
        <v>3877</v>
      </c>
    </row>
    <row r="138" spans="18:18" x14ac:dyDescent="0.3">
      <c r="R138" t="s">
        <v>992</v>
      </c>
    </row>
    <row r="139" spans="18:18" x14ac:dyDescent="0.3">
      <c r="R139" t="s">
        <v>2277</v>
      </c>
    </row>
    <row r="140" spans="18:18" x14ac:dyDescent="0.3">
      <c r="R140" t="s">
        <v>1540</v>
      </c>
    </row>
    <row r="141" spans="18:18" x14ac:dyDescent="0.3">
      <c r="R141" t="s">
        <v>3264</v>
      </c>
    </row>
    <row r="142" spans="18:18" x14ac:dyDescent="0.3">
      <c r="R142" t="s">
        <v>237</v>
      </c>
    </row>
    <row r="143" spans="18:18" x14ac:dyDescent="0.3">
      <c r="R143" t="s">
        <v>237</v>
      </c>
    </row>
    <row r="144" spans="18:18" x14ac:dyDescent="0.3">
      <c r="R144" t="s">
        <v>237</v>
      </c>
    </row>
    <row r="145" spans="18:18" x14ac:dyDescent="0.3">
      <c r="R145" t="s">
        <v>554</v>
      </c>
    </row>
    <row r="146" spans="18:18" x14ac:dyDescent="0.3">
      <c r="R146" t="s">
        <v>555</v>
      </c>
    </row>
    <row r="147" spans="18:18" x14ac:dyDescent="0.3">
      <c r="R147" t="s">
        <v>125</v>
      </c>
    </row>
    <row r="148" spans="18:18" x14ac:dyDescent="0.3">
      <c r="R148" t="s">
        <v>5038</v>
      </c>
    </row>
    <row r="149" spans="18:18" x14ac:dyDescent="0.3">
      <c r="R149" t="s">
        <v>4245</v>
      </c>
    </row>
    <row r="150" spans="18:18" x14ac:dyDescent="0.3">
      <c r="R150" t="s">
        <v>5039</v>
      </c>
    </row>
    <row r="151" spans="18:18" x14ac:dyDescent="0.3">
      <c r="R151" t="s">
        <v>2278</v>
      </c>
    </row>
    <row r="152" spans="18:18" x14ac:dyDescent="0.3">
      <c r="R152" t="s">
        <v>1172</v>
      </c>
    </row>
    <row r="153" spans="18:18" x14ac:dyDescent="0.3">
      <c r="R153" t="s">
        <v>4505</v>
      </c>
    </row>
    <row r="154" spans="18:18" x14ac:dyDescent="0.3">
      <c r="R154" t="s">
        <v>5040</v>
      </c>
    </row>
    <row r="155" spans="18:18" x14ac:dyDescent="0.3">
      <c r="R155" t="s">
        <v>5177</v>
      </c>
    </row>
    <row r="156" spans="18:18" x14ac:dyDescent="0.3">
      <c r="R156" t="s">
        <v>2869</v>
      </c>
    </row>
    <row r="157" spans="18:18" x14ac:dyDescent="0.3">
      <c r="R157" t="s">
        <v>768</v>
      </c>
    </row>
    <row r="158" spans="18:18" x14ac:dyDescent="0.3">
      <c r="R158" t="s">
        <v>5041</v>
      </c>
    </row>
    <row r="159" spans="18:18" x14ac:dyDescent="0.3">
      <c r="R159" t="s">
        <v>126</v>
      </c>
    </row>
    <row r="160" spans="18:18" x14ac:dyDescent="0.3">
      <c r="R160" t="s">
        <v>126</v>
      </c>
    </row>
    <row r="161" spans="18:18" x14ac:dyDescent="0.3">
      <c r="R161" t="s">
        <v>5178</v>
      </c>
    </row>
    <row r="162" spans="18:18" x14ac:dyDescent="0.3">
      <c r="R162" t="s">
        <v>3879</v>
      </c>
    </row>
    <row r="163" spans="18:18" x14ac:dyDescent="0.3">
      <c r="R163" t="s">
        <v>556</v>
      </c>
    </row>
    <row r="164" spans="18:18" x14ac:dyDescent="0.3">
      <c r="R164" t="s">
        <v>3880</v>
      </c>
    </row>
    <row r="165" spans="18:18" x14ac:dyDescent="0.3">
      <c r="R165" t="s">
        <v>2279</v>
      </c>
    </row>
    <row r="166" spans="18:18" x14ac:dyDescent="0.3">
      <c r="R166" t="s">
        <v>3097</v>
      </c>
    </row>
    <row r="167" spans="18:18" x14ac:dyDescent="0.3">
      <c r="R167" t="s">
        <v>993</v>
      </c>
    </row>
    <row r="168" spans="18:18" x14ac:dyDescent="0.3">
      <c r="R168" t="s">
        <v>5042</v>
      </c>
    </row>
    <row r="169" spans="18:18" x14ac:dyDescent="0.3">
      <c r="R169" t="s">
        <v>3878</v>
      </c>
    </row>
    <row r="170" spans="18:18" x14ac:dyDescent="0.3">
      <c r="R170" t="s">
        <v>769</v>
      </c>
    </row>
    <row r="171" spans="18:18" x14ac:dyDescent="0.3">
      <c r="R171" t="s">
        <v>3265</v>
      </c>
    </row>
    <row r="172" spans="18:18" x14ac:dyDescent="0.3">
      <c r="R172" t="s">
        <v>174</v>
      </c>
    </row>
    <row r="173" spans="18:18" x14ac:dyDescent="0.3">
      <c r="R173" t="s">
        <v>2280</v>
      </c>
    </row>
    <row r="174" spans="18:18" x14ac:dyDescent="0.3">
      <c r="R174" t="s">
        <v>3266</v>
      </c>
    </row>
    <row r="175" spans="18:18" x14ac:dyDescent="0.3">
      <c r="R175" t="s">
        <v>3267</v>
      </c>
    </row>
    <row r="176" spans="18:18" x14ac:dyDescent="0.3">
      <c r="R176" t="s">
        <v>3268</v>
      </c>
    </row>
    <row r="177" spans="18:18" x14ac:dyDescent="0.3">
      <c r="R177" t="s">
        <v>3269</v>
      </c>
    </row>
    <row r="178" spans="18:18" x14ac:dyDescent="0.3">
      <c r="R178" t="s">
        <v>2281</v>
      </c>
    </row>
    <row r="179" spans="18:18" x14ac:dyDescent="0.3">
      <c r="R179" t="s">
        <v>415</v>
      </c>
    </row>
    <row r="180" spans="18:18" x14ac:dyDescent="0.3">
      <c r="R180" t="s">
        <v>415</v>
      </c>
    </row>
    <row r="181" spans="18:18" x14ac:dyDescent="0.3">
      <c r="R181" t="s">
        <v>2282</v>
      </c>
    </row>
    <row r="182" spans="18:18" x14ac:dyDescent="0.3">
      <c r="R182" t="s">
        <v>770</v>
      </c>
    </row>
    <row r="183" spans="18:18" x14ac:dyDescent="0.3">
      <c r="R183" t="s">
        <v>5179</v>
      </c>
    </row>
    <row r="184" spans="18:18" x14ac:dyDescent="0.3">
      <c r="R184" t="s">
        <v>3881</v>
      </c>
    </row>
    <row r="185" spans="18:18" x14ac:dyDescent="0.3">
      <c r="R185" t="s">
        <v>124</v>
      </c>
    </row>
    <row r="186" spans="18:18" x14ac:dyDescent="0.3">
      <c r="R186" t="s">
        <v>236</v>
      </c>
    </row>
    <row r="187" spans="18:18" x14ac:dyDescent="0.3">
      <c r="R187" t="s">
        <v>4968</v>
      </c>
    </row>
    <row r="188" spans="18:18" x14ac:dyDescent="0.3">
      <c r="R188" t="s">
        <v>396</v>
      </c>
    </row>
    <row r="189" spans="18:18" x14ac:dyDescent="0.3">
      <c r="R189" t="s">
        <v>557</v>
      </c>
    </row>
    <row r="190" spans="18:18" x14ac:dyDescent="0.3">
      <c r="R190" t="s">
        <v>3882</v>
      </c>
    </row>
    <row r="191" spans="18:18" x14ac:dyDescent="0.3">
      <c r="R191" t="s">
        <v>1541</v>
      </c>
    </row>
    <row r="192" spans="18:18" x14ac:dyDescent="0.3">
      <c r="R192" t="s">
        <v>4506</v>
      </c>
    </row>
    <row r="193" spans="18:18" x14ac:dyDescent="0.3">
      <c r="R193" t="s">
        <v>5180</v>
      </c>
    </row>
    <row r="194" spans="18:18" x14ac:dyDescent="0.3">
      <c r="R194" t="s">
        <v>771</v>
      </c>
    </row>
    <row r="195" spans="18:18" x14ac:dyDescent="0.3">
      <c r="R195" t="s">
        <v>558</v>
      </c>
    </row>
    <row r="196" spans="18:18" x14ac:dyDescent="0.3">
      <c r="R196" t="s">
        <v>1871</v>
      </c>
    </row>
    <row r="197" spans="18:18" x14ac:dyDescent="0.3">
      <c r="R197" t="s">
        <v>175</v>
      </c>
    </row>
    <row r="198" spans="18:18" x14ac:dyDescent="0.3">
      <c r="R198" t="s">
        <v>1872</v>
      </c>
    </row>
    <row r="199" spans="18:18" x14ac:dyDescent="0.3">
      <c r="R199" t="s">
        <v>1873</v>
      </c>
    </row>
    <row r="200" spans="18:18" x14ac:dyDescent="0.3">
      <c r="R200" t="s">
        <v>3270</v>
      </c>
    </row>
    <row r="201" spans="18:18" x14ac:dyDescent="0.3">
      <c r="R201" t="s">
        <v>5181</v>
      </c>
    </row>
    <row r="202" spans="18:18" x14ac:dyDescent="0.3">
      <c r="R202" t="s">
        <v>3271</v>
      </c>
    </row>
    <row r="203" spans="18:18" x14ac:dyDescent="0.3">
      <c r="R203" t="s">
        <v>3272</v>
      </c>
    </row>
    <row r="204" spans="18:18" x14ac:dyDescent="0.3">
      <c r="R204" t="s">
        <v>4507</v>
      </c>
    </row>
    <row r="205" spans="18:18" x14ac:dyDescent="0.3">
      <c r="R205" t="s">
        <v>994</v>
      </c>
    </row>
    <row r="206" spans="18:18" x14ac:dyDescent="0.3">
      <c r="R206" t="s">
        <v>5182</v>
      </c>
    </row>
    <row r="207" spans="18:18" x14ac:dyDescent="0.3">
      <c r="R207" t="s">
        <v>1337</v>
      </c>
    </row>
    <row r="208" spans="18:18" x14ac:dyDescent="0.3">
      <c r="R208" t="s">
        <v>1337</v>
      </c>
    </row>
    <row r="209" spans="18:18" x14ac:dyDescent="0.3">
      <c r="R209" t="s">
        <v>1794</v>
      </c>
    </row>
    <row r="210" spans="18:18" x14ac:dyDescent="0.3">
      <c r="R210" t="s">
        <v>2283</v>
      </c>
    </row>
    <row r="211" spans="18:18" x14ac:dyDescent="0.3">
      <c r="R211" t="s">
        <v>3883</v>
      </c>
    </row>
    <row r="212" spans="18:18" x14ac:dyDescent="0.3">
      <c r="R212" t="s">
        <v>1700</v>
      </c>
    </row>
    <row r="213" spans="18:18" x14ac:dyDescent="0.3">
      <c r="R213" t="s">
        <v>1874</v>
      </c>
    </row>
    <row r="214" spans="18:18" x14ac:dyDescent="0.3">
      <c r="R214" t="s">
        <v>3884</v>
      </c>
    </row>
    <row r="215" spans="18:18" x14ac:dyDescent="0.3">
      <c r="R215" t="s">
        <v>259</v>
      </c>
    </row>
    <row r="216" spans="18:18" x14ac:dyDescent="0.3">
      <c r="R216" t="s">
        <v>559</v>
      </c>
    </row>
    <row r="217" spans="18:18" x14ac:dyDescent="0.3">
      <c r="R217" t="s">
        <v>3273</v>
      </c>
    </row>
    <row r="218" spans="18:18" x14ac:dyDescent="0.3">
      <c r="R218" t="s">
        <v>176</v>
      </c>
    </row>
    <row r="219" spans="18:18" x14ac:dyDescent="0.3">
      <c r="R219" t="s">
        <v>416</v>
      </c>
    </row>
    <row r="220" spans="18:18" x14ac:dyDescent="0.3">
      <c r="R220" t="s">
        <v>260</v>
      </c>
    </row>
    <row r="221" spans="18:18" x14ac:dyDescent="0.3">
      <c r="R221" t="s">
        <v>5183</v>
      </c>
    </row>
    <row r="222" spans="18:18" x14ac:dyDescent="0.3">
      <c r="R222" t="s">
        <v>261</v>
      </c>
    </row>
    <row r="223" spans="18:18" x14ac:dyDescent="0.3">
      <c r="R223" t="s">
        <v>560</v>
      </c>
    </row>
    <row r="224" spans="18:18" x14ac:dyDescent="0.3">
      <c r="R224" t="s">
        <v>4969</v>
      </c>
    </row>
    <row r="225" spans="18:18" x14ac:dyDescent="0.3">
      <c r="R225" t="s">
        <v>4970</v>
      </c>
    </row>
    <row r="226" spans="18:18" x14ac:dyDescent="0.3">
      <c r="R226" t="s">
        <v>3098</v>
      </c>
    </row>
    <row r="227" spans="18:18" x14ac:dyDescent="0.3">
      <c r="R227" t="s">
        <v>3098</v>
      </c>
    </row>
    <row r="228" spans="18:18" x14ac:dyDescent="0.3">
      <c r="R228" t="s">
        <v>1875</v>
      </c>
    </row>
    <row r="229" spans="18:18" x14ac:dyDescent="0.3">
      <c r="R229" t="s">
        <v>3885</v>
      </c>
    </row>
    <row r="230" spans="18:18" x14ac:dyDescent="0.3">
      <c r="R230" t="s">
        <v>1876</v>
      </c>
    </row>
    <row r="231" spans="18:18" x14ac:dyDescent="0.3">
      <c r="R231" t="s">
        <v>2284</v>
      </c>
    </row>
    <row r="232" spans="18:18" x14ac:dyDescent="0.3">
      <c r="R232" t="s">
        <v>3274</v>
      </c>
    </row>
    <row r="233" spans="18:18" x14ac:dyDescent="0.3">
      <c r="R233" t="s">
        <v>4508</v>
      </c>
    </row>
    <row r="234" spans="18:18" x14ac:dyDescent="0.3">
      <c r="R234" t="s">
        <v>2286</v>
      </c>
    </row>
    <row r="235" spans="18:18" x14ac:dyDescent="0.3">
      <c r="R235" t="s">
        <v>3275</v>
      </c>
    </row>
    <row r="236" spans="18:18" x14ac:dyDescent="0.3">
      <c r="R236" t="s">
        <v>2287</v>
      </c>
    </row>
    <row r="237" spans="18:18" x14ac:dyDescent="0.3">
      <c r="R237" t="s">
        <v>4971</v>
      </c>
    </row>
    <row r="238" spans="18:18" x14ac:dyDescent="0.3">
      <c r="R238" t="s">
        <v>1542</v>
      </c>
    </row>
    <row r="239" spans="18:18" x14ac:dyDescent="0.3">
      <c r="R239" t="s">
        <v>4246</v>
      </c>
    </row>
    <row r="240" spans="18:18" x14ac:dyDescent="0.3">
      <c r="R240" t="s">
        <v>1877</v>
      </c>
    </row>
    <row r="241" spans="18:18" x14ac:dyDescent="0.3">
      <c r="R241" t="s">
        <v>772</v>
      </c>
    </row>
    <row r="242" spans="18:18" x14ac:dyDescent="0.3">
      <c r="R242" t="s">
        <v>417</v>
      </c>
    </row>
    <row r="243" spans="18:18" x14ac:dyDescent="0.3">
      <c r="R243" t="s">
        <v>1173</v>
      </c>
    </row>
    <row r="244" spans="18:18" x14ac:dyDescent="0.3">
      <c r="R244" t="s">
        <v>3167</v>
      </c>
    </row>
    <row r="245" spans="18:18" x14ac:dyDescent="0.3">
      <c r="R245" t="s">
        <v>1878</v>
      </c>
    </row>
    <row r="246" spans="18:18" x14ac:dyDescent="0.3">
      <c r="R246" t="s">
        <v>3886</v>
      </c>
    </row>
    <row r="247" spans="18:18" x14ac:dyDescent="0.3">
      <c r="R247" t="s">
        <v>5184</v>
      </c>
    </row>
    <row r="248" spans="18:18" x14ac:dyDescent="0.3">
      <c r="R248" t="s">
        <v>3276</v>
      </c>
    </row>
    <row r="249" spans="18:18" x14ac:dyDescent="0.3">
      <c r="R249" t="s">
        <v>3277</v>
      </c>
    </row>
    <row r="250" spans="18:18" x14ac:dyDescent="0.3">
      <c r="R250" t="s">
        <v>5185</v>
      </c>
    </row>
    <row r="251" spans="18:18" x14ac:dyDescent="0.3">
      <c r="R251" t="s">
        <v>773</v>
      </c>
    </row>
    <row r="252" spans="18:18" x14ac:dyDescent="0.3">
      <c r="R252" t="s">
        <v>4247</v>
      </c>
    </row>
    <row r="253" spans="18:18" x14ac:dyDescent="0.3">
      <c r="R253" t="s">
        <v>4248</v>
      </c>
    </row>
    <row r="254" spans="18:18" x14ac:dyDescent="0.3">
      <c r="R254" t="s">
        <v>177</v>
      </c>
    </row>
    <row r="255" spans="18:18" x14ac:dyDescent="0.3">
      <c r="R255" t="s">
        <v>4509</v>
      </c>
    </row>
    <row r="256" spans="18:18" x14ac:dyDescent="0.3">
      <c r="R256" t="s">
        <v>1879</v>
      </c>
    </row>
    <row r="257" spans="18:18" x14ac:dyDescent="0.3">
      <c r="R257" t="s">
        <v>3887</v>
      </c>
    </row>
    <row r="258" spans="18:18" x14ac:dyDescent="0.3">
      <c r="R258" t="s">
        <v>995</v>
      </c>
    </row>
    <row r="259" spans="18:18" x14ac:dyDescent="0.3">
      <c r="R259" t="s">
        <v>774</v>
      </c>
    </row>
    <row r="260" spans="18:18" x14ac:dyDescent="0.3">
      <c r="R260" t="s">
        <v>1880</v>
      </c>
    </row>
    <row r="261" spans="18:18" x14ac:dyDescent="0.3">
      <c r="R261" t="s">
        <v>2288</v>
      </c>
    </row>
    <row r="262" spans="18:18" x14ac:dyDescent="0.3">
      <c r="R262" t="s">
        <v>2288</v>
      </c>
    </row>
    <row r="263" spans="18:18" x14ac:dyDescent="0.3">
      <c r="R263" t="s">
        <v>2289</v>
      </c>
    </row>
    <row r="264" spans="18:18" x14ac:dyDescent="0.3">
      <c r="R264" t="s">
        <v>1881</v>
      </c>
    </row>
    <row r="265" spans="18:18" x14ac:dyDescent="0.3">
      <c r="R265" t="s">
        <v>4972</v>
      </c>
    </row>
    <row r="266" spans="18:18" x14ac:dyDescent="0.3">
      <c r="R266" t="s">
        <v>1174</v>
      </c>
    </row>
    <row r="267" spans="18:18" x14ac:dyDescent="0.3">
      <c r="R267" t="s">
        <v>3888</v>
      </c>
    </row>
    <row r="268" spans="18:18" x14ac:dyDescent="0.3">
      <c r="R268" t="s">
        <v>4510</v>
      </c>
    </row>
    <row r="269" spans="18:18" x14ac:dyDescent="0.3">
      <c r="R269" t="s">
        <v>2290</v>
      </c>
    </row>
    <row r="270" spans="18:18" x14ac:dyDescent="0.3">
      <c r="R270" t="s">
        <v>1338</v>
      </c>
    </row>
    <row r="271" spans="18:18" x14ac:dyDescent="0.3">
      <c r="R271" t="s">
        <v>1338</v>
      </c>
    </row>
    <row r="272" spans="18:18" x14ac:dyDescent="0.3">
      <c r="R272" t="s">
        <v>5186</v>
      </c>
    </row>
    <row r="273" spans="18:18" x14ac:dyDescent="0.3">
      <c r="R273" t="s">
        <v>5187</v>
      </c>
    </row>
    <row r="274" spans="18:18" x14ac:dyDescent="0.3">
      <c r="R274" t="s">
        <v>418</v>
      </c>
    </row>
    <row r="275" spans="18:18" x14ac:dyDescent="0.3">
      <c r="R275" t="s">
        <v>4973</v>
      </c>
    </row>
    <row r="276" spans="18:18" x14ac:dyDescent="0.3">
      <c r="R276" t="s">
        <v>3278</v>
      </c>
    </row>
    <row r="277" spans="18:18" x14ac:dyDescent="0.3">
      <c r="R277" t="s">
        <v>3168</v>
      </c>
    </row>
    <row r="278" spans="18:18" x14ac:dyDescent="0.3">
      <c r="R278" t="s">
        <v>3099</v>
      </c>
    </row>
    <row r="279" spans="18:18" x14ac:dyDescent="0.3">
      <c r="R279" t="s">
        <v>5043</v>
      </c>
    </row>
    <row r="280" spans="18:18" x14ac:dyDescent="0.3">
      <c r="R280" t="s">
        <v>3279</v>
      </c>
    </row>
    <row r="281" spans="18:18" x14ac:dyDescent="0.3">
      <c r="R281" t="s">
        <v>561</v>
      </c>
    </row>
    <row r="282" spans="18:18" x14ac:dyDescent="0.3">
      <c r="R282" t="s">
        <v>4249</v>
      </c>
    </row>
    <row r="283" spans="18:18" x14ac:dyDescent="0.3">
      <c r="R283" t="s">
        <v>1175</v>
      </c>
    </row>
    <row r="284" spans="18:18" x14ac:dyDescent="0.3">
      <c r="R284" t="s">
        <v>1882</v>
      </c>
    </row>
    <row r="285" spans="18:18" x14ac:dyDescent="0.3">
      <c r="R285" t="s">
        <v>5188</v>
      </c>
    </row>
    <row r="286" spans="18:18" x14ac:dyDescent="0.3">
      <c r="R286" t="s">
        <v>1883</v>
      </c>
    </row>
    <row r="287" spans="18:18" x14ac:dyDescent="0.3">
      <c r="R287" t="s">
        <v>3889</v>
      </c>
    </row>
    <row r="288" spans="18:18" x14ac:dyDescent="0.3">
      <c r="R288" t="s">
        <v>178</v>
      </c>
    </row>
    <row r="289" spans="18:18" x14ac:dyDescent="0.3">
      <c r="R289" t="s">
        <v>996</v>
      </c>
    </row>
    <row r="290" spans="18:18" x14ac:dyDescent="0.3">
      <c r="R290" t="s">
        <v>1795</v>
      </c>
    </row>
    <row r="291" spans="18:18" x14ac:dyDescent="0.3">
      <c r="R291" t="s">
        <v>4974</v>
      </c>
    </row>
    <row r="292" spans="18:18" x14ac:dyDescent="0.3">
      <c r="R292" t="s">
        <v>997</v>
      </c>
    </row>
    <row r="293" spans="18:18" x14ac:dyDescent="0.3">
      <c r="R293" t="s">
        <v>4250</v>
      </c>
    </row>
    <row r="294" spans="18:18" x14ac:dyDescent="0.3">
      <c r="R294" t="s">
        <v>1339</v>
      </c>
    </row>
    <row r="295" spans="18:18" x14ac:dyDescent="0.3">
      <c r="R295" t="s">
        <v>2291</v>
      </c>
    </row>
    <row r="296" spans="18:18" x14ac:dyDescent="0.3">
      <c r="R296" t="s">
        <v>1796</v>
      </c>
    </row>
    <row r="297" spans="18:18" x14ac:dyDescent="0.3">
      <c r="R297" t="s">
        <v>3280</v>
      </c>
    </row>
    <row r="298" spans="18:18" x14ac:dyDescent="0.3">
      <c r="R298" t="s">
        <v>1885</v>
      </c>
    </row>
    <row r="299" spans="18:18" x14ac:dyDescent="0.3">
      <c r="R299" t="s">
        <v>998</v>
      </c>
    </row>
    <row r="300" spans="18:18" x14ac:dyDescent="0.3">
      <c r="R300" t="s">
        <v>1884</v>
      </c>
    </row>
    <row r="301" spans="18:18" x14ac:dyDescent="0.3">
      <c r="R301" t="s">
        <v>3281</v>
      </c>
    </row>
    <row r="302" spans="18:18" x14ac:dyDescent="0.3">
      <c r="R302" t="s">
        <v>1886</v>
      </c>
    </row>
    <row r="303" spans="18:18" x14ac:dyDescent="0.3">
      <c r="R303" t="s">
        <v>2292</v>
      </c>
    </row>
    <row r="304" spans="18:18" x14ac:dyDescent="0.3">
      <c r="R304" t="s">
        <v>999</v>
      </c>
    </row>
    <row r="305" spans="18:18" x14ac:dyDescent="0.3">
      <c r="R305" t="s">
        <v>1543</v>
      </c>
    </row>
    <row r="306" spans="18:18" x14ac:dyDescent="0.3">
      <c r="R306" t="s">
        <v>3282</v>
      </c>
    </row>
    <row r="307" spans="18:18" x14ac:dyDescent="0.3">
      <c r="R307" t="s">
        <v>3100</v>
      </c>
    </row>
    <row r="308" spans="18:18" x14ac:dyDescent="0.3">
      <c r="R308" t="s">
        <v>5189</v>
      </c>
    </row>
    <row r="309" spans="18:18" x14ac:dyDescent="0.3">
      <c r="R309" t="s">
        <v>2293</v>
      </c>
    </row>
    <row r="310" spans="18:18" x14ac:dyDescent="0.3">
      <c r="R310" t="s">
        <v>5190</v>
      </c>
    </row>
    <row r="311" spans="18:18" x14ac:dyDescent="0.3">
      <c r="R311" t="s">
        <v>5191</v>
      </c>
    </row>
    <row r="312" spans="18:18" x14ac:dyDescent="0.3">
      <c r="R312" t="s">
        <v>419</v>
      </c>
    </row>
    <row r="313" spans="18:18" x14ac:dyDescent="0.3">
      <c r="R313" t="s">
        <v>420</v>
      </c>
    </row>
    <row r="314" spans="18:18" x14ac:dyDescent="0.3">
      <c r="R314" t="s">
        <v>421</v>
      </c>
    </row>
    <row r="315" spans="18:18" x14ac:dyDescent="0.3">
      <c r="R315" t="s">
        <v>5044</v>
      </c>
    </row>
    <row r="316" spans="18:18" x14ac:dyDescent="0.3">
      <c r="R316" t="s">
        <v>422</v>
      </c>
    </row>
    <row r="317" spans="18:18" x14ac:dyDescent="0.3">
      <c r="R317" t="s">
        <v>5045</v>
      </c>
    </row>
    <row r="318" spans="18:18" x14ac:dyDescent="0.3">
      <c r="R318" t="s">
        <v>423</v>
      </c>
    </row>
    <row r="319" spans="18:18" x14ac:dyDescent="0.3">
      <c r="R319" t="s">
        <v>423</v>
      </c>
    </row>
    <row r="320" spans="18:18" x14ac:dyDescent="0.3">
      <c r="R320" t="s">
        <v>5192</v>
      </c>
    </row>
    <row r="321" spans="18:18" x14ac:dyDescent="0.3">
      <c r="R321" t="s">
        <v>2294</v>
      </c>
    </row>
    <row r="322" spans="18:18" x14ac:dyDescent="0.3">
      <c r="R322" t="s">
        <v>424</v>
      </c>
    </row>
    <row r="323" spans="18:18" x14ac:dyDescent="0.3">
      <c r="R323" t="s">
        <v>562</v>
      </c>
    </row>
    <row r="324" spans="18:18" x14ac:dyDescent="0.3">
      <c r="R324" t="s">
        <v>4975</v>
      </c>
    </row>
    <row r="325" spans="18:18" x14ac:dyDescent="0.3">
      <c r="R325" t="s">
        <v>1887</v>
      </c>
    </row>
    <row r="326" spans="18:18" x14ac:dyDescent="0.3">
      <c r="R326" t="s">
        <v>4511</v>
      </c>
    </row>
    <row r="327" spans="18:18" x14ac:dyDescent="0.3">
      <c r="R327" t="s">
        <v>563</v>
      </c>
    </row>
    <row r="328" spans="18:18" x14ac:dyDescent="0.3">
      <c r="R328" t="s">
        <v>3283</v>
      </c>
    </row>
    <row r="329" spans="18:18" x14ac:dyDescent="0.3">
      <c r="R329" t="s">
        <v>3284</v>
      </c>
    </row>
    <row r="330" spans="18:18" x14ac:dyDescent="0.3">
      <c r="R330" t="s">
        <v>2295</v>
      </c>
    </row>
    <row r="331" spans="18:18" x14ac:dyDescent="0.3">
      <c r="R331" t="s">
        <v>3285</v>
      </c>
    </row>
    <row r="332" spans="18:18" x14ac:dyDescent="0.3">
      <c r="R332" t="s">
        <v>1701</v>
      </c>
    </row>
    <row r="333" spans="18:18" x14ac:dyDescent="0.3">
      <c r="R333" t="s">
        <v>425</v>
      </c>
    </row>
    <row r="334" spans="18:18" x14ac:dyDescent="0.3">
      <c r="R334" t="s">
        <v>2296</v>
      </c>
    </row>
    <row r="335" spans="18:18" x14ac:dyDescent="0.3">
      <c r="R335" t="s">
        <v>3890</v>
      </c>
    </row>
    <row r="336" spans="18:18" x14ac:dyDescent="0.3">
      <c r="R336" t="s">
        <v>2297</v>
      </c>
    </row>
    <row r="337" spans="18:18" x14ac:dyDescent="0.3">
      <c r="R337" t="s">
        <v>3891</v>
      </c>
    </row>
    <row r="338" spans="18:18" x14ac:dyDescent="0.3">
      <c r="R338" t="s">
        <v>2298</v>
      </c>
    </row>
    <row r="339" spans="18:18" x14ac:dyDescent="0.3">
      <c r="R339" t="s">
        <v>3892</v>
      </c>
    </row>
    <row r="340" spans="18:18" x14ac:dyDescent="0.3">
      <c r="R340" t="s">
        <v>5046</v>
      </c>
    </row>
    <row r="341" spans="18:18" x14ac:dyDescent="0.3">
      <c r="R341" t="s">
        <v>4251</v>
      </c>
    </row>
    <row r="342" spans="18:18" x14ac:dyDescent="0.3">
      <c r="R342" t="s">
        <v>1340</v>
      </c>
    </row>
    <row r="343" spans="18:18" x14ac:dyDescent="0.3">
      <c r="R343" t="s">
        <v>4252</v>
      </c>
    </row>
    <row r="344" spans="18:18" x14ac:dyDescent="0.3">
      <c r="R344" t="s">
        <v>3286</v>
      </c>
    </row>
    <row r="345" spans="18:18" x14ac:dyDescent="0.3">
      <c r="R345" t="s">
        <v>3287</v>
      </c>
    </row>
    <row r="346" spans="18:18" x14ac:dyDescent="0.3">
      <c r="R346" t="s">
        <v>1000</v>
      </c>
    </row>
    <row r="347" spans="18:18" x14ac:dyDescent="0.3">
      <c r="R347" t="s">
        <v>564</v>
      </c>
    </row>
    <row r="348" spans="18:18" x14ac:dyDescent="0.3">
      <c r="R348" t="s">
        <v>4512</v>
      </c>
    </row>
    <row r="349" spans="18:18" x14ac:dyDescent="0.3">
      <c r="R349" t="s">
        <v>1001</v>
      </c>
    </row>
    <row r="350" spans="18:18" x14ac:dyDescent="0.3">
      <c r="R350" t="s">
        <v>1544</v>
      </c>
    </row>
    <row r="351" spans="18:18" x14ac:dyDescent="0.3">
      <c r="R351" t="s">
        <v>3169</v>
      </c>
    </row>
    <row r="352" spans="18:18" x14ac:dyDescent="0.3">
      <c r="R352" t="s">
        <v>1341</v>
      </c>
    </row>
    <row r="353" spans="18:18" x14ac:dyDescent="0.3">
      <c r="R353" t="s">
        <v>1341</v>
      </c>
    </row>
    <row r="354" spans="18:18" x14ac:dyDescent="0.3">
      <c r="R354" t="s">
        <v>1888</v>
      </c>
    </row>
    <row r="355" spans="18:18" x14ac:dyDescent="0.3">
      <c r="R355" t="s">
        <v>4513</v>
      </c>
    </row>
    <row r="356" spans="18:18" x14ac:dyDescent="0.3">
      <c r="R356" t="s">
        <v>1002</v>
      </c>
    </row>
    <row r="357" spans="18:18" x14ac:dyDescent="0.3">
      <c r="R357" t="s">
        <v>1889</v>
      </c>
    </row>
    <row r="358" spans="18:18" x14ac:dyDescent="0.3">
      <c r="R358" t="s">
        <v>1797</v>
      </c>
    </row>
    <row r="359" spans="18:18" x14ac:dyDescent="0.3">
      <c r="R359" t="s">
        <v>3893</v>
      </c>
    </row>
    <row r="360" spans="18:18" x14ac:dyDescent="0.3">
      <c r="R360" t="s">
        <v>2299</v>
      </c>
    </row>
    <row r="361" spans="18:18" x14ac:dyDescent="0.3">
      <c r="R361" t="s">
        <v>2300</v>
      </c>
    </row>
    <row r="362" spans="18:18" x14ac:dyDescent="0.3">
      <c r="R362" t="s">
        <v>2301</v>
      </c>
    </row>
    <row r="363" spans="18:18" x14ac:dyDescent="0.3">
      <c r="R363" t="s">
        <v>3288</v>
      </c>
    </row>
    <row r="364" spans="18:18" x14ac:dyDescent="0.3">
      <c r="R364" t="s">
        <v>2302</v>
      </c>
    </row>
    <row r="365" spans="18:18" x14ac:dyDescent="0.3">
      <c r="R365" t="s">
        <v>1545</v>
      </c>
    </row>
    <row r="366" spans="18:18" x14ac:dyDescent="0.3">
      <c r="R366" t="s">
        <v>2303</v>
      </c>
    </row>
    <row r="367" spans="18:18" x14ac:dyDescent="0.3">
      <c r="R367" t="s">
        <v>3170</v>
      </c>
    </row>
    <row r="368" spans="18:18" x14ac:dyDescent="0.3">
      <c r="R368" t="s">
        <v>3289</v>
      </c>
    </row>
    <row r="369" spans="18:18" x14ac:dyDescent="0.3">
      <c r="R369" t="s">
        <v>1342</v>
      </c>
    </row>
    <row r="370" spans="18:18" x14ac:dyDescent="0.3">
      <c r="R370" t="s">
        <v>1176</v>
      </c>
    </row>
    <row r="371" spans="18:18" x14ac:dyDescent="0.3">
      <c r="R371" t="s">
        <v>1176</v>
      </c>
    </row>
    <row r="372" spans="18:18" x14ac:dyDescent="0.3">
      <c r="R372" t="s">
        <v>1343</v>
      </c>
    </row>
    <row r="373" spans="18:18" x14ac:dyDescent="0.3">
      <c r="R373" t="s">
        <v>1344</v>
      </c>
    </row>
    <row r="374" spans="18:18" x14ac:dyDescent="0.3">
      <c r="R374" t="s">
        <v>3290</v>
      </c>
    </row>
    <row r="375" spans="18:18" x14ac:dyDescent="0.3">
      <c r="R375" t="s">
        <v>3291</v>
      </c>
    </row>
    <row r="376" spans="18:18" x14ac:dyDescent="0.3">
      <c r="R376" t="s">
        <v>5047</v>
      </c>
    </row>
    <row r="377" spans="18:18" x14ac:dyDescent="0.3">
      <c r="R377" t="s">
        <v>5193</v>
      </c>
    </row>
    <row r="378" spans="18:18" x14ac:dyDescent="0.3">
      <c r="R378" t="s">
        <v>1177</v>
      </c>
    </row>
    <row r="379" spans="18:18" x14ac:dyDescent="0.3">
      <c r="R379" t="s">
        <v>2304</v>
      </c>
    </row>
    <row r="380" spans="18:18" x14ac:dyDescent="0.3">
      <c r="R380" t="s">
        <v>2305</v>
      </c>
    </row>
    <row r="381" spans="18:18" x14ac:dyDescent="0.3">
      <c r="R381" t="s">
        <v>2306</v>
      </c>
    </row>
    <row r="382" spans="18:18" x14ac:dyDescent="0.3">
      <c r="R382" t="s">
        <v>5048</v>
      </c>
    </row>
    <row r="383" spans="18:18" x14ac:dyDescent="0.3">
      <c r="R383" t="s">
        <v>101</v>
      </c>
    </row>
    <row r="384" spans="18:18" x14ac:dyDescent="0.3">
      <c r="R384" t="s">
        <v>3292</v>
      </c>
    </row>
    <row r="385" spans="18:18" x14ac:dyDescent="0.3">
      <c r="R385" t="s">
        <v>3894</v>
      </c>
    </row>
    <row r="386" spans="18:18" x14ac:dyDescent="0.3">
      <c r="R386" t="s">
        <v>3171</v>
      </c>
    </row>
    <row r="387" spans="18:18" x14ac:dyDescent="0.3">
      <c r="R387" t="s">
        <v>4253</v>
      </c>
    </row>
    <row r="388" spans="18:18" x14ac:dyDescent="0.3">
      <c r="R388" t="s">
        <v>1003</v>
      </c>
    </row>
    <row r="389" spans="18:18" x14ac:dyDescent="0.3">
      <c r="R389" t="s">
        <v>775</v>
      </c>
    </row>
    <row r="390" spans="18:18" x14ac:dyDescent="0.3">
      <c r="R390" t="s">
        <v>1345</v>
      </c>
    </row>
    <row r="391" spans="18:18" x14ac:dyDescent="0.3">
      <c r="R391" t="s">
        <v>776</v>
      </c>
    </row>
    <row r="392" spans="18:18" x14ac:dyDescent="0.3">
      <c r="R392" t="s">
        <v>777</v>
      </c>
    </row>
    <row r="393" spans="18:18" x14ac:dyDescent="0.3">
      <c r="R393" t="s">
        <v>3172</v>
      </c>
    </row>
    <row r="394" spans="18:18" x14ac:dyDescent="0.3">
      <c r="R394" t="s">
        <v>426</v>
      </c>
    </row>
    <row r="395" spans="18:18" x14ac:dyDescent="0.3">
      <c r="R395" t="s">
        <v>4514</v>
      </c>
    </row>
    <row r="396" spans="18:18" x14ac:dyDescent="0.3">
      <c r="R396" t="s">
        <v>4516</v>
      </c>
    </row>
    <row r="397" spans="18:18" x14ac:dyDescent="0.3">
      <c r="R397" t="s">
        <v>4515</v>
      </c>
    </row>
    <row r="398" spans="18:18" x14ac:dyDescent="0.3">
      <c r="R398" t="s">
        <v>4518</v>
      </c>
    </row>
    <row r="399" spans="18:18" x14ac:dyDescent="0.3">
      <c r="R399" t="s">
        <v>4517</v>
      </c>
    </row>
    <row r="400" spans="18:18" x14ac:dyDescent="0.3">
      <c r="R400" t="s">
        <v>4519</v>
      </c>
    </row>
    <row r="401" spans="18:18" x14ac:dyDescent="0.3">
      <c r="R401" t="s">
        <v>4254</v>
      </c>
    </row>
    <row r="402" spans="18:18" x14ac:dyDescent="0.3">
      <c r="R402" t="s">
        <v>3293</v>
      </c>
    </row>
    <row r="403" spans="18:18" x14ac:dyDescent="0.3">
      <c r="R403" t="s">
        <v>5194</v>
      </c>
    </row>
    <row r="404" spans="18:18" x14ac:dyDescent="0.3">
      <c r="R404" t="s">
        <v>3294</v>
      </c>
    </row>
    <row r="405" spans="18:18" x14ac:dyDescent="0.3">
      <c r="R405" t="s">
        <v>4255</v>
      </c>
    </row>
    <row r="406" spans="18:18" x14ac:dyDescent="0.3">
      <c r="R406" t="s">
        <v>4520</v>
      </c>
    </row>
    <row r="407" spans="18:18" x14ac:dyDescent="0.3">
      <c r="R407" t="s">
        <v>4256</v>
      </c>
    </row>
    <row r="408" spans="18:18" x14ac:dyDescent="0.3">
      <c r="R408" t="s">
        <v>3295</v>
      </c>
    </row>
    <row r="409" spans="18:18" x14ac:dyDescent="0.3">
      <c r="R409" t="s">
        <v>3895</v>
      </c>
    </row>
    <row r="410" spans="18:18" x14ac:dyDescent="0.3">
      <c r="R410" t="s">
        <v>1004</v>
      </c>
    </row>
    <row r="411" spans="18:18" x14ac:dyDescent="0.3">
      <c r="R411" t="s">
        <v>3296</v>
      </c>
    </row>
    <row r="412" spans="18:18" x14ac:dyDescent="0.3">
      <c r="R412" t="s">
        <v>153</v>
      </c>
    </row>
    <row r="413" spans="18:18" x14ac:dyDescent="0.3">
      <c r="R413" t="s">
        <v>3896</v>
      </c>
    </row>
    <row r="414" spans="18:18" x14ac:dyDescent="0.3">
      <c r="R414" t="s">
        <v>1346</v>
      </c>
    </row>
    <row r="415" spans="18:18" x14ac:dyDescent="0.3">
      <c r="R415" t="s">
        <v>778</v>
      </c>
    </row>
    <row r="416" spans="18:18" x14ac:dyDescent="0.3">
      <c r="R416" t="s">
        <v>2307</v>
      </c>
    </row>
    <row r="417" spans="18:18" x14ac:dyDescent="0.3">
      <c r="R417" t="s">
        <v>3897</v>
      </c>
    </row>
    <row r="418" spans="18:18" x14ac:dyDescent="0.3">
      <c r="R418" t="s">
        <v>1702</v>
      </c>
    </row>
    <row r="419" spans="18:18" x14ac:dyDescent="0.3">
      <c r="R419" t="s">
        <v>1702</v>
      </c>
    </row>
    <row r="420" spans="18:18" x14ac:dyDescent="0.3">
      <c r="R420" t="s">
        <v>179</v>
      </c>
    </row>
    <row r="421" spans="18:18" x14ac:dyDescent="0.3">
      <c r="R421" t="s">
        <v>4257</v>
      </c>
    </row>
    <row r="422" spans="18:18" x14ac:dyDescent="0.3">
      <c r="R422" t="s">
        <v>2308</v>
      </c>
    </row>
    <row r="423" spans="18:18" x14ac:dyDescent="0.3">
      <c r="R423" t="s">
        <v>3297</v>
      </c>
    </row>
    <row r="424" spans="18:18" x14ac:dyDescent="0.3">
      <c r="R424" t="s">
        <v>3101</v>
      </c>
    </row>
    <row r="425" spans="18:18" x14ac:dyDescent="0.3">
      <c r="R425" t="s">
        <v>427</v>
      </c>
    </row>
    <row r="426" spans="18:18" x14ac:dyDescent="0.3">
      <c r="R426" t="s">
        <v>262</v>
      </c>
    </row>
    <row r="427" spans="18:18" x14ac:dyDescent="0.3">
      <c r="R427" t="s">
        <v>2309</v>
      </c>
    </row>
    <row r="428" spans="18:18" x14ac:dyDescent="0.3">
      <c r="R428" t="s">
        <v>4521</v>
      </c>
    </row>
    <row r="429" spans="18:18" x14ac:dyDescent="0.3">
      <c r="R429" t="s">
        <v>1178</v>
      </c>
    </row>
    <row r="430" spans="18:18" x14ac:dyDescent="0.3">
      <c r="R430" t="s">
        <v>4522</v>
      </c>
    </row>
    <row r="431" spans="18:18" x14ac:dyDescent="0.3">
      <c r="R431" t="s">
        <v>1890</v>
      </c>
    </row>
    <row r="432" spans="18:18" x14ac:dyDescent="0.3">
      <c r="R432" t="s">
        <v>3298</v>
      </c>
    </row>
    <row r="433" spans="18:18" x14ac:dyDescent="0.3">
      <c r="R433" t="s">
        <v>5195</v>
      </c>
    </row>
    <row r="434" spans="18:18" x14ac:dyDescent="0.3">
      <c r="R434" t="s">
        <v>1005</v>
      </c>
    </row>
    <row r="435" spans="18:18" x14ac:dyDescent="0.3">
      <c r="R435" t="s">
        <v>1005</v>
      </c>
    </row>
    <row r="436" spans="18:18" x14ac:dyDescent="0.3">
      <c r="R436" t="s">
        <v>263</v>
      </c>
    </row>
    <row r="437" spans="18:18" x14ac:dyDescent="0.3">
      <c r="R437" t="s">
        <v>428</v>
      </c>
    </row>
    <row r="438" spans="18:18" x14ac:dyDescent="0.3">
      <c r="R438" t="s">
        <v>180</v>
      </c>
    </row>
    <row r="439" spans="18:18" x14ac:dyDescent="0.3">
      <c r="R439" t="s">
        <v>3299</v>
      </c>
    </row>
    <row r="440" spans="18:18" x14ac:dyDescent="0.3">
      <c r="R440" t="s">
        <v>3300</v>
      </c>
    </row>
    <row r="441" spans="18:18" x14ac:dyDescent="0.3">
      <c r="R441" t="s">
        <v>3301</v>
      </c>
    </row>
    <row r="442" spans="18:18" x14ac:dyDescent="0.3">
      <c r="R442" t="s">
        <v>264</v>
      </c>
    </row>
    <row r="443" spans="18:18" x14ac:dyDescent="0.3">
      <c r="R443" t="s">
        <v>779</v>
      </c>
    </row>
    <row r="444" spans="18:18" x14ac:dyDescent="0.3">
      <c r="R444" t="s">
        <v>5196</v>
      </c>
    </row>
    <row r="445" spans="18:18" x14ac:dyDescent="0.3">
      <c r="R445" t="s">
        <v>565</v>
      </c>
    </row>
    <row r="446" spans="18:18" x14ac:dyDescent="0.3">
      <c r="R446" t="s">
        <v>429</v>
      </c>
    </row>
    <row r="447" spans="18:18" x14ac:dyDescent="0.3">
      <c r="R447" t="s">
        <v>430</v>
      </c>
    </row>
    <row r="448" spans="18:18" x14ac:dyDescent="0.3">
      <c r="R448" t="s">
        <v>566</v>
      </c>
    </row>
    <row r="449" spans="18:18" x14ac:dyDescent="0.3">
      <c r="R449" t="s">
        <v>567</v>
      </c>
    </row>
    <row r="450" spans="18:18" x14ac:dyDescent="0.3">
      <c r="R450" t="s">
        <v>568</v>
      </c>
    </row>
    <row r="451" spans="18:18" x14ac:dyDescent="0.3">
      <c r="R451" t="s">
        <v>569</v>
      </c>
    </row>
    <row r="452" spans="18:18" x14ac:dyDescent="0.3">
      <c r="R452" t="s">
        <v>3302</v>
      </c>
    </row>
    <row r="453" spans="18:18" x14ac:dyDescent="0.3">
      <c r="R453" t="s">
        <v>2310</v>
      </c>
    </row>
    <row r="454" spans="18:18" x14ac:dyDescent="0.3">
      <c r="R454" t="s">
        <v>4523</v>
      </c>
    </row>
    <row r="455" spans="18:18" x14ac:dyDescent="0.3">
      <c r="R455" t="s">
        <v>265</v>
      </c>
    </row>
    <row r="456" spans="18:18" x14ac:dyDescent="0.3">
      <c r="R456" t="s">
        <v>1347</v>
      </c>
    </row>
    <row r="457" spans="18:18" x14ac:dyDescent="0.3">
      <c r="R457" t="s">
        <v>1179</v>
      </c>
    </row>
    <row r="458" spans="18:18" x14ac:dyDescent="0.3">
      <c r="R458" t="s">
        <v>1891</v>
      </c>
    </row>
    <row r="459" spans="18:18" x14ac:dyDescent="0.3">
      <c r="R459" t="s">
        <v>266</v>
      </c>
    </row>
    <row r="460" spans="18:18" x14ac:dyDescent="0.3">
      <c r="R460" t="s">
        <v>1892</v>
      </c>
    </row>
    <row r="461" spans="18:18" x14ac:dyDescent="0.3">
      <c r="R461" t="s">
        <v>780</v>
      </c>
    </row>
    <row r="462" spans="18:18" x14ac:dyDescent="0.3">
      <c r="R462" t="s">
        <v>1006</v>
      </c>
    </row>
    <row r="463" spans="18:18" x14ac:dyDescent="0.3">
      <c r="R463" t="s">
        <v>3102</v>
      </c>
    </row>
    <row r="464" spans="18:18" x14ac:dyDescent="0.3">
      <c r="R464" t="s">
        <v>3303</v>
      </c>
    </row>
    <row r="465" spans="18:18" x14ac:dyDescent="0.3">
      <c r="R465" t="s">
        <v>2311</v>
      </c>
    </row>
    <row r="466" spans="18:18" x14ac:dyDescent="0.3">
      <c r="R466" t="s">
        <v>5197</v>
      </c>
    </row>
    <row r="467" spans="18:18" x14ac:dyDescent="0.3">
      <c r="R467" t="s">
        <v>4258</v>
      </c>
    </row>
    <row r="468" spans="18:18" x14ac:dyDescent="0.3">
      <c r="R468" t="s">
        <v>4260</v>
      </c>
    </row>
    <row r="469" spans="18:18" x14ac:dyDescent="0.3">
      <c r="R469" t="s">
        <v>4259</v>
      </c>
    </row>
    <row r="470" spans="18:18" x14ac:dyDescent="0.3">
      <c r="R470" t="s">
        <v>4261</v>
      </c>
    </row>
    <row r="471" spans="18:18" x14ac:dyDescent="0.3">
      <c r="R471" t="s">
        <v>4409</v>
      </c>
    </row>
    <row r="472" spans="18:18" x14ac:dyDescent="0.3">
      <c r="R472" t="s">
        <v>4524</v>
      </c>
    </row>
    <row r="473" spans="18:18" x14ac:dyDescent="0.3">
      <c r="R473" t="s">
        <v>4495</v>
      </c>
    </row>
    <row r="474" spans="18:18" x14ac:dyDescent="0.3">
      <c r="R474" t="s">
        <v>3898</v>
      </c>
    </row>
    <row r="475" spans="18:18" x14ac:dyDescent="0.3">
      <c r="R475" t="s">
        <v>3304</v>
      </c>
    </row>
    <row r="476" spans="18:18" x14ac:dyDescent="0.3">
      <c r="R476" t="s">
        <v>570</v>
      </c>
    </row>
    <row r="477" spans="18:18" x14ac:dyDescent="0.3">
      <c r="R477" t="s">
        <v>2312</v>
      </c>
    </row>
    <row r="478" spans="18:18" x14ac:dyDescent="0.3">
      <c r="R478" t="s">
        <v>1007</v>
      </c>
    </row>
    <row r="479" spans="18:18" x14ac:dyDescent="0.3">
      <c r="R479" t="s">
        <v>3305</v>
      </c>
    </row>
    <row r="480" spans="18:18" x14ac:dyDescent="0.3">
      <c r="R480" t="s">
        <v>1348</v>
      </c>
    </row>
    <row r="481" spans="18:18" x14ac:dyDescent="0.3">
      <c r="R481" t="s">
        <v>2313</v>
      </c>
    </row>
    <row r="482" spans="18:18" x14ac:dyDescent="0.3">
      <c r="R482" t="s">
        <v>2314</v>
      </c>
    </row>
    <row r="483" spans="18:18" x14ac:dyDescent="0.3">
      <c r="R483" t="s">
        <v>4262</v>
      </c>
    </row>
    <row r="484" spans="18:18" x14ac:dyDescent="0.3">
      <c r="R484" t="s">
        <v>3899</v>
      </c>
    </row>
    <row r="485" spans="18:18" x14ac:dyDescent="0.3">
      <c r="R485" t="s">
        <v>3899</v>
      </c>
    </row>
    <row r="486" spans="18:18" x14ac:dyDescent="0.3">
      <c r="R486" t="s">
        <v>431</v>
      </c>
    </row>
    <row r="487" spans="18:18" x14ac:dyDescent="0.3">
      <c r="R487" t="s">
        <v>267</v>
      </c>
    </row>
    <row r="488" spans="18:18" x14ac:dyDescent="0.3">
      <c r="R488" t="s">
        <v>1893</v>
      </c>
    </row>
    <row r="489" spans="18:18" x14ac:dyDescent="0.3">
      <c r="R489" t="s">
        <v>4525</v>
      </c>
    </row>
    <row r="490" spans="18:18" x14ac:dyDescent="0.3">
      <c r="R490" t="s">
        <v>3306</v>
      </c>
    </row>
    <row r="491" spans="18:18" x14ac:dyDescent="0.3">
      <c r="R491" t="s">
        <v>2315</v>
      </c>
    </row>
    <row r="492" spans="18:18" x14ac:dyDescent="0.3">
      <c r="R492" t="s">
        <v>4526</v>
      </c>
    </row>
    <row r="493" spans="18:18" x14ac:dyDescent="0.3">
      <c r="R493" t="s">
        <v>571</v>
      </c>
    </row>
    <row r="494" spans="18:18" x14ac:dyDescent="0.3">
      <c r="R494" t="s">
        <v>5049</v>
      </c>
    </row>
    <row r="495" spans="18:18" x14ac:dyDescent="0.3">
      <c r="R495" t="s">
        <v>2316</v>
      </c>
    </row>
    <row r="496" spans="18:18" x14ac:dyDescent="0.3">
      <c r="R496" t="s">
        <v>4527</v>
      </c>
    </row>
    <row r="497" spans="18:18" x14ac:dyDescent="0.3">
      <c r="R497" t="s">
        <v>1180</v>
      </c>
    </row>
    <row r="498" spans="18:18" x14ac:dyDescent="0.3">
      <c r="R498" t="s">
        <v>1180</v>
      </c>
    </row>
    <row r="499" spans="18:18" x14ac:dyDescent="0.3">
      <c r="R499" t="s">
        <v>2317</v>
      </c>
    </row>
    <row r="500" spans="18:18" x14ac:dyDescent="0.3">
      <c r="R500" t="s">
        <v>1008</v>
      </c>
    </row>
    <row r="501" spans="18:18" x14ac:dyDescent="0.3">
      <c r="R501" t="s">
        <v>3307</v>
      </c>
    </row>
    <row r="502" spans="18:18" x14ac:dyDescent="0.3">
      <c r="R502" t="s">
        <v>3900</v>
      </c>
    </row>
    <row r="503" spans="18:18" x14ac:dyDescent="0.3">
      <c r="R503" t="s">
        <v>268</v>
      </c>
    </row>
    <row r="504" spans="18:18" x14ac:dyDescent="0.3">
      <c r="R504" t="s">
        <v>1181</v>
      </c>
    </row>
    <row r="505" spans="18:18" x14ac:dyDescent="0.3">
      <c r="R505" t="s">
        <v>181</v>
      </c>
    </row>
    <row r="506" spans="18:18" x14ac:dyDescent="0.3">
      <c r="R506" t="s">
        <v>3308</v>
      </c>
    </row>
    <row r="507" spans="18:18" x14ac:dyDescent="0.3">
      <c r="R507" t="s">
        <v>1894</v>
      </c>
    </row>
    <row r="508" spans="18:18" x14ac:dyDescent="0.3">
      <c r="R508" t="s">
        <v>3309</v>
      </c>
    </row>
    <row r="509" spans="18:18" x14ac:dyDescent="0.3">
      <c r="R509" t="s">
        <v>3309</v>
      </c>
    </row>
    <row r="510" spans="18:18" x14ac:dyDescent="0.3">
      <c r="R510" t="s">
        <v>1895</v>
      </c>
    </row>
    <row r="511" spans="18:18" x14ac:dyDescent="0.3">
      <c r="R511" t="s">
        <v>781</v>
      </c>
    </row>
    <row r="512" spans="18:18" x14ac:dyDescent="0.3">
      <c r="R512" t="s">
        <v>1546</v>
      </c>
    </row>
    <row r="513" spans="18:18" x14ac:dyDescent="0.3">
      <c r="R513" t="s">
        <v>1350</v>
      </c>
    </row>
    <row r="514" spans="18:18" x14ac:dyDescent="0.3">
      <c r="R514" t="s">
        <v>1349</v>
      </c>
    </row>
    <row r="515" spans="18:18" x14ac:dyDescent="0.3">
      <c r="R515" t="s">
        <v>1703</v>
      </c>
    </row>
    <row r="516" spans="18:18" x14ac:dyDescent="0.3">
      <c r="R516" t="s">
        <v>3103</v>
      </c>
    </row>
    <row r="517" spans="18:18" x14ac:dyDescent="0.3">
      <c r="R517" t="s">
        <v>1351</v>
      </c>
    </row>
    <row r="518" spans="18:18" x14ac:dyDescent="0.3">
      <c r="R518" t="s">
        <v>1351</v>
      </c>
    </row>
    <row r="519" spans="18:18" x14ac:dyDescent="0.3">
      <c r="R519" t="s">
        <v>5050</v>
      </c>
    </row>
    <row r="520" spans="18:18" x14ac:dyDescent="0.3">
      <c r="R520" t="s">
        <v>3310</v>
      </c>
    </row>
    <row r="521" spans="18:18" x14ac:dyDescent="0.3">
      <c r="R521" t="s">
        <v>1896</v>
      </c>
    </row>
    <row r="522" spans="18:18" x14ac:dyDescent="0.3">
      <c r="R522" t="s">
        <v>572</v>
      </c>
    </row>
    <row r="523" spans="18:18" x14ac:dyDescent="0.3">
      <c r="R523" t="s">
        <v>5051</v>
      </c>
    </row>
    <row r="524" spans="18:18" x14ac:dyDescent="0.3">
      <c r="R524" t="s">
        <v>4528</v>
      </c>
    </row>
    <row r="525" spans="18:18" x14ac:dyDescent="0.3">
      <c r="R525" t="s">
        <v>3902</v>
      </c>
    </row>
    <row r="526" spans="18:18" x14ac:dyDescent="0.3">
      <c r="R526" t="s">
        <v>1897</v>
      </c>
    </row>
    <row r="527" spans="18:18" x14ac:dyDescent="0.3">
      <c r="R527" t="s">
        <v>432</v>
      </c>
    </row>
    <row r="528" spans="18:18" x14ac:dyDescent="0.3">
      <c r="R528" t="s">
        <v>3173</v>
      </c>
    </row>
    <row r="529" spans="18:18" x14ac:dyDescent="0.3">
      <c r="R529" t="s">
        <v>4529</v>
      </c>
    </row>
    <row r="530" spans="18:18" x14ac:dyDescent="0.3">
      <c r="R530" t="s">
        <v>4530</v>
      </c>
    </row>
    <row r="531" spans="18:18" x14ac:dyDescent="0.3">
      <c r="R531" t="s">
        <v>4531</v>
      </c>
    </row>
    <row r="532" spans="18:18" x14ac:dyDescent="0.3">
      <c r="R532" t="s">
        <v>1898</v>
      </c>
    </row>
    <row r="533" spans="18:18" x14ac:dyDescent="0.3">
      <c r="R533" t="s">
        <v>3311</v>
      </c>
    </row>
    <row r="534" spans="18:18" x14ac:dyDescent="0.3">
      <c r="R534" t="s">
        <v>1798</v>
      </c>
    </row>
    <row r="535" spans="18:18" x14ac:dyDescent="0.3">
      <c r="R535" t="s">
        <v>4532</v>
      </c>
    </row>
    <row r="536" spans="18:18" x14ac:dyDescent="0.3">
      <c r="R536" t="s">
        <v>2318</v>
      </c>
    </row>
    <row r="537" spans="18:18" x14ac:dyDescent="0.3">
      <c r="R537" t="s">
        <v>3174</v>
      </c>
    </row>
    <row r="538" spans="18:18" x14ac:dyDescent="0.3">
      <c r="R538" t="s">
        <v>4263</v>
      </c>
    </row>
    <row r="539" spans="18:18" x14ac:dyDescent="0.3">
      <c r="R539" t="s">
        <v>3901</v>
      </c>
    </row>
    <row r="540" spans="18:18" x14ac:dyDescent="0.3">
      <c r="R540" t="s">
        <v>3901</v>
      </c>
    </row>
    <row r="541" spans="18:18" x14ac:dyDescent="0.3">
      <c r="R541" t="s">
        <v>782</v>
      </c>
    </row>
    <row r="542" spans="18:18" x14ac:dyDescent="0.3">
      <c r="R542" t="s">
        <v>1009</v>
      </c>
    </row>
    <row r="543" spans="18:18" x14ac:dyDescent="0.3">
      <c r="R543" t="s">
        <v>1899</v>
      </c>
    </row>
    <row r="544" spans="18:18" x14ac:dyDescent="0.3">
      <c r="R544" t="s">
        <v>783</v>
      </c>
    </row>
    <row r="545" spans="18:18" x14ac:dyDescent="0.3">
      <c r="R545" t="s">
        <v>182</v>
      </c>
    </row>
    <row r="546" spans="18:18" x14ac:dyDescent="0.3">
      <c r="R546" t="s">
        <v>573</v>
      </c>
    </row>
    <row r="547" spans="18:18" x14ac:dyDescent="0.3">
      <c r="R547" t="s">
        <v>1547</v>
      </c>
    </row>
    <row r="548" spans="18:18" x14ac:dyDescent="0.3">
      <c r="R548" t="s">
        <v>3312</v>
      </c>
    </row>
    <row r="549" spans="18:18" x14ac:dyDescent="0.3">
      <c r="R549" t="s">
        <v>3313</v>
      </c>
    </row>
    <row r="550" spans="18:18" x14ac:dyDescent="0.3">
      <c r="R550" t="s">
        <v>1010</v>
      </c>
    </row>
    <row r="551" spans="18:18" x14ac:dyDescent="0.3">
      <c r="R551" t="s">
        <v>1900</v>
      </c>
    </row>
    <row r="552" spans="18:18" x14ac:dyDescent="0.3">
      <c r="R552" t="s">
        <v>1900</v>
      </c>
    </row>
    <row r="553" spans="18:18" x14ac:dyDescent="0.3">
      <c r="R553" t="s">
        <v>784</v>
      </c>
    </row>
    <row r="554" spans="18:18" x14ac:dyDescent="0.3">
      <c r="R554" t="s">
        <v>1902</v>
      </c>
    </row>
    <row r="555" spans="18:18" x14ac:dyDescent="0.3">
      <c r="R555" t="s">
        <v>1901</v>
      </c>
    </row>
    <row r="556" spans="18:18" x14ac:dyDescent="0.3">
      <c r="R556" t="s">
        <v>433</v>
      </c>
    </row>
    <row r="557" spans="18:18" x14ac:dyDescent="0.3">
      <c r="R557" t="s">
        <v>1011</v>
      </c>
    </row>
    <row r="558" spans="18:18" x14ac:dyDescent="0.3">
      <c r="R558" t="s">
        <v>4533</v>
      </c>
    </row>
    <row r="559" spans="18:18" x14ac:dyDescent="0.3">
      <c r="R559" t="s">
        <v>2319</v>
      </c>
    </row>
    <row r="560" spans="18:18" x14ac:dyDescent="0.3">
      <c r="R560" t="s">
        <v>3314</v>
      </c>
    </row>
    <row r="561" spans="18:18" x14ac:dyDescent="0.3">
      <c r="R561" t="s">
        <v>3315</v>
      </c>
    </row>
    <row r="562" spans="18:18" x14ac:dyDescent="0.3">
      <c r="R562" t="s">
        <v>4976</v>
      </c>
    </row>
    <row r="563" spans="18:18" x14ac:dyDescent="0.3">
      <c r="R563" t="s">
        <v>785</v>
      </c>
    </row>
    <row r="564" spans="18:18" x14ac:dyDescent="0.3">
      <c r="R564" t="s">
        <v>785</v>
      </c>
    </row>
    <row r="565" spans="18:18" x14ac:dyDescent="0.3">
      <c r="R565" t="s">
        <v>3316</v>
      </c>
    </row>
    <row r="566" spans="18:18" x14ac:dyDescent="0.3">
      <c r="R566" t="s">
        <v>4977</v>
      </c>
    </row>
    <row r="567" spans="18:18" x14ac:dyDescent="0.3">
      <c r="R567" t="s">
        <v>1012</v>
      </c>
    </row>
    <row r="568" spans="18:18" x14ac:dyDescent="0.3">
      <c r="R568" t="s">
        <v>3317</v>
      </c>
    </row>
    <row r="569" spans="18:18" x14ac:dyDescent="0.3">
      <c r="R569" t="s">
        <v>1352</v>
      </c>
    </row>
    <row r="570" spans="18:18" x14ac:dyDescent="0.3">
      <c r="R570" t="s">
        <v>3318</v>
      </c>
    </row>
    <row r="571" spans="18:18" x14ac:dyDescent="0.3">
      <c r="R571" t="s">
        <v>1013</v>
      </c>
    </row>
    <row r="572" spans="18:18" x14ac:dyDescent="0.3">
      <c r="R572" t="s">
        <v>1014</v>
      </c>
    </row>
    <row r="573" spans="18:18" x14ac:dyDescent="0.3">
      <c r="R573" t="s">
        <v>4978</v>
      </c>
    </row>
    <row r="574" spans="18:18" x14ac:dyDescent="0.3">
      <c r="R574" t="s">
        <v>3903</v>
      </c>
    </row>
    <row r="575" spans="18:18" x14ac:dyDescent="0.3">
      <c r="R575" t="s">
        <v>5198</v>
      </c>
    </row>
    <row r="576" spans="18:18" x14ac:dyDescent="0.3">
      <c r="R576" t="s">
        <v>2320</v>
      </c>
    </row>
    <row r="577" spans="18:18" x14ac:dyDescent="0.3">
      <c r="R577" t="s">
        <v>575</v>
      </c>
    </row>
    <row r="578" spans="18:18" x14ac:dyDescent="0.3">
      <c r="R578" t="s">
        <v>3904</v>
      </c>
    </row>
    <row r="579" spans="18:18" x14ac:dyDescent="0.3">
      <c r="R579" t="s">
        <v>786</v>
      </c>
    </row>
    <row r="580" spans="18:18" x14ac:dyDescent="0.3">
      <c r="R580" t="s">
        <v>4264</v>
      </c>
    </row>
    <row r="581" spans="18:18" x14ac:dyDescent="0.3">
      <c r="R581" t="s">
        <v>574</v>
      </c>
    </row>
    <row r="582" spans="18:18" x14ac:dyDescent="0.3">
      <c r="R582" t="s">
        <v>269</v>
      </c>
    </row>
    <row r="583" spans="18:18" x14ac:dyDescent="0.3">
      <c r="R583" t="s">
        <v>269</v>
      </c>
    </row>
    <row r="584" spans="18:18" x14ac:dyDescent="0.3">
      <c r="R584" t="s">
        <v>269</v>
      </c>
    </row>
    <row r="585" spans="18:18" x14ac:dyDescent="0.3">
      <c r="R585" t="s">
        <v>1548</v>
      </c>
    </row>
    <row r="586" spans="18:18" x14ac:dyDescent="0.3">
      <c r="R586" t="s">
        <v>1353</v>
      </c>
    </row>
    <row r="587" spans="18:18" x14ac:dyDescent="0.3">
      <c r="R587" t="s">
        <v>787</v>
      </c>
    </row>
    <row r="588" spans="18:18" x14ac:dyDescent="0.3">
      <c r="R588" t="s">
        <v>1549</v>
      </c>
    </row>
    <row r="589" spans="18:18" x14ac:dyDescent="0.3">
      <c r="R589" t="s">
        <v>3175</v>
      </c>
    </row>
    <row r="590" spans="18:18" x14ac:dyDescent="0.3">
      <c r="R590" t="s">
        <v>2321</v>
      </c>
    </row>
    <row r="591" spans="18:18" x14ac:dyDescent="0.3">
      <c r="R591" t="s">
        <v>1903</v>
      </c>
    </row>
    <row r="592" spans="18:18" x14ac:dyDescent="0.3">
      <c r="R592" t="s">
        <v>1903</v>
      </c>
    </row>
    <row r="593" spans="18:18" x14ac:dyDescent="0.3">
      <c r="R593" t="s">
        <v>1904</v>
      </c>
    </row>
    <row r="594" spans="18:18" x14ac:dyDescent="0.3">
      <c r="R594" t="s">
        <v>2322</v>
      </c>
    </row>
    <row r="595" spans="18:18" x14ac:dyDescent="0.3">
      <c r="R595" t="s">
        <v>1550</v>
      </c>
    </row>
    <row r="596" spans="18:18" x14ac:dyDescent="0.3">
      <c r="R596" t="s">
        <v>1704</v>
      </c>
    </row>
    <row r="597" spans="18:18" x14ac:dyDescent="0.3">
      <c r="R597" t="s">
        <v>2323</v>
      </c>
    </row>
    <row r="598" spans="18:18" x14ac:dyDescent="0.3">
      <c r="R598" t="s">
        <v>2324</v>
      </c>
    </row>
    <row r="599" spans="18:18" x14ac:dyDescent="0.3">
      <c r="R599" t="s">
        <v>270</v>
      </c>
    </row>
    <row r="600" spans="18:18" x14ac:dyDescent="0.3">
      <c r="R600" t="s">
        <v>788</v>
      </c>
    </row>
    <row r="601" spans="18:18" x14ac:dyDescent="0.3">
      <c r="R601" t="s">
        <v>576</v>
      </c>
    </row>
    <row r="602" spans="18:18" x14ac:dyDescent="0.3">
      <c r="R602" t="s">
        <v>4265</v>
      </c>
    </row>
    <row r="603" spans="18:18" x14ac:dyDescent="0.3">
      <c r="R603" t="s">
        <v>271</v>
      </c>
    </row>
    <row r="604" spans="18:18" x14ac:dyDescent="0.3">
      <c r="R604" t="s">
        <v>183</v>
      </c>
    </row>
    <row r="605" spans="18:18" x14ac:dyDescent="0.3">
      <c r="R605" t="s">
        <v>4534</v>
      </c>
    </row>
    <row r="606" spans="18:18" x14ac:dyDescent="0.3">
      <c r="R606" t="s">
        <v>3319</v>
      </c>
    </row>
    <row r="607" spans="18:18" x14ac:dyDescent="0.3">
      <c r="R607" t="s">
        <v>1182</v>
      </c>
    </row>
    <row r="608" spans="18:18" x14ac:dyDescent="0.3">
      <c r="R608" t="s">
        <v>4535</v>
      </c>
    </row>
    <row r="609" spans="18:18" x14ac:dyDescent="0.3">
      <c r="R609" t="s">
        <v>577</v>
      </c>
    </row>
    <row r="610" spans="18:18" x14ac:dyDescent="0.3">
      <c r="R610" t="s">
        <v>2325</v>
      </c>
    </row>
    <row r="611" spans="18:18" x14ac:dyDescent="0.3">
      <c r="R611" t="s">
        <v>2327</v>
      </c>
    </row>
    <row r="612" spans="18:18" x14ac:dyDescent="0.3">
      <c r="R612" t="s">
        <v>1354</v>
      </c>
    </row>
    <row r="613" spans="18:18" x14ac:dyDescent="0.3">
      <c r="R613" t="s">
        <v>3320</v>
      </c>
    </row>
    <row r="614" spans="18:18" x14ac:dyDescent="0.3">
      <c r="R614" t="s">
        <v>578</v>
      </c>
    </row>
    <row r="615" spans="18:18" x14ac:dyDescent="0.3">
      <c r="R615" t="s">
        <v>434</v>
      </c>
    </row>
    <row r="616" spans="18:18" x14ac:dyDescent="0.3">
      <c r="R616" t="s">
        <v>3321</v>
      </c>
    </row>
    <row r="617" spans="18:18" x14ac:dyDescent="0.3">
      <c r="R617" t="s">
        <v>789</v>
      </c>
    </row>
    <row r="618" spans="18:18" x14ac:dyDescent="0.3">
      <c r="R618" t="s">
        <v>2326</v>
      </c>
    </row>
    <row r="619" spans="18:18" x14ac:dyDescent="0.3">
      <c r="R619" t="s">
        <v>184</v>
      </c>
    </row>
    <row r="620" spans="18:18" x14ac:dyDescent="0.3">
      <c r="R620" t="s">
        <v>1551</v>
      </c>
    </row>
    <row r="621" spans="18:18" x14ac:dyDescent="0.3">
      <c r="R621" t="s">
        <v>790</v>
      </c>
    </row>
    <row r="622" spans="18:18" x14ac:dyDescent="0.3">
      <c r="R622" t="s">
        <v>2328</v>
      </c>
    </row>
    <row r="623" spans="18:18" x14ac:dyDescent="0.3">
      <c r="R623" t="s">
        <v>1552</v>
      </c>
    </row>
    <row r="624" spans="18:18" x14ac:dyDescent="0.3">
      <c r="R624" t="s">
        <v>2329</v>
      </c>
    </row>
    <row r="625" spans="18:18" x14ac:dyDescent="0.3">
      <c r="R625" t="s">
        <v>2330</v>
      </c>
    </row>
    <row r="626" spans="18:18" x14ac:dyDescent="0.3">
      <c r="R626" t="s">
        <v>4266</v>
      </c>
    </row>
    <row r="627" spans="18:18" x14ac:dyDescent="0.3">
      <c r="R627" t="s">
        <v>3322</v>
      </c>
    </row>
    <row r="628" spans="18:18" x14ac:dyDescent="0.3">
      <c r="R628" t="s">
        <v>2331</v>
      </c>
    </row>
    <row r="629" spans="18:18" x14ac:dyDescent="0.3">
      <c r="R629" t="s">
        <v>3323</v>
      </c>
    </row>
    <row r="630" spans="18:18" x14ac:dyDescent="0.3">
      <c r="R630" t="s">
        <v>3324</v>
      </c>
    </row>
    <row r="631" spans="18:18" x14ac:dyDescent="0.3">
      <c r="R631" t="s">
        <v>1905</v>
      </c>
    </row>
    <row r="632" spans="18:18" x14ac:dyDescent="0.3">
      <c r="R632" t="s">
        <v>3905</v>
      </c>
    </row>
    <row r="633" spans="18:18" x14ac:dyDescent="0.3">
      <c r="R633" t="s">
        <v>4267</v>
      </c>
    </row>
    <row r="634" spans="18:18" x14ac:dyDescent="0.3">
      <c r="R634" t="s">
        <v>2332</v>
      </c>
    </row>
    <row r="635" spans="18:18" x14ac:dyDescent="0.3">
      <c r="R635" t="s">
        <v>2332</v>
      </c>
    </row>
    <row r="636" spans="18:18" x14ac:dyDescent="0.3">
      <c r="R636" t="s">
        <v>2332</v>
      </c>
    </row>
    <row r="637" spans="18:18" x14ac:dyDescent="0.3">
      <c r="R637" t="s">
        <v>3906</v>
      </c>
    </row>
    <row r="638" spans="18:18" x14ac:dyDescent="0.3">
      <c r="R638" t="s">
        <v>3325</v>
      </c>
    </row>
    <row r="639" spans="18:18" x14ac:dyDescent="0.3">
      <c r="R639" t="s">
        <v>791</v>
      </c>
    </row>
    <row r="640" spans="18:18" x14ac:dyDescent="0.3">
      <c r="R640" t="s">
        <v>1906</v>
      </c>
    </row>
    <row r="641" spans="18:18" x14ac:dyDescent="0.3">
      <c r="R641" t="s">
        <v>1355</v>
      </c>
    </row>
    <row r="642" spans="18:18" x14ac:dyDescent="0.3">
      <c r="R642" t="s">
        <v>3907</v>
      </c>
    </row>
    <row r="643" spans="18:18" x14ac:dyDescent="0.3">
      <c r="R643" t="s">
        <v>1015</v>
      </c>
    </row>
    <row r="644" spans="18:18" x14ac:dyDescent="0.3">
      <c r="R644" t="s">
        <v>238</v>
      </c>
    </row>
    <row r="645" spans="18:18" x14ac:dyDescent="0.3">
      <c r="R645" t="s">
        <v>238</v>
      </c>
    </row>
    <row r="646" spans="18:18" x14ac:dyDescent="0.3">
      <c r="R646" t="s">
        <v>3908</v>
      </c>
    </row>
    <row r="647" spans="18:18" x14ac:dyDescent="0.3">
      <c r="R647" t="s">
        <v>4536</v>
      </c>
    </row>
    <row r="648" spans="18:18" x14ac:dyDescent="0.3">
      <c r="R648" t="s">
        <v>4537</v>
      </c>
    </row>
    <row r="649" spans="18:18" x14ac:dyDescent="0.3">
      <c r="R649" t="s">
        <v>4538</v>
      </c>
    </row>
    <row r="650" spans="18:18" x14ac:dyDescent="0.3">
      <c r="R650" t="s">
        <v>579</v>
      </c>
    </row>
    <row r="651" spans="18:18" x14ac:dyDescent="0.3">
      <c r="R651" t="s">
        <v>4539</v>
      </c>
    </row>
    <row r="652" spans="18:18" x14ac:dyDescent="0.3">
      <c r="R652" t="s">
        <v>185</v>
      </c>
    </row>
    <row r="653" spans="18:18" x14ac:dyDescent="0.3">
      <c r="R653" t="s">
        <v>4540</v>
      </c>
    </row>
    <row r="654" spans="18:18" x14ac:dyDescent="0.3">
      <c r="R654" t="s">
        <v>1907</v>
      </c>
    </row>
    <row r="655" spans="18:18" x14ac:dyDescent="0.3">
      <c r="R655" t="s">
        <v>1705</v>
      </c>
    </row>
    <row r="656" spans="18:18" x14ac:dyDescent="0.3">
      <c r="R656" t="s">
        <v>186</v>
      </c>
    </row>
    <row r="657" spans="18:18" x14ac:dyDescent="0.3">
      <c r="R657" t="s">
        <v>792</v>
      </c>
    </row>
    <row r="658" spans="18:18" x14ac:dyDescent="0.3">
      <c r="R658" t="s">
        <v>792</v>
      </c>
    </row>
    <row r="659" spans="18:18" x14ac:dyDescent="0.3">
      <c r="R659" t="s">
        <v>2333</v>
      </c>
    </row>
    <row r="660" spans="18:18" x14ac:dyDescent="0.3">
      <c r="R660" t="s">
        <v>4268</v>
      </c>
    </row>
    <row r="661" spans="18:18" x14ac:dyDescent="0.3">
      <c r="R661" t="s">
        <v>2334</v>
      </c>
    </row>
    <row r="662" spans="18:18" x14ac:dyDescent="0.3">
      <c r="R662" t="s">
        <v>3909</v>
      </c>
    </row>
    <row r="663" spans="18:18" x14ac:dyDescent="0.3">
      <c r="R663" t="s">
        <v>1183</v>
      </c>
    </row>
    <row r="664" spans="18:18" x14ac:dyDescent="0.3">
      <c r="R664" t="s">
        <v>1553</v>
      </c>
    </row>
    <row r="665" spans="18:18" x14ac:dyDescent="0.3">
      <c r="R665" t="s">
        <v>4979</v>
      </c>
    </row>
    <row r="666" spans="18:18" x14ac:dyDescent="0.3">
      <c r="R666" t="s">
        <v>3326</v>
      </c>
    </row>
    <row r="667" spans="18:18" x14ac:dyDescent="0.3">
      <c r="R667" t="s">
        <v>3327</v>
      </c>
    </row>
    <row r="668" spans="18:18" x14ac:dyDescent="0.3">
      <c r="R668" t="s">
        <v>1554</v>
      </c>
    </row>
    <row r="669" spans="18:18" x14ac:dyDescent="0.3">
      <c r="R669" t="s">
        <v>2335</v>
      </c>
    </row>
    <row r="670" spans="18:18" x14ac:dyDescent="0.3">
      <c r="R670" t="s">
        <v>580</v>
      </c>
    </row>
    <row r="671" spans="18:18" x14ac:dyDescent="0.3">
      <c r="R671" t="s">
        <v>580</v>
      </c>
    </row>
    <row r="672" spans="18:18" x14ac:dyDescent="0.3">
      <c r="R672" t="s">
        <v>580</v>
      </c>
    </row>
    <row r="673" spans="18:18" x14ac:dyDescent="0.3">
      <c r="R673" t="s">
        <v>4270</v>
      </c>
    </row>
    <row r="674" spans="18:18" x14ac:dyDescent="0.3">
      <c r="R674" t="s">
        <v>5199</v>
      </c>
    </row>
    <row r="675" spans="18:18" x14ac:dyDescent="0.3">
      <c r="R675" t="s">
        <v>2336</v>
      </c>
    </row>
    <row r="676" spans="18:18" x14ac:dyDescent="0.3">
      <c r="R676" t="s">
        <v>793</v>
      </c>
    </row>
    <row r="677" spans="18:18" x14ac:dyDescent="0.3">
      <c r="R677" t="s">
        <v>793</v>
      </c>
    </row>
    <row r="678" spans="18:18" x14ac:dyDescent="0.3">
      <c r="R678" t="s">
        <v>793</v>
      </c>
    </row>
    <row r="679" spans="18:18" x14ac:dyDescent="0.3">
      <c r="R679" t="s">
        <v>793</v>
      </c>
    </row>
    <row r="680" spans="18:18" x14ac:dyDescent="0.3">
      <c r="R680" t="s">
        <v>793</v>
      </c>
    </row>
    <row r="681" spans="18:18" x14ac:dyDescent="0.3">
      <c r="R681" t="s">
        <v>1908</v>
      </c>
    </row>
    <row r="682" spans="18:18" x14ac:dyDescent="0.3">
      <c r="R682" t="s">
        <v>2337</v>
      </c>
    </row>
    <row r="683" spans="18:18" x14ac:dyDescent="0.3">
      <c r="R683" t="s">
        <v>1909</v>
      </c>
    </row>
    <row r="684" spans="18:18" x14ac:dyDescent="0.3">
      <c r="R684" t="s">
        <v>581</v>
      </c>
    </row>
    <row r="685" spans="18:18" x14ac:dyDescent="0.3">
      <c r="R685" t="s">
        <v>5200</v>
      </c>
    </row>
    <row r="686" spans="18:18" x14ac:dyDescent="0.3">
      <c r="R686" t="s">
        <v>2338</v>
      </c>
    </row>
    <row r="687" spans="18:18" x14ac:dyDescent="0.3">
      <c r="R687" t="s">
        <v>5052</v>
      </c>
    </row>
    <row r="688" spans="18:18" x14ac:dyDescent="0.3">
      <c r="R688" t="s">
        <v>2339</v>
      </c>
    </row>
    <row r="689" spans="18:18" x14ac:dyDescent="0.3">
      <c r="R689" t="s">
        <v>3176</v>
      </c>
    </row>
    <row r="690" spans="18:18" x14ac:dyDescent="0.3">
      <c r="R690" t="s">
        <v>3104</v>
      </c>
    </row>
    <row r="691" spans="18:18" x14ac:dyDescent="0.3">
      <c r="R691" t="s">
        <v>4271</v>
      </c>
    </row>
    <row r="692" spans="18:18" x14ac:dyDescent="0.3">
      <c r="R692" t="s">
        <v>3910</v>
      </c>
    </row>
    <row r="693" spans="18:18" x14ac:dyDescent="0.3">
      <c r="R693" t="s">
        <v>272</v>
      </c>
    </row>
    <row r="694" spans="18:18" x14ac:dyDescent="0.3">
      <c r="R694" t="s">
        <v>272</v>
      </c>
    </row>
    <row r="695" spans="18:18" x14ac:dyDescent="0.3">
      <c r="R695" t="s">
        <v>3328</v>
      </c>
    </row>
    <row r="696" spans="18:18" x14ac:dyDescent="0.3">
      <c r="R696" t="s">
        <v>582</v>
      </c>
    </row>
    <row r="697" spans="18:18" x14ac:dyDescent="0.3">
      <c r="R697" t="s">
        <v>4541</v>
      </c>
    </row>
    <row r="698" spans="18:18" x14ac:dyDescent="0.3">
      <c r="R698" t="s">
        <v>794</v>
      </c>
    </row>
    <row r="699" spans="18:18" x14ac:dyDescent="0.3">
      <c r="R699" t="s">
        <v>4542</v>
      </c>
    </row>
    <row r="700" spans="18:18" x14ac:dyDescent="0.3">
      <c r="R700" t="s">
        <v>2340</v>
      </c>
    </row>
    <row r="701" spans="18:18" x14ac:dyDescent="0.3">
      <c r="R701" t="s">
        <v>4272</v>
      </c>
    </row>
    <row r="702" spans="18:18" x14ac:dyDescent="0.3">
      <c r="R702" t="s">
        <v>4543</v>
      </c>
    </row>
    <row r="703" spans="18:18" x14ac:dyDescent="0.3">
      <c r="R703" t="s">
        <v>1356</v>
      </c>
    </row>
    <row r="704" spans="18:18" x14ac:dyDescent="0.3">
      <c r="R704" t="s">
        <v>1356</v>
      </c>
    </row>
    <row r="705" spans="18:18" x14ac:dyDescent="0.3">
      <c r="R705" t="s">
        <v>1356</v>
      </c>
    </row>
    <row r="706" spans="18:18" x14ac:dyDescent="0.3">
      <c r="R706" t="s">
        <v>3329</v>
      </c>
    </row>
    <row r="707" spans="18:18" x14ac:dyDescent="0.3">
      <c r="R707" t="s">
        <v>3911</v>
      </c>
    </row>
    <row r="708" spans="18:18" x14ac:dyDescent="0.3">
      <c r="R708" t="s">
        <v>4269</v>
      </c>
    </row>
    <row r="709" spans="18:18" x14ac:dyDescent="0.3">
      <c r="R709" t="s">
        <v>239</v>
      </c>
    </row>
    <row r="710" spans="18:18" x14ac:dyDescent="0.3">
      <c r="R710" t="s">
        <v>239</v>
      </c>
    </row>
    <row r="711" spans="18:18" x14ac:dyDescent="0.3">
      <c r="R711" t="s">
        <v>795</v>
      </c>
    </row>
    <row r="712" spans="18:18" x14ac:dyDescent="0.3">
      <c r="R712" t="s">
        <v>5201</v>
      </c>
    </row>
    <row r="713" spans="18:18" x14ac:dyDescent="0.3">
      <c r="R713" t="s">
        <v>2341</v>
      </c>
    </row>
    <row r="714" spans="18:18" x14ac:dyDescent="0.3">
      <c r="R714" t="s">
        <v>1910</v>
      </c>
    </row>
    <row r="715" spans="18:18" x14ac:dyDescent="0.3">
      <c r="R715" t="s">
        <v>273</v>
      </c>
    </row>
    <row r="716" spans="18:18" x14ac:dyDescent="0.3">
      <c r="R716" t="s">
        <v>273</v>
      </c>
    </row>
    <row r="717" spans="18:18" x14ac:dyDescent="0.3">
      <c r="R717" t="s">
        <v>273</v>
      </c>
    </row>
    <row r="718" spans="18:18" x14ac:dyDescent="0.3">
      <c r="R718" t="s">
        <v>273</v>
      </c>
    </row>
    <row r="719" spans="18:18" x14ac:dyDescent="0.3">
      <c r="R719" t="s">
        <v>2342</v>
      </c>
    </row>
    <row r="720" spans="18:18" x14ac:dyDescent="0.3">
      <c r="R720" t="s">
        <v>1357</v>
      </c>
    </row>
    <row r="721" spans="18:18" x14ac:dyDescent="0.3">
      <c r="R721" t="s">
        <v>5202</v>
      </c>
    </row>
    <row r="722" spans="18:18" x14ac:dyDescent="0.3">
      <c r="R722" t="s">
        <v>1358</v>
      </c>
    </row>
    <row r="723" spans="18:18" x14ac:dyDescent="0.3">
      <c r="R723" t="s">
        <v>4544</v>
      </c>
    </row>
    <row r="724" spans="18:18" x14ac:dyDescent="0.3">
      <c r="R724" t="s">
        <v>796</v>
      </c>
    </row>
    <row r="725" spans="18:18" x14ac:dyDescent="0.3">
      <c r="R725" t="s">
        <v>1799</v>
      </c>
    </row>
    <row r="726" spans="18:18" x14ac:dyDescent="0.3">
      <c r="R726" t="s">
        <v>1911</v>
      </c>
    </row>
    <row r="727" spans="18:18" x14ac:dyDescent="0.3">
      <c r="R727" t="s">
        <v>3330</v>
      </c>
    </row>
    <row r="728" spans="18:18" x14ac:dyDescent="0.3">
      <c r="R728" t="s">
        <v>3331</v>
      </c>
    </row>
    <row r="729" spans="18:18" x14ac:dyDescent="0.3">
      <c r="R729" t="s">
        <v>187</v>
      </c>
    </row>
    <row r="730" spans="18:18" x14ac:dyDescent="0.3">
      <c r="R730" t="s">
        <v>1360</v>
      </c>
    </row>
    <row r="731" spans="18:18" x14ac:dyDescent="0.3">
      <c r="R731" t="s">
        <v>1360</v>
      </c>
    </row>
    <row r="732" spans="18:18" x14ac:dyDescent="0.3">
      <c r="R732" t="s">
        <v>2343</v>
      </c>
    </row>
    <row r="733" spans="18:18" x14ac:dyDescent="0.3">
      <c r="R733" t="s">
        <v>3332</v>
      </c>
    </row>
    <row r="734" spans="18:18" x14ac:dyDescent="0.3">
      <c r="R734" t="s">
        <v>3912</v>
      </c>
    </row>
    <row r="735" spans="18:18" x14ac:dyDescent="0.3">
      <c r="R735" t="s">
        <v>4545</v>
      </c>
    </row>
    <row r="736" spans="18:18" x14ac:dyDescent="0.3">
      <c r="R736" t="s">
        <v>2344</v>
      </c>
    </row>
    <row r="737" spans="18:18" x14ac:dyDescent="0.3">
      <c r="R737" t="s">
        <v>3333</v>
      </c>
    </row>
    <row r="738" spans="18:18" x14ac:dyDescent="0.3">
      <c r="R738" t="s">
        <v>2345</v>
      </c>
    </row>
    <row r="739" spans="18:18" x14ac:dyDescent="0.3">
      <c r="R739" t="s">
        <v>1912</v>
      </c>
    </row>
    <row r="740" spans="18:18" x14ac:dyDescent="0.3">
      <c r="R740" t="s">
        <v>4273</v>
      </c>
    </row>
    <row r="741" spans="18:18" x14ac:dyDescent="0.3">
      <c r="R741" t="s">
        <v>4546</v>
      </c>
    </row>
    <row r="742" spans="18:18" x14ac:dyDescent="0.3">
      <c r="R742" t="s">
        <v>4274</v>
      </c>
    </row>
    <row r="743" spans="18:18" x14ac:dyDescent="0.3">
      <c r="R743" t="s">
        <v>4275</v>
      </c>
    </row>
    <row r="744" spans="18:18" x14ac:dyDescent="0.3">
      <c r="R744" t="s">
        <v>4547</v>
      </c>
    </row>
    <row r="745" spans="18:18" x14ac:dyDescent="0.3">
      <c r="R745" t="s">
        <v>274</v>
      </c>
    </row>
    <row r="746" spans="18:18" x14ac:dyDescent="0.3">
      <c r="R746" t="s">
        <v>3334</v>
      </c>
    </row>
    <row r="747" spans="18:18" x14ac:dyDescent="0.3">
      <c r="R747" t="s">
        <v>3913</v>
      </c>
    </row>
    <row r="748" spans="18:18" x14ac:dyDescent="0.3">
      <c r="R748" t="s">
        <v>1706</v>
      </c>
    </row>
    <row r="749" spans="18:18" x14ac:dyDescent="0.3">
      <c r="R749" t="s">
        <v>2348</v>
      </c>
    </row>
    <row r="750" spans="18:18" x14ac:dyDescent="0.3">
      <c r="R750" t="s">
        <v>275</v>
      </c>
    </row>
    <row r="751" spans="18:18" x14ac:dyDescent="0.3">
      <c r="R751" t="s">
        <v>4980</v>
      </c>
    </row>
    <row r="752" spans="18:18" x14ac:dyDescent="0.3">
      <c r="R752" t="s">
        <v>2346</v>
      </c>
    </row>
    <row r="753" spans="18:18" x14ac:dyDescent="0.3">
      <c r="R753" t="s">
        <v>3914</v>
      </c>
    </row>
    <row r="754" spans="18:18" x14ac:dyDescent="0.3">
      <c r="R754" t="s">
        <v>435</v>
      </c>
    </row>
    <row r="755" spans="18:18" x14ac:dyDescent="0.3">
      <c r="R755" t="s">
        <v>154</v>
      </c>
    </row>
    <row r="756" spans="18:18" x14ac:dyDescent="0.3">
      <c r="R756" t="s">
        <v>797</v>
      </c>
    </row>
    <row r="757" spans="18:18" x14ac:dyDescent="0.3">
      <c r="R757" t="s">
        <v>5396</v>
      </c>
    </row>
    <row r="758" spans="18:18" x14ac:dyDescent="0.3">
      <c r="R758" t="s">
        <v>2347</v>
      </c>
    </row>
    <row r="759" spans="18:18" x14ac:dyDescent="0.3">
      <c r="R759" t="s">
        <v>5053</v>
      </c>
    </row>
    <row r="760" spans="18:18" x14ac:dyDescent="0.3">
      <c r="R760" t="s">
        <v>3335</v>
      </c>
    </row>
    <row r="761" spans="18:18" x14ac:dyDescent="0.3">
      <c r="R761" t="s">
        <v>2349</v>
      </c>
    </row>
    <row r="762" spans="18:18" x14ac:dyDescent="0.3">
      <c r="R762" t="s">
        <v>5203</v>
      </c>
    </row>
    <row r="763" spans="18:18" x14ac:dyDescent="0.3">
      <c r="R763" t="s">
        <v>2350</v>
      </c>
    </row>
    <row r="764" spans="18:18" x14ac:dyDescent="0.3">
      <c r="R764" t="s">
        <v>1555</v>
      </c>
    </row>
    <row r="765" spans="18:18" x14ac:dyDescent="0.3">
      <c r="R765" t="s">
        <v>3105</v>
      </c>
    </row>
    <row r="766" spans="18:18" x14ac:dyDescent="0.3">
      <c r="R766" t="s">
        <v>1184</v>
      </c>
    </row>
    <row r="767" spans="18:18" x14ac:dyDescent="0.3">
      <c r="R767" t="s">
        <v>1184</v>
      </c>
    </row>
    <row r="768" spans="18:18" x14ac:dyDescent="0.3">
      <c r="R768" t="s">
        <v>436</v>
      </c>
    </row>
    <row r="769" spans="18:18" x14ac:dyDescent="0.3">
      <c r="R769" t="s">
        <v>583</v>
      </c>
    </row>
    <row r="770" spans="18:18" x14ac:dyDescent="0.3">
      <c r="R770" t="s">
        <v>3336</v>
      </c>
    </row>
    <row r="771" spans="18:18" x14ac:dyDescent="0.3">
      <c r="R771" t="s">
        <v>1556</v>
      </c>
    </row>
    <row r="772" spans="18:18" x14ac:dyDescent="0.3">
      <c r="R772" t="s">
        <v>584</v>
      </c>
    </row>
    <row r="773" spans="18:18" x14ac:dyDescent="0.3">
      <c r="R773" t="s">
        <v>1361</v>
      </c>
    </row>
    <row r="774" spans="18:18" x14ac:dyDescent="0.3">
      <c r="R774" t="s">
        <v>798</v>
      </c>
    </row>
    <row r="775" spans="18:18" x14ac:dyDescent="0.3">
      <c r="R775" t="s">
        <v>1362</v>
      </c>
    </row>
    <row r="776" spans="18:18" x14ac:dyDescent="0.3">
      <c r="R776" t="s">
        <v>1800</v>
      </c>
    </row>
    <row r="777" spans="18:18" x14ac:dyDescent="0.3">
      <c r="R777" t="s">
        <v>276</v>
      </c>
    </row>
    <row r="778" spans="18:18" x14ac:dyDescent="0.3">
      <c r="R778" t="s">
        <v>1016</v>
      </c>
    </row>
    <row r="779" spans="18:18" x14ac:dyDescent="0.3">
      <c r="R779" t="s">
        <v>1913</v>
      </c>
    </row>
    <row r="780" spans="18:18" x14ac:dyDescent="0.3">
      <c r="R780" t="s">
        <v>1914</v>
      </c>
    </row>
    <row r="781" spans="18:18" x14ac:dyDescent="0.3">
      <c r="R781" t="s">
        <v>277</v>
      </c>
    </row>
    <row r="782" spans="18:18" x14ac:dyDescent="0.3">
      <c r="R782" t="s">
        <v>278</v>
      </c>
    </row>
    <row r="783" spans="18:18" x14ac:dyDescent="0.3">
      <c r="R783" t="s">
        <v>5204</v>
      </c>
    </row>
    <row r="784" spans="18:18" x14ac:dyDescent="0.3">
      <c r="R784" t="s">
        <v>4548</v>
      </c>
    </row>
    <row r="785" spans="18:18" x14ac:dyDescent="0.3">
      <c r="R785" t="s">
        <v>3337</v>
      </c>
    </row>
    <row r="786" spans="18:18" x14ac:dyDescent="0.3">
      <c r="R786" t="s">
        <v>3338</v>
      </c>
    </row>
    <row r="787" spans="18:18" x14ac:dyDescent="0.3">
      <c r="R787" t="s">
        <v>1915</v>
      </c>
    </row>
    <row r="788" spans="18:18" x14ac:dyDescent="0.3">
      <c r="R788" t="s">
        <v>2351</v>
      </c>
    </row>
    <row r="789" spans="18:18" x14ac:dyDescent="0.3">
      <c r="R789" t="s">
        <v>1916</v>
      </c>
    </row>
    <row r="790" spans="18:18" x14ac:dyDescent="0.3">
      <c r="R790" t="s">
        <v>4276</v>
      </c>
    </row>
    <row r="791" spans="18:18" x14ac:dyDescent="0.3">
      <c r="R791" t="s">
        <v>4277</v>
      </c>
    </row>
    <row r="792" spans="18:18" x14ac:dyDescent="0.3">
      <c r="R792" t="s">
        <v>2352</v>
      </c>
    </row>
    <row r="793" spans="18:18" x14ac:dyDescent="0.3">
      <c r="R793" t="s">
        <v>2353</v>
      </c>
    </row>
    <row r="794" spans="18:18" x14ac:dyDescent="0.3">
      <c r="R794" t="s">
        <v>1557</v>
      </c>
    </row>
    <row r="795" spans="18:18" x14ac:dyDescent="0.3">
      <c r="R795" t="s">
        <v>1917</v>
      </c>
    </row>
    <row r="796" spans="18:18" x14ac:dyDescent="0.3">
      <c r="R796" t="s">
        <v>2354</v>
      </c>
    </row>
    <row r="797" spans="18:18" x14ac:dyDescent="0.3">
      <c r="R797" t="s">
        <v>1558</v>
      </c>
    </row>
    <row r="798" spans="18:18" x14ac:dyDescent="0.3">
      <c r="R798" t="s">
        <v>155</v>
      </c>
    </row>
    <row r="799" spans="18:18" x14ac:dyDescent="0.3">
      <c r="R799" t="s">
        <v>279</v>
      </c>
    </row>
    <row r="800" spans="18:18" x14ac:dyDescent="0.3">
      <c r="R800" t="s">
        <v>3339</v>
      </c>
    </row>
    <row r="801" spans="18:18" x14ac:dyDescent="0.3">
      <c r="R801" t="s">
        <v>3340</v>
      </c>
    </row>
    <row r="802" spans="18:18" x14ac:dyDescent="0.3">
      <c r="R802" t="s">
        <v>585</v>
      </c>
    </row>
    <row r="803" spans="18:18" x14ac:dyDescent="0.3">
      <c r="R803" t="s">
        <v>5205</v>
      </c>
    </row>
    <row r="804" spans="18:18" x14ac:dyDescent="0.3">
      <c r="R804" t="s">
        <v>586</v>
      </c>
    </row>
    <row r="805" spans="18:18" x14ac:dyDescent="0.3">
      <c r="R805" t="s">
        <v>5206</v>
      </c>
    </row>
    <row r="806" spans="18:18" x14ac:dyDescent="0.3">
      <c r="R806" t="s">
        <v>437</v>
      </c>
    </row>
    <row r="807" spans="18:18" x14ac:dyDescent="0.3">
      <c r="R807" t="s">
        <v>799</v>
      </c>
    </row>
    <row r="808" spans="18:18" x14ac:dyDescent="0.3">
      <c r="R808" t="s">
        <v>800</v>
      </c>
    </row>
    <row r="809" spans="18:18" x14ac:dyDescent="0.3">
      <c r="R809" t="s">
        <v>587</v>
      </c>
    </row>
    <row r="810" spans="18:18" x14ac:dyDescent="0.3">
      <c r="R810" t="s">
        <v>5207</v>
      </c>
    </row>
    <row r="811" spans="18:18" x14ac:dyDescent="0.3">
      <c r="R811" t="s">
        <v>1918</v>
      </c>
    </row>
    <row r="812" spans="18:18" x14ac:dyDescent="0.3">
      <c r="R812" t="s">
        <v>588</v>
      </c>
    </row>
    <row r="813" spans="18:18" x14ac:dyDescent="0.3">
      <c r="R813" t="s">
        <v>127</v>
      </c>
    </row>
    <row r="814" spans="18:18" x14ac:dyDescent="0.3">
      <c r="R814" t="s">
        <v>127</v>
      </c>
    </row>
    <row r="815" spans="18:18" x14ac:dyDescent="0.3">
      <c r="R815" t="s">
        <v>3341</v>
      </c>
    </row>
    <row r="816" spans="18:18" x14ac:dyDescent="0.3">
      <c r="R816" t="s">
        <v>2355</v>
      </c>
    </row>
    <row r="817" spans="18:18" x14ac:dyDescent="0.3">
      <c r="R817" t="s">
        <v>4549</v>
      </c>
    </row>
    <row r="818" spans="18:18" x14ac:dyDescent="0.3">
      <c r="R818" t="s">
        <v>188</v>
      </c>
    </row>
    <row r="819" spans="18:18" x14ac:dyDescent="0.3">
      <c r="R819" t="s">
        <v>1363</v>
      </c>
    </row>
    <row r="820" spans="18:18" x14ac:dyDescent="0.3">
      <c r="R820" t="s">
        <v>4981</v>
      </c>
    </row>
    <row r="821" spans="18:18" x14ac:dyDescent="0.3">
      <c r="R821" t="s">
        <v>1919</v>
      </c>
    </row>
    <row r="822" spans="18:18" x14ac:dyDescent="0.3">
      <c r="R822" t="s">
        <v>1364</v>
      </c>
    </row>
    <row r="823" spans="18:18" x14ac:dyDescent="0.3">
      <c r="R823" t="s">
        <v>1920</v>
      </c>
    </row>
    <row r="824" spans="18:18" x14ac:dyDescent="0.3">
      <c r="R824" t="s">
        <v>2356</v>
      </c>
    </row>
    <row r="825" spans="18:18" x14ac:dyDescent="0.3">
      <c r="R825" t="s">
        <v>5208</v>
      </c>
    </row>
    <row r="826" spans="18:18" x14ac:dyDescent="0.3">
      <c r="R826" t="s">
        <v>801</v>
      </c>
    </row>
    <row r="827" spans="18:18" x14ac:dyDescent="0.3">
      <c r="R827" t="s">
        <v>1365</v>
      </c>
    </row>
    <row r="828" spans="18:18" x14ac:dyDescent="0.3">
      <c r="R828" t="s">
        <v>102</v>
      </c>
    </row>
    <row r="829" spans="18:18" x14ac:dyDescent="0.3">
      <c r="R829" t="s">
        <v>1559</v>
      </c>
    </row>
    <row r="830" spans="18:18" x14ac:dyDescent="0.3">
      <c r="R830" t="s">
        <v>3177</v>
      </c>
    </row>
    <row r="831" spans="18:18" x14ac:dyDescent="0.3">
      <c r="R831" t="s">
        <v>2357</v>
      </c>
    </row>
    <row r="832" spans="18:18" x14ac:dyDescent="0.3">
      <c r="R832" t="s">
        <v>3342</v>
      </c>
    </row>
    <row r="833" spans="18:18" x14ac:dyDescent="0.3">
      <c r="R833" t="s">
        <v>3343</v>
      </c>
    </row>
    <row r="834" spans="18:18" x14ac:dyDescent="0.3">
      <c r="R834" t="s">
        <v>1560</v>
      </c>
    </row>
    <row r="835" spans="18:18" x14ac:dyDescent="0.3">
      <c r="R835" t="s">
        <v>4278</v>
      </c>
    </row>
    <row r="836" spans="18:18" x14ac:dyDescent="0.3">
      <c r="R836" t="s">
        <v>3344</v>
      </c>
    </row>
    <row r="837" spans="18:18" x14ac:dyDescent="0.3">
      <c r="R837" t="s">
        <v>4550</v>
      </c>
    </row>
    <row r="838" spans="18:18" x14ac:dyDescent="0.3">
      <c r="R838" t="s">
        <v>129</v>
      </c>
    </row>
    <row r="839" spans="18:18" x14ac:dyDescent="0.3">
      <c r="R839" t="s">
        <v>4551</v>
      </c>
    </row>
    <row r="840" spans="18:18" x14ac:dyDescent="0.3">
      <c r="R840" t="s">
        <v>5054</v>
      </c>
    </row>
    <row r="841" spans="18:18" x14ac:dyDescent="0.3">
      <c r="R841" t="s">
        <v>1921</v>
      </c>
    </row>
    <row r="842" spans="18:18" x14ac:dyDescent="0.3">
      <c r="R842" t="s">
        <v>5209</v>
      </c>
    </row>
    <row r="843" spans="18:18" x14ac:dyDescent="0.3">
      <c r="R843" t="s">
        <v>2358</v>
      </c>
    </row>
    <row r="844" spans="18:18" x14ac:dyDescent="0.3">
      <c r="R844" t="s">
        <v>5210</v>
      </c>
    </row>
    <row r="845" spans="18:18" x14ac:dyDescent="0.3">
      <c r="R845" t="s">
        <v>2359</v>
      </c>
    </row>
    <row r="846" spans="18:18" x14ac:dyDescent="0.3">
      <c r="R846" t="s">
        <v>2285</v>
      </c>
    </row>
    <row r="847" spans="18:18" x14ac:dyDescent="0.3">
      <c r="R847" t="s">
        <v>281</v>
      </c>
    </row>
    <row r="848" spans="18:18" x14ac:dyDescent="0.3">
      <c r="R848" t="s">
        <v>280</v>
      </c>
    </row>
    <row r="849" spans="18:18" x14ac:dyDescent="0.3">
      <c r="R849" t="s">
        <v>4552</v>
      </c>
    </row>
    <row r="850" spans="18:18" x14ac:dyDescent="0.3">
      <c r="R850" t="s">
        <v>1366</v>
      </c>
    </row>
    <row r="851" spans="18:18" x14ac:dyDescent="0.3">
      <c r="R851" t="s">
        <v>2360</v>
      </c>
    </row>
    <row r="852" spans="18:18" x14ac:dyDescent="0.3">
      <c r="R852" t="s">
        <v>2360</v>
      </c>
    </row>
    <row r="853" spans="18:18" x14ac:dyDescent="0.3">
      <c r="R853" t="s">
        <v>589</v>
      </c>
    </row>
    <row r="854" spans="18:18" x14ac:dyDescent="0.3">
      <c r="R854" t="s">
        <v>3345</v>
      </c>
    </row>
    <row r="855" spans="18:18" x14ac:dyDescent="0.3">
      <c r="R855" t="s">
        <v>3178</v>
      </c>
    </row>
    <row r="856" spans="18:18" x14ac:dyDescent="0.3">
      <c r="R856" t="s">
        <v>438</v>
      </c>
    </row>
    <row r="857" spans="18:18" x14ac:dyDescent="0.3">
      <c r="R857" t="s">
        <v>438</v>
      </c>
    </row>
    <row r="858" spans="18:18" x14ac:dyDescent="0.3">
      <c r="R858" t="s">
        <v>438</v>
      </c>
    </row>
    <row r="859" spans="18:18" x14ac:dyDescent="0.3">
      <c r="R859" t="s">
        <v>3106</v>
      </c>
    </row>
    <row r="860" spans="18:18" x14ac:dyDescent="0.3">
      <c r="R860" t="s">
        <v>1367</v>
      </c>
    </row>
    <row r="861" spans="18:18" x14ac:dyDescent="0.3">
      <c r="R861" t="s">
        <v>1368</v>
      </c>
    </row>
    <row r="862" spans="18:18" x14ac:dyDescent="0.3">
      <c r="R862" t="s">
        <v>1369</v>
      </c>
    </row>
    <row r="863" spans="18:18" x14ac:dyDescent="0.3">
      <c r="R863" t="s">
        <v>1707</v>
      </c>
    </row>
    <row r="864" spans="18:18" x14ac:dyDescent="0.3">
      <c r="R864" t="s">
        <v>4553</v>
      </c>
    </row>
    <row r="865" spans="18:18" x14ac:dyDescent="0.3">
      <c r="R865" t="s">
        <v>103</v>
      </c>
    </row>
    <row r="866" spans="18:18" x14ac:dyDescent="0.3">
      <c r="R866" t="s">
        <v>3346</v>
      </c>
    </row>
    <row r="867" spans="18:18" x14ac:dyDescent="0.3">
      <c r="R867" t="s">
        <v>5211</v>
      </c>
    </row>
    <row r="868" spans="18:18" x14ac:dyDescent="0.3">
      <c r="R868" t="s">
        <v>1922</v>
      </c>
    </row>
    <row r="869" spans="18:18" x14ac:dyDescent="0.3">
      <c r="R869" t="s">
        <v>1923</v>
      </c>
    </row>
    <row r="870" spans="18:18" x14ac:dyDescent="0.3">
      <c r="R870" t="s">
        <v>2361</v>
      </c>
    </row>
    <row r="871" spans="18:18" x14ac:dyDescent="0.3">
      <c r="R871" t="s">
        <v>1924</v>
      </c>
    </row>
    <row r="872" spans="18:18" x14ac:dyDescent="0.3">
      <c r="R872" t="s">
        <v>2362</v>
      </c>
    </row>
    <row r="873" spans="18:18" x14ac:dyDescent="0.3">
      <c r="R873" t="s">
        <v>1561</v>
      </c>
    </row>
    <row r="874" spans="18:18" x14ac:dyDescent="0.3">
      <c r="R874" t="s">
        <v>1925</v>
      </c>
    </row>
    <row r="875" spans="18:18" x14ac:dyDescent="0.3">
      <c r="R875" t="s">
        <v>1926</v>
      </c>
    </row>
    <row r="876" spans="18:18" x14ac:dyDescent="0.3">
      <c r="R876" t="s">
        <v>3915</v>
      </c>
    </row>
    <row r="877" spans="18:18" x14ac:dyDescent="0.3">
      <c r="R877" t="s">
        <v>3347</v>
      </c>
    </row>
    <row r="878" spans="18:18" x14ac:dyDescent="0.3">
      <c r="R878" t="s">
        <v>3347</v>
      </c>
    </row>
    <row r="879" spans="18:18" x14ac:dyDescent="0.3">
      <c r="R879" t="s">
        <v>3916</v>
      </c>
    </row>
    <row r="880" spans="18:18" x14ac:dyDescent="0.3">
      <c r="R880" t="s">
        <v>3348</v>
      </c>
    </row>
    <row r="881" spans="18:18" x14ac:dyDescent="0.3">
      <c r="R881" t="s">
        <v>2363</v>
      </c>
    </row>
    <row r="882" spans="18:18" x14ac:dyDescent="0.3">
      <c r="R882" t="s">
        <v>5212</v>
      </c>
    </row>
    <row r="883" spans="18:18" x14ac:dyDescent="0.3">
      <c r="R883" t="s">
        <v>4554</v>
      </c>
    </row>
    <row r="884" spans="18:18" x14ac:dyDescent="0.3">
      <c r="R884" t="s">
        <v>4279</v>
      </c>
    </row>
    <row r="885" spans="18:18" x14ac:dyDescent="0.3">
      <c r="R885" t="s">
        <v>1370</v>
      </c>
    </row>
    <row r="886" spans="18:18" x14ac:dyDescent="0.3">
      <c r="R886" t="s">
        <v>1370</v>
      </c>
    </row>
    <row r="887" spans="18:18" x14ac:dyDescent="0.3">
      <c r="R887" t="s">
        <v>1185</v>
      </c>
    </row>
    <row r="888" spans="18:18" x14ac:dyDescent="0.3">
      <c r="R888" t="s">
        <v>1186</v>
      </c>
    </row>
    <row r="889" spans="18:18" x14ac:dyDescent="0.3">
      <c r="R889" t="s">
        <v>1187</v>
      </c>
    </row>
    <row r="890" spans="18:18" x14ac:dyDescent="0.3">
      <c r="R890" t="s">
        <v>3349</v>
      </c>
    </row>
    <row r="891" spans="18:18" x14ac:dyDescent="0.3">
      <c r="R891" t="s">
        <v>1927</v>
      </c>
    </row>
    <row r="892" spans="18:18" x14ac:dyDescent="0.3">
      <c r="R892" t="s">
        <v>3350</v>
      </c>
    </row>
    <row r="893" spans="18:18" x14ac:dyDescent="0.3">
      <c r="R893" t="s">
        <v>3351</v>
      </c>
    </row>
    <row r="894" spans="18:18" x14ac:dyDescent="0.3">
      <c r="R894" t="s">
        <v>590</v>
      </c>
    </row>
    <row r="895" spans="18:18" x14ac:dyDescent="0.3">
      <c r="R895" t="s">
        <v>591</v>
      </c>
    </row>
    <row r="896" spans="18:18" x14ac:dyDescent="0.3">
      <c r="R896" t="s">
        <v>3352</v>
      </c>
    </row>
    <row r="897" spans="18:18" x14ac:dyDescent="0.3">
      <c r="R897" t="s">
        <v>1371</v>
      </c>
    </row>
    <row r="898" spans="18:18" x14ac:dyDescent="0.3">
      <c r="R898" t="s">
        <v>802</v>
      </c>
    </row>
    <row r="899" spans="18:18" x14ac:dyDescent="0.3">
      <c r="R899" t="s">
        <v>1372</v>
      </c>
    </row>
    <row r="900" spans="18:18" x14ac:dyDescent="0.3">
      <c r="R900" t="s">
        <v>3353</v>
      </c>
    </row>
    <row r="901" spans="18:18" x14ac:dyDescent="0.3">
      <c r="R901" t="s">
        <v>1708</v>
      </c>
    </row>
    <row r="902" spans="18:18" x14ac:dyDescent="0.3">
      <c r="R902" t="s">
        <v>803</v>
      </c>
    </row>
    <row r="903" spans="18:18" x14ac:dyDescent="0.3">
      <c r="R903" t="s">
        <v>2364</v>
      </c>
    </row>
    <row r="904" spans="18:18" x14ac:dyDescent="0.3">
      <c r="R904" t="s">
        <v>3354</v>
      </c>
    </row>
    <row r="905" spans="18:18" x14ac:dyDescent="0.3">
      <c r="R905" t="s">
        <v>1562</v>
      </c>
    </row>
    <row r="906" spans="18:18" x14ac:dyDescent="0.3">
      <c r="R906" t="s">
        <v>398</v>
      </c>
    </row>
    <row r="907" spans="18:18" x14ac:dyDescent="0.3">
      <c r="R907" t="s">
        <v>2365</v>
      </c>
    </row>
    <row r="908" spans="18:18" x14ac:dyDescent="0.3">
      <c r="R908" t="s">
        <v>1373</v>
      </c>
    </row>
    <row r="909" spans="18:18" x14ac:dyDescent="0.3">
      <c r="R909" t="s">
        <v>5213</v>
      </c>
    </row>
    <row r="910" spans="18:18" x14ac:dyDescent="0.3">
      <c r="R910" t="s">
        <v>5214</v>
      </c>
    </row>
    <row r="911" spans="18:18" x14ac:dyDescent="0.3">
      <c r="R911" t="s">
        <v>1928</v>
      </c>
    </row>
    <row r="912" spans="18:18" x14ac:dyDescent="0.3">
      <c r="R912" t="s">
        <v>804</v>
      </c>
    </row>
    <row r="913" spans="18:18" x14ac:dyDescent="0.3">
      <c r="R913" t="s">
        <v>3917</v>
      </c>
    </row>
    <row r="914" spans="18:18" x14ac:dyDescent="0.3">
      <c r="R914" t="s">
        <v>4280</v>
      </c>
    </row>
    <row r="915" spans="18:18" x14ac:dyDescent="0.3">
      <c r="R915" t="s">
        <v>1563</v>
      </c>
    </row>
    <row r="916" spans="18:18" x14ac:dyDescent="0.3">
      <c r="R916" t="s">
        <v>1929</v>
      </c>
    </row>
    <row r="917" spans="18:18" x14ac:dyDescent="0.3">
      <c r="R917" t="s">
        <v>1930</v>
      </c>
    </row>
    <row r="918" spans="18:18" x14ac:dyDescent="0.3">
      <c r="R918" t="s">
        <v>2366</v>
      </c>
    </row>
    <row r="919" spans="18:18" x14ac:dyDescent="0.3">
      <c r="R919" t="s">
        <v>1374</v>
      </c>
    </row>
    <row r="920" spans="18:18" x14ac:dyDescent="0.3">
      <c r="R920" t="s">
        <v>1931</v>
      </c>
    </row>
    <row r="921" spans="18:18" x14ac:dyDescent="0.3">
      <c r="R921" t="s">
        <v>2367</v>
      </c>
    </row>
    <row r="922" spans="18:18" x14ac:dyDescent="0.3">
      <c r="R922" t="s">
        <v>4982</v>
      </c>
    </row>
    <row r="923" spans="18:18" x14ac:dyDescent="0.3">
      <c r="R923" t="s">
        <v>4555</v>
      </c>
    </row>
    <row r="924" spans="18:18" x14ac:dyDescent="0.3">
      <c r="R924" t="s">
        <v>1564</v>
      </c>
    </row>
    <row r="925" spans="18:18" x14ac:dyDescent="0.3">
      <c r="R925" t="s">
        <v>4556</v>
      </c>
    </row>
    <row r="926" spans="18:18" x14ac:dyDescent="0.3">
      <c r="R926" t="s">
        <v>3918</v>
      </c>
    </row>
    <row r="927" spans="18:18" x14ac:dyDescent="0.3">
      <c r="R927" t="s">
        <v>4557</v>
      </c>
    </row>
    <row r="928" spans="18:18" x14ac:dyDescent="0.3">
      <c r="R928" t="s">
        <v>3919</v>
      </c>
    </row>
    <row r="929" spans="18:18" x14ac:dyDescent="0.3">
      <c r="R929" t="s">
        <v>3920</v>
      </c>
    </row>
    <row r="930" spans="18:18" x14ac:dyDescent="0.3">
      <c r="R930" t="s">
        <v>4281</v>
      </c>
    </row>
    <row r="931" spans="18:18" x14ac:dyDescent="0.3">
      <c r="R931" t="s">
        <v>3179</v>
      </c>
    </row>
    <row r="932" spans="18:18" x14ac:dyDescent="0.3">
      <c r="R932" t="s">
        <v>2368</v>
      </c>
    </row>
    <row r="933" spans="18:18" x14ac:dyDescent="0.3">
      <c r="R933" t="s">
        <v>2369</v>
      </c>
    </row>
    <row r="934" spans="18:18" x14ac:dyDescent="0.3">
      <c r="R934" t="s">
        <v>282</v>
      </c>
    </row>
    <row r="935" spans="18:18" x14ac:dyDescent="0.3">
      <c r="R935" t="s">
        <v>1017</v>
      </c>
    </row>
    <row r="936" spans="18:18" x14ac:dyDescent="0.3">
      <c r="R936" t="s">
        <v>1565</v>
      </c>
    </row>
    <row r="937" spans="18:18" x14ac:dyDescent="0.3">
      <c r="R937" t="s">
        <v>2370</v>
      </c>
    </row>
    <row r="938" spans="18:18" x14ac:dyDescent="0.3">
      <c r="R938" t="s">
        <v>2371</v>
      </c>
    </row>
    <row r="939" spans="18:18" x14ac:dyDescent="0.3">
      <c r="R939" t="s">
        <v>1709</v>
      </c>
    </row>
    <row r="940" spans="18:18" x14ac:dyDescent="0.3">
      <c r="R940" t="s">
        <v>1709</v>
      </c>
    </row>
    <row r="941" spans="18:18" x14ac:dyDescent="0.3">
      <c r="R941" t="s">
        <v>4558</v>
      </c>
    </row>
    <row r="942" spans="18:18" x14ac:dyDescent="0.3">
      <c r="R942" t="s">
        <v>5215</v>
      </c>
    </row>
    <row r="943" spans="18:18" x14ac:dyDescent="0.3">
      <c r="R943" t="s">
        <v>592</v>
      </c>
    </row>
    <row r="944" spans="18:18" x14ac:dyDescent="0.3">
      <c r="R944" t="s">
        <v>3921</v>
      </c>
    </row>
    <row r="945" spans="18:18" x14ac:dyDescent="0.3">
      <c r="R945" t="s">
        <v>4559</v>
      </c>
    </row>
    <row r="946" spans="18:18" x14ac:dyDescent="0.3">
      <c r="R946" t="s">
        <v>3355</v>
      </c>
    </row>
    <row r="947" spans="18:18" x14ac:dyDescent="0.3">
      <c r="R947" t="s">
        <v>3922</v>
      </c>
    </row>
    <row r="948" spans="18:18" x14ac:dyDescent="0.3">
      <c r="R948" t="s">
        <v>1375</v>
      </c>
    </row>
    <row r="949" spans="18:18" x14ac:dyDescent="0.3">
      <c r="R949" t="s">
        <v>3923</v>
      </c>
    </row>
    <row r="950" spans="18:18" x14ac:dyDescent="0.3">
      <c r="R950" t="s">
        <v>2372</v>
      </c>
    </row>
    <row r="951" spans="18:18" x14ac:dyDescent="0.3">
      <c r="R951" t="s">
        <v>5216</v>
      </c>
    </row>
    <row r="952" spans="18:18" x14ac:dyDescent="0.3">
      <c r="R952" t="s">
        <v>5055</v>
      </c>
    </row>
    <row r="953" spans="18:18" x14ac:dyDescent="0.3">
      <c r="R953" t="s">
        <v>3356</v>
      </c>
    </row>
    <row r="954" spans="18:18" x14ac:dyDescent="0.3">
      <c r="R954" t="s">
        <v>805</v>
      </c>
    </row>
    <row r="955" spans="18:18" x14ac:dyDescent="0.3">
      <c r="R955" t="s">
        <v>4560</v>
      </c>
    </row>
    <row r="956" spans="18:18" x14ac:dyDescent="0.3">
      <c r="R956" t="s">
        <v>5217</v>
      </c>
    </row>
    <row r="957" spans="18:18" x14ac:dyDescent="0.3">
      <c r="R957" t="s">
        <v>1710</v>
      </c>
    </row>
    <row r="958" spans="18:18" x14ac:dyDescent="0.3">
      <c r="R958" t="s">
        <v>1710</v>
      </c>
    </row>
    <row r="959" spans="18:18" x14ac:dyDescent="0.3">
      <c r="R959" t="s">
        <v>5218</v>
      </c>
    </row>
    <row r="960" spans="18:18" x14ac:dyDescent="0.3">
      <c r="R960" t="s">
        <v>1932</v>
      </c>
    </row>
    <row r="961" spans="18:18" x14ac:dyDescent="0.3">
      <c r="R961" t="s">
        <v>806</v>
      </c>
    </row>
    <row r="962" spans="18:18" x14ac:dyDescent="0.3">
      <c r="R962" t="s">
        <v>2373</v>
      </c>
    </row>
    <row r="963" spans="18:18" x14ac:dyDescent="0.3">
      <c r="R963" t="s">
        <v>2374</v>
      </c>
    </row>
    <row r="964" spans="18:18" x14ac:dyDescent="0.3">
      <c r="R964" t="s">
        <v>4283</v>
      </c>
    </row>
    <row r="965" spans="18:18" x14ac:dyDescent="0.3">
      <c r="R965" t="s">
        <v>4561</v>
      </c>
    </row>
    <row r="966" spans="18:18" x14ac:dyDescent="0.3">
      <c r="R966" t="s">
        <v>3924</v>
      </c>
    </row>
    <row r="967" spans="18:18" x14ac:dyDescent="0.3">
      <c r="R967" t="s">
        <v>1801</v>
      </c>
    </row>
    <row r="968" spans="18:18" x14ac:dyDescent="0.3">
      <c r="R968" t="s">
        <v>2375</v>
      </c>
    </row>
    <row r="969" spans="18:18" x14ac:dyDescent="0.3">
      <c r="R969" t="s">
        <v>3925</v>
      </c>
    </row>
    <row r="970" spans="18:18" x14ac:dyDescent="0.3">
      <c r="R970" t="s">
        <v>4284</v>
      </c>
    </row>
    <row r="971" spans="18:18" x14ac:dyDescent="0.3">
      <c r="R971" t="s">
        <v>2376</v>
      </c>
    </row>
    <row r="972" spans="18:18" x14ac:dyDescent="0.3">
      <c r="R972" t="s">
        <v>1933</v>
      </c>
    </row>
    <row r="973" spans="18:18" x14ac:dyDescent="0.3">
      <c r="R973" t="s">
        <v>1711</v>
      </c>
    </row>
    <row r="974" spans="18:18" x14ac:dyDescent="0.3">
      <c r="R974" t="s">
        <v>1711</v>
      </c>
    </row>
    <row r="975" spans="18:18" x14ac:dyDescent="0.3">
      <c r="R975" t="s">
        <v>807</v>
      </c>
    </row>
    <row r="976" spans="18:18" x14ac:dyDescent="0.3">
      <c r="R976" t="s">
        <v>3926</v>
      </c>
    </row>
    <row r="977" spans="18:18" x14ac:dyDescent="0.3">
      <c r="R977" t="s">
        <v>808</v>
      </c>
    </row>
    <row r="978" spans="18:18" x14ac:dyDescent="0.3">
      <c r="R978" t="s">
        <v>5219</v>
      </c>
    </row>
    <row r="979" spans="18:18" x14ac:dyDescent="0.3">
      <c r="R979" t="s">
        <v>3357</v>
      </c>
    </row>
    <row r="980" spans="18:18" x14ac:dyDescent="0.3">
      <c r="R980" t="s">
        <v>3927</v>
      </c>
    </row>
    <row r="981" spans="18:18" x14ac:dyDescent="0.3">
      <c r="R981" t="s">
        <v>809</v>
      </c>
    </row>
    <row r="982" spans="18:18" x14ac:dyDescent="0.3">
      <c r="R982" t="s">
        <v>3928</v>
      </c>
    </row>
    <row r="983" spans="18:18" x14ac:dyDescent="0.3">
      <c r="R983" t="s">
        <v>4562</v>
      </c>
    </row>
    <row r="984" spans="18:18" x14ac:dyDescent="0.3">
      <c r="R984" t="s">
        <v>130</v>
      </c>
    </row>
    <row r="985" spans="18:18" x14ac:dyDescent="0.3">
      <c r="R985" t="s">
        <v>5056</v>
      </c>
    </row>
    <row r="986" spans="18:18" x14ac:dyDescent="0.3">
      <c r="R986" t="s">
        <v>1188</v>
      </c>
    </row>
    <row r="987" spans="18:18" x14ac:dyDescent="0.3">
      <c r="R987" t="s">
        <v>5057</v>
      </c>
    </row>
    <row r="988" spans="18:18" x14ac:dyDescent="0.3">
      <c r="R988" t="s">
        <v>2377</v>
      </c>
    </row>
    <row r="989" spans="18:18" x14ac:dyDescent="0.3">
      <c r="R989" t="s">
        <v>5220</v>
      </c>
    </row>
    <row r="990" spans="18:18" x14ac:dyDescent="0.3">
      <c r="R990" t="s">
        <v>4563</v>
      </c>
    </row>
    <row r="991" spans="18:18" x14ac:dyDescent="0.3">
      <c r="R991" t="s">
        <v>5058</v>
      </c>
    </row>
    <row r="992" spans="18:18" x14ac:dyDescent="0.3">
      <c r="R992" t="s">
        <v>3358</v>
      </c>
    </row>
    <row r="993" spans="18:18" x14ac:dyDescent="0.3">
      <c r="R993" t="s">
        <v>3182</v>
      </c>
    </row>
    <row r="994" spans="18:18" x14ac:dyDescent="0.3">
      <c r="R994" t="s">
        <v>2378</v>
      </c>
    </row>
    <row r="995" spans="18:18" x14ac:dyDescent="0.3">
      <c r="R995" t="s">
        <v>439</v>
      </c>
    </row>
    <row r="996" spans="18:18" x14ac:dyDescent="0.3">
      <c r="R996" t="s">
        <v>4285</v>
      </c>
    </row>
    <row r="997" spans="18:18" x14ac:dyDescent="0.3">
      <c r="R997" t="s">
        <v>3359</v>
      </c>
    </row>
    <row r="998" spans="18:18" x14ac:dyDescent="0.3">
      <c r="R998" t="s">
        <v>1018</v>
      </c>
    </row>
    <row r="999" spans="18:18" x14ac:dyDescent="0.3">
      <c r="R999" t="s">
        <v>5221</v>
      </c>
    </row>
    <row r="1000" spans="18:18" x14ac:dyDescent="0.3">
      <c r="R1000" t="s">
        <v>1566</v>
      </c>
    </row>
    <row r="1001" spans="18:18" x14ac:dyDescent="0.3">
      <c r="R1001" t="s">
        <v>2380</v>
      </c>
    </row>
    <row r="1002" spans="18:18" x14ac:dyDescent="0.3">
      <c r="R1002" t="s">
        <v>2379</v>
      </c>
    </row>
    <row r="1003" spans="18:18" x14ac:dyDescent="0.3">
      <c r="R1003" t="s">
        <v>283</v>
      </c>
    </row>
    <row r="1004" spans="18:18" x14ac:dyDescent="0.3">
      <c r="R1004" t="s">
        <v>5059</v>
      </c>
    </row>
    <row r="1005" spans="18:18" x14ac:dyDescent="0.3">
      <c r="R1005" t="s">
        <v>3360</v>
      </c>
    </row>
    <row r="1006" spans="18:18" x14ac:dyDescent="0.3">
      <c r="R1006" t="s">
        <v>1712</v>
      </c>
    </row>
    <row r="1007" spans="18:18" x14ac:dyDescent="0.3">
      <c r="R1007" t="s">
        <v>1934</v>
      </c>
    </row>
    <row r="1008" spans="18:18" x14ac:dyDescent="0.3">
      <c r="R1008" t="s">
        <v>1934</v>
      </c>
    </row>
    <row r="1009" spans="18:18" x14ac:dyDescent="0.3">
      <c r="R1009" t="s">
        <v>1935</v>
      </c>
    </row>
    <row r="1010" spans="18:18" x14ac:dyDescent="0.3">
      <c r="R1010" t="s">
        <v>1935</v>
      </c>
    </row>
    <row r="1011" spans="18:18" x14ac:dyDescent="0.3">
      <c r="R1011" t="s">
        <v>3361</v>
      </c>
    </row>
    <row r="1012" spans="18:18" x14ac:dyDescent="0.3">
      <c r="R1012" t="s">
        <v>810</v>
      </c>
    </row>
    <row r="1013" spans="18:18" x14ac:dyDescent="0.3">
      <c r="R1013" t="s">
        <v>1936</v>
      </c>
    </row>
    <row r="1014" spans="18:18" x14ac:dyDescent="0.3">
      <c r="R1014" t="s">
        <v>1937</v>
      </c>
    </row>
    <row r="1015" spans="18:18" x14ac:dyDescent="0.3">
      <c r="R1015" t="s">
        <v>1938</v>
      </c>
    </row>
    <row r="1016" spans="18:18" x14ac:dyDescent="0.3">
      <c r="R1016" t="s">
        <v>1938</v>
      </c>
    </row>
    <row r="1017" spans="18:18" x14ac:dyDescent="0.3">
      <c r="R1017" t="s">
        <v>131</v>
      </c>
    </row>
    <row r="1018" spans="18:18" x14ac:dyDescent="0.3">
      <c r="R1018" t="s">
        <v>4564</v>
      </c>
    </row>
    <row r="1019" spans="18:18" x14ac:dyDescent="0.3">
      <c r="R1019" t="s">
        <v>1939</v>
      </c>
    </row>
    <row r="1020" spans="18:18" x14ac:dyDescent="0.3">
      <c r="R1020" t="s">
        <v>3929</v>
      </c>
    </row>
    <row r="1021" spans="18:18" x14ac:dyDescent="0.3">
      <c r="R1021" t="s">
        <v>4565</v>
      </c>
    </row>
    <row r="1022" spans="18:18" x14ac:dyDescent="0.3">
      <c r="R1022" t="s">
        <v>593</v>
      </c>
    </row>
    <row r="1023" spans="18:18" x14ac:dyDescent="0.3">
      <c r="R1023" t="s">
        <v>3362</v>
      </c>
    </row>
    <row r="1024" spans="18:18" x14ac:dyDescent="0.3">
      <c r="R1024" t="s">
        <v>3363</v>
      </c>
    </row>
    <row r="1025" spans="18:18" x14ac:dyDescent="0.3">
      <c r="R1025" t="s">
        <v>1940</v>
      </c>
    </row>
    <row r="1026" spans="18:18" x14ac:dyDescent="0.3">
      <c r="R1026" t="s">
        <v>4566</v>
      </c>
    </row>
    <row r="1027" spans="18:18" x14ac:dyDescent="0.3">
      <c r="R1027" t="s">
        <v>3930</v>
      </c>
    </row>
    <row r="1028" spans="18:18" x14ac:dyDescent="0.3">
      <c r="R1028" t="s">
        <v>4567</v>
      </c>
    </row>
    <row r="1029" spans="18:18" x14ac:dyDescent="0.3">
      <c r="R1029" t="s">
        <v>4286</v>
      </c>
    </row>
    <row r="1030" spans="18:18" x14ac:dyDescent="0.3">
      <c r="R1030" t="s">
        <v>1189</v>
      </c>
    </row>
    <row r="1031" spans="18:18" x14ac:dyDescent="0.3">
      <c r="R1031" t="s">
        <v>4568</v>
      </c>
    </row>
    <row r="1032" spans="18:18" x14ac:dyDescent="0.3">
      <c r="R1032" t="s">
        <v>1802</v>
      </c>
    </row>
    <row r="1033" spans="18:18" x14ac:dyDescent="0.3">
      <c r="R1033" t="s">
        <v>1567</v>
      </c>
    </row>
    <row r="1034" spans="18:18" x14ac:dyDescent="0.3">
      <c r="R1034" t="s">
        <v>1019</v>
      </c>
    </row>
    <row r="1035" spans="18:18" x14ac:dyDescent="0.3">
      <c r="R1035" t="s">
        <v>1803</v>
      </c>
    </row>
    <row r="1036" spans="18:18" x14ac:dyDescent="0.3">
      <c r="R1036" t="s">
        <v>3364</v>
      </c>
    </row>
    <row r="1037" spans="18:18" x14ac:dyDescent="0.3">
      <c r="R1037" t="s">
        <v>4569</v>
      </c>
    </row>
    <row r="1038" spans="18:18" x14ac:dyDescent="0.3">
      <c r="R1038" t="s">
        <v>4287</v>
      </c>
    </row>
    <row r="1039" spans="18:18" x14ac:dyDescent="0.3">
      <c r="R1039" t="s">
        <v>1941</v>
      </c>
    </row>
    <row r="1040" spans="18:18" x14ac:dyDescent="0.3">
      <c r="R1040" t="s">
        <v>240</v>
      </c>
    </row>
    <row r="1041" spans="18:18" x14ac:dyDescent="0.3">
      <c r="R1041" t="s">
        <v>2381</v>
      </c>
    </row>
    <row r="1042" spans="18:18" x14ac:dyDescent="0.3">
      <c r="R1042" t="s">
        <v>2381</v>
      </c>
    </row>
    <row r="1043" spans="18:18" x14ac:dyDescent="0.3">
      <c r="R1043" t="s">
        <v>2381</v>
      </c>
    </row>
    <row r="1044" spans="18:18" x14ac:dyDescent="0.3">
      <c r="R1044" t="s">
        <v>594</v>
      </c>
    </row>
    <row r="1045" spans="18:18" x14ac:dyDescent="0.3">
      <c r="R1045" t="s">
        <v>811</v>
      </c>
    </row>
    <row r="1046" spans="18:18" x14ac:dyDescent="0.3">
      <c r="R1046" t="s">
        <v>1942</v>
      </c>
    </row>
    <row r="1047" spans="18:18" x14ac:dyDescent="0.3">
      <c r="R1047" t="s">
        <v>4570</v>
      </c>
    </row>
    <row r="1048" spans="18:18" x14ac:dyDescent="0.3">
      <c r="R1048" t="s">
        <v>189</v>
      </c>
    </row>
    <row r="1049" spans="18:18" x14ac:dyDescent="0.3">
      <c r="R1049" t="s">
        <v>284</v>
      </c>
    </row>
    <row r="1050" spans="18:18" x14ac:dyDescent="0.3">
      <c r="R1050" t="s">
        <v>284</v>
      </c>
    </row>
    <row r="1051" spans="18:18" x14ac:dyDescent="0.3">
      <c r="R1051" t="s">
        <v>4282</v>
      </c>
    </row>
    <row r="1052" spans="18:18" x14ac:dyDescent="0.3">
      <c r="R1052" t="s">
        <v>3365</v>
      </c>
    </row>
    <row r="1053" spans="18:18" x14ac:dyDescent="0.3">
      <c r="R1053" t="s">
        <v>4571</v>
      </c>
    </row>
    <row r="1054" spans="18:18" x14ac:dyDescent="0.3">
      <c r="R1054" t="s">
        <v>4572</v>
      </c>
    </row>
    <row r="1055" spans="18:18" x14ac:dyDescent="0.3">
      <c r="R1055" t="s">
        <v>4573</v>
      </c>
    </row>
    <row r="1056" spans="18:18" x14ac:dyDescent="0.3">
      <c r="R1056" t="s">
        <v>4574</v>
      </c>
    </row>
    <row r="1057" spans="18:18" x14ac:dyDescent="0.3">
      <c r="R1057" t="s">
        <v>2382</v>
      </c>
    </row>
    <row r="1058" spans="18:18" x14ac:dyDescent="0.3">
      <c r="R1058" t="s">
        <v>1713</v>
      </c>
    </row>
    <row r="1059" spans="18:18" x14ac:dyDescent="0.3">
      <c r="R1059" t="s">
        <v>1713</v>
      </c>
    </row>
    <row r="1060" spans="18:18" x14ac:dyDescent="0.3">
      <c r="R1060" t="s">
        <v>4576</v>
      </c>
    </row>
    <row r="1061" spans="18:18" x14ac:dyDescent="0.3">
      <c r="R1061" t="s">
        <v>3366</v>
      </c>
    </row>
    <row r="1062" spans="18:18" x14ac:dyDescent="0.3">
      <c r="R1062" t="s">
        <v>1943</v>
      </c>
    </row>
    <row r="1063" spans="18:18" x14ac:dyDescent="0.3">
      <c r="R1063" t="s">
        <v>2383</v>
      </c>
    </row>
    <row r="1064" spans="18:18" x14ac:dyDescent="0.3">
      <c r="R1064" t="s">
        <v>2384</v>
      </c>
    </row>
    <row r="1065" spans="18:18" x14ac:dyDescent="0.3">
      <c r="R1065" t="s">
        <v>2385</v>
      </c>
    </row>
    <row r="1066" spans="18:18" x14ac:dyDescent="0.3">
      <c r="R1066" t="s">
        <v>1376</v>
      </c>
    </row>
    <row r="1067" spans="18:18" x14ac:dyDescent="0.3">
      <c r="R1067" t="s">
        <v>2386</v>
      </c>
    </row>
    <row r="1068" spans="18:18" x14ac:dyDescent="0.3">
      <c r="R1068" t="s">
        <v>1944</v>
      </c>
    </row>
    <row r="1069" spans="18:18" x14ac:dyDescent="0.3">
      <c r="R1069" t="s">
        <v>2387</v>
      </c>
    </row>
    <row r="1070" spans="18:18" x14ac:dyDescent="0.3">
      <c r="R1070" t="s">
        <v>4288</v>
      </c>
    </row>
    <row r="1071" spans="18:18" x14ac:dyDescent="0.3">
      <c r="R1071" t="s">
        <v>595</v>
      </c>
    </row>
    <row r="1072" spans="18:18" x14ac:dyDescent="0.3">
      <c r="R1072" t="s">
        <v>1020</v>
      </c>
    </row>
    <row r="1073" spans="18:18" x14ac:dyDescent="0.3">
      <c r="R1073" t="s">
        <v>4577</v>
      </c>
    </row>
    <row r="1074" spans="18:18" x14ac:dyDescent="0.3">
      <c r="R1074" t="s">
        <v>2388</v>
      </c>
    </row>
    <row r="1075" spans="18:18" x14ac:dyDescent="0.3">
      <c r="R1075" t="s">
        <v>812</v>
      </c>
    </row>
    <row r="1076" spans="18:18" x14ac:dyDescent="0.3">
      <c r="R1076" t="s">
        <v>2389</v>
      </c>
    </row>
    <row r="1077" spans="18:18" x14ac:dyDescent="0.3">
      <c r="R1077" t="s">
        <v>813</v>
      </c>
    </row>
    <row r="1078" spans="18:18" x14ac:dyDescent="0.3">
      <c r="R1078" t="s">
        <v>3931</v>
      </c>
    </row>
    <row r="1079" spans="18:18" x14ac:dyDescent="0.3">
      <c r="R1079" t="s">
        <v>285</v>
      </c>
    </row>
    <row r="1080" spans="18:18" x14ac:dyDescent="0.3">
      <c r="R1080" t="s">
        <v>2390</v>
      </c>
    </row>
    <row r="1081" spans="18:18" x14ac:dyDescent="0.3">
      <c r="R1081" t="s">
        <v>3367</v>
      </c>
    </row>
    <row r="1082" spans="18:18" x14ac:dyDescent="0.3">
      <c r="R1082" t="s">
        <v>4289</v>
      </c>
    </row>
    <row r="1083" spans="18:18" x14ac:dyDescent="0.3">
      <c r="R1083" t="s">
        <v>4575</v>
      </c>
    </row>
    <row r="1084" spans="18:18" x14ac:dyDescent="0.3">
      <c r="R1084" t="s">
        <v>156</v>
      </c>
    </row>
    <row r="1085" spans="18:18" x14ac:dyDescent="0.3">
      <c r="R1085" t="s">
        <v>1568</v>
      </c>
    </row>
    <row r="1086" spans="18:18" x14ac:dyDescent="0.3">
      <c r="R1086" t="s">
        <v>2391</v>
      </c>
    </row>
    <row r="1087" spans="18:18" x14ac:dyDescent="0.3">
      <c r="R1087" t="s">
        <v>4579</v>
      </c>
    </row>
    <row r="1088" spans="18:18" x14ac:dyDescent="0.3">
      <c r="R1088" t="s">
        <v>241</v>
      </c>
    </row>
    <row r="1089" spans="18:18" x14ac:dyDescent="0.3">
      <c r="R1089" t="s">
        <v>814</v>
      </c>
    </row>
    <row r="1090" spans="18:18" x14ac:dyDescent="0.3">
      <c r="R1090" t="s">
        <v>814</v>
      </c>
    </row>
    <row r="1091" spans="18:18" x14ac:dyDescent="0.3">
      <c r="R1091" t="s">
        <v>3368</v>
      </c>
    </row>
    <row r="1092" spans="18:18" x14ac:dyDescent="0.3">
      <c r="R1092" t="s">
        <v>2392</v>
      </c>
    </row>
    <row r="1093" spans="18:18" x14ac:dyDescent="0.3">
      <c r="R1093" t="s">
        <v>1945</v>
      </c>
    </row>
    <row r="1094" spans="18:18" x14ac:dyDescent="0.3">
      <c r="R1094" t="s">
        <v>3932</v>
      </c>
    </row>
    <row r="1095" spans="18:18" x14ac:dyDescent="0.3">
      <c r="R1095" t="s">
        <v>2393</v>
      </c>
    </row>
    <row r="1096" spans="18:18" x14ac:dyDescent="0.3">
      <c r="R1096" t="s">
        <v>2394</v>
      </c>
    </row>
    <row r="1097" spans="18:18" x14ac:dyDescent="0.3">
      <c r="R1097" t="s">
        <v>2395</v>
      </c>
    </row>
    <row r="1098" spans="18:18" x14ac:dyDescent="0.3">
      <c r="R1098" t="s">
        <v>3180</v>
      </c>
    </row>
    <row r="1099" spans="18:18" x14ac:dyDescent="0.3">
      <c r="R1099" t="s">
        <v>3369</v>
      </c>
    </row>
    <row r="1100" spans="18:18" x14ac:dyDescent="0.3">
      <c r="R1100" t="s">
        <v>2396</v>
      </c>
    </row>
    <row r="1101" spans="18:18" x14ac:dyDescent="0.3">
      <c r="R1101" t="s">
        <v>190</v>
      </c>
    </row>
    <row r="1102" spans="18:18" x14ac:dyDescent="0.3">
      <c r="R1102" t="s">
        <v>1190</v>
      </c>
    </row>
    <row r="1103" spans="18:18" x14ac:dyDescent="0.3">
      <c r="R1103" t="s">
        <v>1190</v>
      </c>
    </row>
    <row r="1104" spans="18:18" x14ac:dyDescent="0.3">
      <c r="R1104" t="s">
        <v>815</v>
      </c>
    </row>
    <row r="1105" spans="18:18" x14ac:dyDescent="0.3">
      <c r="R1105" t="s">
        <v>1946</v>
      </c>
    </row>
    <row r="1106" spans="18:18" x14ac:dyDescent="0.3">
      <c r="R1106" t="s">
        <v>4578</v>
      </c>
    </row>
    <row r="1107" spans="18:18" x14ac:dyDescent="0.3">
      <c r="R1107" t="s">
        <v>2397</v>
      </c>
    </row>
    <row r="1108" spans="18:18" x14ac:dyDescent="0.3">
      <c r="R1108" t="s">
        <v>1947</v>
      </c>
    </row>
    <row r="1109" spans="18:18" x14ac:dyDescent="0.3">
      <c r="R1109" t="s">
        <v>3370</v>
      </c>
    </row>
    <row r="1110" spans="18:18" x14ac:dyDescent="0.3">
      <c r="R1110" t="s">
        <v>3183</v>
      </c>
    </row>
    <row r="1111" spans="18:18" x14ac:dyDescent="0.3">
      <c r="R1111" t="s">
        <v>2398</v>
      </c>
    </row>
    <row r="1112" spans="18:18" x14ac:dyDescent="0.3">
      <c r="R1112" t="s">
        <v>191</v>
      </c>
    </row>
    <row r="1113" spans="18:18" x14ac:dyDescent="0.3">
      <c r="R1113" t="s">
        <v>192</v>
      </c>
    </row>
    <row r="1114" spans="18:18" x14ac:dyDescent="0.3">
      <c r="R1114" t="s">
        <v>3107</v>
      </c>
    </row>
    <row r="1115" spans="18:18" x14ac:dyDescent="0.3">
      <c r="R1115" t="s">
        <v>1021</v>
      </c>
    </row>
    <row r="1116" spans="18:18" x14ac:dyDescent="0.3">
      <c r="R1116" t="s">
        <v>816</v>
      </c>
    </row>
    <row r="1117" spans="18:18" x14ac:dyDescent="0.3">
      <c r="R1117" t="s">
        <v>1948</v>
      </c>
    </row>
    <row r="1118" spans="18:18" x14ac:dyDescent="0.3">
      <c r="R1118" t="s">
        <v>1804</v>
      </c>
    </row>
    <row r="1119" spans="18:18" x14ac:dyDescent="0.3">
      <c r="R1119" t="s">
        <v>1022</v>
      </c>
    </row>
    <row r="1120" spans="18:18" x14ac:dyDescent="0.3">
      <c r="R1120" t="s">
        <v>440</v>
      </c>
    </row>
    <row r="1121" spans="18:18" x14ac:dyDescent="0.3">
      <c r="R1121" t="s">
        <v>1023</v>
      </c>
    </row>
    <row r="1122" spans="18:18" x14ac:dyDescent="0.3">
      <c r="R1122" t="s">
        <v>1024</v>
      </c>
    </row>
    <row r="1123" spans="18:18" x14ac:dyDescent="0.3">
      <c r="R1123" t="s">
        <v>5060</v>
      </c>
    </row>
    <row r="1124" spans="18:18" x14ac:dyDescent="0.3">
      <c r="R1124" t="s">
        <v>3933</v>
      </c>
    </row>
    <row r="1125" spans="18:18" x14ac:dyDescent="0.3">
      <c r="R1125" t="s">
        <v>4580</v>
      </c>
    </row>
    <row r="1126" spans="18:18" x14ac:dyDescent="0.3">
      <c r="R1126" t="s">
        <v>2399</v>
      </c>
    </row>
    <row r="1127" spans="18:18" x14ac:dyDescent="0.3">
      <c r="R1127" t="s">
        <v>4581</v>
      </c>
    </row>
    <row r="1128" spans="18:18" x14ac:dyDescent="0.3">
      <c r="R1128" t="s">
        <v>2400</v>
      </c>
    </row>
    <row r="1129" spans="18:18" x14ac:dyDescent="0.3">
      <c r="R1129" t="s">
        <v>3184</v>
      </c>
    </row>
    <row r="1130" spans="18:18" x14ac:dyDescent="0.3">
      <c r="R1130" t="s">
        <v>2401</v>
      </c>
    </row>
    <row r="1131" spans="18:18" x14ac:dyDescent="0.3">
      <c r="R1131" t="s">
        <v>2402</v>
      </c>
    </row>
    <row r="1132" spans="18:18" x14ac:dyDescent="0.3">
      <c r="R1132" t="s">
        <v>2403</v>
      </c>
    </row>
    <row r="1133" spans="18:18" x14ac:dyDescent="0.3">
      <c r="R1133" t="s">
        <v>2404</v>
      </c>
    </row>
    <row r="1134" spans="18:18" x14ac:dyDescent="0.3">
      <c r="R1134" t="s">
        <v>2405</v>
      </c>
    </row>
    <row r="1135" spans="18:18" x14ac:dyDescent="0.3">
      <c r="R1135" t="s">
        <v>2406</v>
      </c>
    </row>
    <row r="1136" spans="18:18" x14ac:dyDescent="0.3">
      <c r="R1136" t="s">
        <v>5222</v>
      </c>
    </row>
    <row r="1137" spans="18:18" x14ac:dyDescent="0.3">
      <c r="R1137" t="s">
        <v>441</v>
      </c>
    </row>
    <row r="1138" spans="18:18" x14ac:dyDescent="0.3">
      <c r="R1138" t="s">
        <v>1805</v>
      </c>
    </row>
    <row r="1139" spans="18:18" x14ac:dyDescent="0.3">
      <c r="R1139" t="s">
        <v>2407</v>
      </c>
    </row>
    <row r="1140" spans="18:18" x14ac:dyDescent="0.3">
      <c r="R1140" t="s">
        <v>1569</v>
      </c>
    </row>
    <row r="1141" spans="18:18" x14ac:dyDescent="0.3">
      <c r="R1141" t="s">
        <v>1191</v>
      </c>
    </row>
    <row r="1142" spans="18:18" x14ac:dyDescent="0.3">
      <c r="R1142" t="s">
        <v>1192</v>
      </c>
    </row>
    <row r="1143" spans="18:18" x14ac:dyDescent="0.3">
      <c r="R1143" t="s">
        <v>1025</v>
      </c>
    </row>
    <row r="1144" spans="18:18" x14ac:dyDescent="0.3">
      <c r="R1144" t="s">
        <v>1570</v>
      </c>
    </row>
    <row r="1145" spans="18:18" x14ac:dyDescent="0.3">
      <c r="R1145" t="s">
        <v>2408</v>
      </c>
    </row>
    <row r="1146" spans="18:18" x14ac:dyDescent="0.3">
      <c r="R1146" t="s">
        <v>1714</v>
      </c>
    </row>
    <row r="1147" spans="18:18" x14ac:dyDescent="0.3">
      <c r="R1147" t="s">
        <v>242</v>
      </c>
    </row>
    <row r="1148" spans="18:18" x14ac:dyDescent="0.3">
      <c r="R1148" t="s">
        <v>596</v>
      </c>
    </row>
    <row r="1149" spans="18:18" x14ac:dyDescent="0.3">
      <c r="R1149" t="s">
        <v>1571</v>
      </c>
    </row>
    <row r="1150" spans="18:18" x14ac:dyDescent="0.3">
      <c r="R1150" t="s">
        <v>2409</v>
      </c>
    </row>
    <row r="1151" spans="18:18" x14ac:dyDescent="0.3">
      <c r="R1151" t="s">
        <v>1377</v>
      </c>
    </row>
    <row r="1152" spans="18:18" x14ac:dyDescent="0.3">
      <c r="R1152" t="s">
        <v>442</v>
      </c>
    </row>
    <row r="1153" spans="18:18" x14ac:dyDescent="0.3">
      <c r="R1153" t="s">
        <v>1572</v>
      </c>
    </row>
    <row r="1154" spans="18:18" x14ac:dyDescent="0.3">
      <c r="R1154" t="s">
        <v>597</v>
      </c>
    </row>
    <row r="1155" spans="18:18" x14ac:dyDescent="0.3">
      <c r="R1155" t="s">
        <v>2410</v>
      </c>
    </row>
    <row r="1156" spans="18:18" x14ac:dyDescent="0.3">
      <c r="R1156" t="s">
        <v>2411</v>
      </c>
    </row>
    <row r="1157" spans="18:18" x14ac:dyDescent="0.3">
      <c r="R1157" t="s">
        <v>3371</v>
      </c>
    </row>
    <row r="1158" spans="18:18" x14ac:dyDescent="0.3">
      <c r="R1158" t="s">
        <v>2412</v>
      </c>
    </row>
    <row r="1159" spans="18:18" x14ac:dyDescent="0.3">
      <c r="R1159" t="s">
        <v>1949</v>
      </c>
    </row>
    <row r="1160" spans="18:18" x14ac:dyDescent="0.3">
      <c r="R1160" t="s">
        <v>4582</v>
      </c>
    </row>
    <row r="1161" spans="18:18" x14ac:dyDescent="0.3">
      <c r="R1161" t="s">
        <v>2413</v>
      </c>
    </row>
    <row r="1162" spans="18:18" x14ac:dyDescent="0.3">
      <c r="R1162" t="s">
        <v>1026</v>
      </c>
    </row>
    <row r="1163" spans="18:18" x14ac:dyDescent="0.3">
      <c r="R1163" t="s">
        <v>1026</v>
      </c>
    </row>
    <row r="1164" spans="18:18" x14ac:dyDescent="0.3">
      <c r="R1164" t="s">
        <v>443</v>
      </c>
    </row>
    <row r="1165" spans="18:18" x14ac:dyDescent="0.3">
      <c r="R1165" t="s">
        <v>4583</v>
      </c>
    </row>
    <row r="1166" spans="18:18" x14ac:dyDescent="0.3">
      <c r="R1166" t="s">
        <v>3185</v>
      </c>
    </row>
    <row r="1167" spans="18:18" x14ac:dyDescent="0.3">
      <c r="R1167" t="s">
        <v>1573</v>
      </c>
    </row>
    <row r="1168" spans="18:18" x14ac:dyDescent="0.3">
      <c r="R1168" t="s">
        <v>1378</v>
      </c>
    </row>
    <row r="1169" spans="18:18" x14ac:dyDescent="0.3">
      <c r="R1169" t="s">
        <v>2414</v>
      </c>
    </row>
    <row r="1170" spans="18:18" x14ac:dyDescent="0.3">
      <c r="R1170" t="s">
        <v>3372</v>
      </c>
    </row>
    <row r="1171" spans="18:18" x14ac:dyDescent="0.3">
      <c r="R1171" t="s">
        <v>4983</v>
      </c>
    </row>
    <row r="1172" spans="18:18" x14ac:dyDescent="0.3">
      <c r="R1172" t="s">
        <v>286</v>
      </c>
    </row>
    <row r="1173" spans="18:18" x14ac:dyDescent="0.3">
      <c r="R1173" t="s">
        <v>5061</v>
      </c>
    </row>
    <row r="1174" spans="18:18" x14ac:dyDescent="0.3">
      <c r="R1174" t="s">
        <v>132</v>
      </c>
    </row>
    <row r="1175" spans="18:18" x14ac:dyDescent="0.3">
      <c r="R1175" t="s">
        <v>5223</v>
      </c>
    </row>
    <row r="1176" spans="18:18" x14ac:dyDescent="0.3">
      <c r="R1176" t="s">
        <v>3108</v>
      </c>
    </row>
    <row r="1177" spans="18:18" x14ac:dyDescent="0.3">
      <c r="R1177" t="s">
        <v>817</v>
      </c>
    </row>
    <row r="1178" spans="18:18" x14ac:dyDescent="0.3">
      <c r="R1178" t="s">
        <v>3373</v>
      </c>
    </row>
    <row r="1179" spans="18:18" x14ac:dyDescent="0.3">
      <c r="R1179" t="s">
        <v>3934</v>
      </c>
    </row>
    <row r="1180" spans="18:18" x14ac:dyDescent="0.3">
      <c r="R1180" t="s">
        <v>1950</v>
      </c>
    </row>
    <row r="1181" spans="18:18" x14ac:dyDescent="0.3">
      <c r="R1181" t="s">
        <v>2416</v>
      </c>
    </row>
    <row r="1182" spans="18:18" x14ac:dyDescent="0.3">
      <c r="R1182" t="s">
        <v>5224</v>
      </c>
    </row>
    <row r="1183" spans="18:18" x14ac:dyDescent="0.3">
      <c r="R1183" t="s">
        <v>3374</v>
      </c>
    </row>
    <row r="1184" spans="18:18" x14ac:dyDescent="0.3">
      <c r="R1184" t="s">
        <v>3935</v>
      </c>
    </row>
    <row r="1185" spans="18:18" x14ac:dyDescent="0.3">
      <c r="R1185" t="s">
        <v>3935</v>
      </c>
    </row>
    <row r="1186" spans="18:18" x14ac:dyDescent="0.3">
      <c r="R1186" t="s">
        <v>1027</v>
      </c>
    </row>
    <row r="1187" spans="18:18" x14ac:dyDescent="0.3">
      <c r="R1187" t="s">
        <v>2417</v>
      </c>
    </row>
    <row r="1188" spans="18:18" x14ac:dyDescent="0.3">
      <c r="R1188" t="s">
        <v>2418</v>
      </c>
    </row>
    <row r="1189" spans="18:18" x14ac:dyDescent="0.3">
      <c r="R1189" t="s">
        <v>1574</v>
      </c>
    </row>
    <row r="1190" spans="18:18" x14ac:dyDescent="0.3">
      <c r="R1190" t="s">
        <v>3375</v>
      </c>
    </row>
    <row r="1191" spans="18:18" x14ac:dyDescent="0.3">
      <c r="R1191" t="s">
        <v>1379</v>
      </c>
    </row>
    <row r="1192" spans="18:18" x14ac:dyDescent="0.3">
      <c r="R1192" t="s">
        <v>1951</v>
      </c>
    </row>
    <row r="1193" spans="18:18" x14ac:dyDescent="0.3">
      <c r="R1193" t="s">
        <v>1380</v>
      </c>
    </row>
    <row r="1194" spans="18:18" x14ac:dyDescent="0.3">
      <c r="R1194" t="s">
        <v>1952</v>
      </c>
    </row>
    <row r="1195" spans="18:18" x14ac:dyDescent="0.3">
      <c r="R1195" t="s">
        <v>4584</v>
      </c>
    </row>
    <row r="1196" spans="18:18" x14ac:dyDescent="0.3">
      <c r="R1196" t="s">
        <v>2419</v>
      </c>
    </row>
    <row r="1197" spans="18:18" x14ac:dyDescent="0.3">
      <c r="R1197" t="s">
        <v>1028</v>
      </c>
    </row>
    <row r="1198" spans="18:18" x14ac:dyDescent="0.3">
      <c r="R1198" t="s">
        <v>5225</v>
      </c>
    </row>
    <row r="1199" spans="18:18" x14ac:dyDescent="0.3">
      <c r="R1199" t="s">
        <v>1953</v>
      </c>
    </row>
    <row r="1200" spans="18:18" x14ac:dyDescent="0.3">
      <c r="R1200" t="s">
        <v>1381</v>
      </c>
    </row>
    <row r="1201" spans="18:18" x14ac:dyDescent="0.3">
      <c r="R1201" t="s">
        <v>2420</v>
      </c>
    </row>
    <row r="1202" spans="18:18" x14ac:dyDescent="0.3">
      <c r="R1202" t="s">
        <v>1029</v>
      </c>
    </row>
    <row r="1203" spans="18:18" x14ac:dyDescent="0.3">
      <c r="R1203" t="s">
        <v>5226</v>
      </c>
    </row>
    <row r="1204" spans="18:18" x14ac:dyDescent="0.3">
      <c r="R1204" t="s">
        <v>2421</v>
      </c>
    </row>
    <row r="1205" spans="18:18" x14ac:dyDescent="0.3">
      <c r="R1205" t="s">
        <v>4290</v>
      </c>
    </row>
    <row r="1206" spans="18:18" x14ac:dyDescent="0.3">
      <c r="R1206" t="s">
        <v>598</v>
      </c>
    </row>
    <row r="1207" spans="18:18" x14ac:dyDescent="0.3">
      <c r="R1207" t="s">
        <v>4585</v>
      </c>
    </row>
    <row r="1208" spans="18:18" x14ac:dyDescent="0.3">
      <c r="R1208" t="s">
        <v>818</v>
      </c>
    </row>
    <row r="1209" spans="18:18" x14ac:dyDescent="0.3">
      <c r="R1209" t="s">
        <v>1193</v>
      </c>
    </row>
    <row r="1210" spans="18:18" x14ac:dyDescent="0.3">
      <c r="R1210" t="s">
        <v>599</v>
      </c>
    </row>
    <row r="1211" spans="18:18" x14ac:dyDescent="0.3">
      <c r="R1211" t="s">
        <v>599</v>
      </c>
    </row>
    <row r="1212" spans="18:18" x14ac:dyDescent="0.3">
      <c r="R1212" t="s">
        <v>1030</v>
      </c>
    </row>
    <row r="1213" spans="18:18" x14ac:dyDescent="0.3">
      <c r="R1213" t="s">
        <v>1030</v>
      </c>
    </row>
    <row r="1214" spans="18:18" x14ac:dyDescent="0.3">
      <c r="R1214" t="s">
        <v>1806</v>
      </c>
    </row>
    <row r="1215" spans="18:18" x14ac:dyDescent="0.3">
      <c r="R1215" t="s">
        <v>2422</v>
      </c>
    </row>
    <row r="1216" spans="18:18" x14ac:dyDescent="0.3">
      <c r="R1216" t="s">
        <v>4291</v>
      </c>
    </row>
    <row r="1217" spans="18:18" x14ac:dyDescent="0.3">
      <c r="R1217" t="s">
        <v>444</v>
      </c>
    </row>
    <row r="1218" spans="18:18" x14ac:dyDescent="0.3">
      <c r="R1218" t="s">
        <v>444</v>
      </c>
    </row>
    <row r="1219" spans="18:18" x14ac:dyDescent="0.3">
      <c r="R1219" t="s">
        <v>3936</v>
      </c>
    </row>
    <row r="1220" spans="18:18" x14ac:dyDescent="0.3">
      <c r="R1220" t="s">
        <v>1954</v>
      </c>
    </row>
    <row r="1221" spans="18:18" x14ac:dyDescent="0.3">
      <c r="R1221" t="s">
        <v>2423</v>
      </c>
    </row>
    <row r="1222" spans="18:18" x14ac:dyDescent="0.3">
      <c r="R1222" t="s">
        <v>600</v>
      </c>
    </row>
    <row r="1223" spans="18:18" x14ac:dyDescent="0.3">
      <c r="R1223" t="s">
        <v>2424</v>
      </c>
    </row>
    <row r="1224" spans="18:18" x14ac:dyDescent="0.3">
      <c r="R1224" t="s">
        <v>601</v>
      </c>
    </row>
    <row r="1225" spans="18:18" x14ac:dyDescent="0.3">
      <c r="R1225" t="s">
        <v>602</v>
      </c>
    </row>
    <row r="1226" spans="18:18" x14ac:dyDescent="0.3">
      <c r="R1226" t="s">
        <v>104</v>
      </c>
    </row>
    <row r="1227" spans="18:18" x14ac:dyDescent="0.3">
      <c r="R1227" t="s">
        <v>5227</v>
      </c>
    </row>
    <row r="1228" spans="18:18" x14ac:dyDescent="0.3">
      <c r="R1228" t="s">
        <v>3376</v>
      </c>
    </row>
    <row r="1229" spans="18:18" x14ac:dyDescent="0.3">
      <c r="R1229" t="s">
        <v>3377</v>
      </c>
    </row>
    <row r="1230" spans="18:18" x14ac:dyDescent="0.3">
      <c r="R1230" t="s">
        <v>4586</v>
      </c>
    </row>
    <row r="1231" spans="18:18" x14ac:dyDescent="0.3">
      <c r="R1231" t="s">
        <v>3937</v>
      </c>
    </row>
    <row r="1232" spans="18:18" x14ac:dyDescent="0.3">
      <c r="R1232" t="s">
        <v>4587</v>
      </c>
    </row>
    <row r="1233" spans="18:18" x14ac:dyDescent="0.3">
      <c r="R1233" t="s">
        <v>1194</v>
      </c>
    </row>
    <row r="1234" spans="18:18" x14ac:dyDescent="0.3">
      <c r="R1234" t="s">
        <v>4588</v>
      </c>
    </row>
    <row r="1235" spans="18:18" x14ac:dyDescent="0.3">
      <c r="R1235" t="s">
        <v>4589</v>
      </c>
    </row>
    <row r="1236" spans="18:18" x14ac:dyDescent="0.3">
      <c r="R1236" t="s">
        <v>4590</v>
      </c>
    </row>
    <row r="1237" spans="18:18" x14ac:dyDescent="0.3">
      <c r="R1237" t="s">
        <v>4292</v>
      </c>
    </row>
    <row r="1238" spans="18:18" x14ac:dyDescent="0.3">
      <c r="R1238" t="s">
        <v>3378</v>
      </c>
    </row>
    <row r="1239" spans="18:18" x14ac:dyDescent="0.3">
      <c r="R1239" t="s">
        <v>3938</v>
      </c>
    </row>
    <row r="1240" spans="18:18" x14ac:dyDescent="0.3">
      <c r="R1240" t="s">
        <v>5228</v>
      </c>
    </row>
    <row r="1241" spans="18:18" x14ac:dyDescent="0.3">
      <c r="R1241" t="s">
        <v>1575</v>
      </c>
    </row>
    <row r="1242" spans="18:18" x14ac:dyDescent="0.3">
      <c r="R1242" t="s">
        <v>1576</v>
      </c>
    </row>
    <row r="1243" spans="18:18" x14ac:dyDescent="0.3">
      <c r="R1243" t="s">
        <v>1715</v>
      </c>
    </row>
    <row r="1244" spans="18:18" x14ac:dyDescent="0.3">
      <c r="R1244" t="s">
        <v>2425</v>
      </c>
    </row>
    <row r="1245" spans="18:18" x14ac:dyDescent="0.3">
      <c r="R1245" t="s">
        <v>2426</v>
      </c>
    </row>
    <row r="1246" spans="18:18" x14ac:dyDescent="0.3">
      <c r="R1246" t="s">
        <v>4591</v>
      </c>
    </row>
    <row r="1247" spans="18:18" x14ac:dyDescent="0.3">
      <c r="R1247" t="s">
        <v>446</v>
      </c>
    </row>
    <row r="1248" spans="18:18" x14ac:dyDescent="0.3">
      <c r="R1248" t="s">
        <v>445</v>
      </c>
    </row>
    <row r="1249" spans="18:18" x14ac:dyDescent="0.3">
      <c r="R1249" t="s">
        <v>2427</v>
      </c>
    </row>
    <row r="1250" spans="18:18" x14ac:dyDescent="0.3">
      <c r="R1250" t="s">
        <v>5062</v>
      </c>
    </row>
    <row r="1251" spans="18:18" x14ac:dyDescent="0.3">
      <c r="R1251" t="s">
        <v>2428</v>
      </c>
    </row>
    <row r="1252" spans="18:18" x14ac:dyDescent="0.3">
      <c r="R1252" t="s">
        <v>5229</v>
      </c>
    </row>
    <row r="1253" spans="18:18" x14ac:dyDescent="0.3">
      <c r="R1253" t="s">
        <v>4293</v>
      </c>
    </row>
    <row r="1254" spans="18:18" x14ac:dyDescent="0.3">
      <c r="R1254" t="s">
        <v>4984</v>
      </c>
    </row>
    <row r="1255" spans="18:18" x14ac:dyDescent="0.3">
      <c r="R1255" t="s">
        <v>603</v>
      </c>
    </row>
    <row r="1256" spans="18:18" x14ac:dyDescent="0.3">
      <c r="R1256" t="s">
        <v>4294</v>
      </c>
    </row>
    <row r="1257" spans="18:18" x14ac:dyDescent="0.3">
      <c r="R1257" t="s">
        <v>3379</v>
      </c>
    </row>
    <row r="1258" spans="18:18" x14ac:dyDescent="0.3">
      <c r="R1258" t="s">
        <v>4592</v>
      </c>
    </row>
    <row r="1259" spans="18:18" x14ac:dyDescent="0.3">
      <c r="R1259" t="s">
        <v>4593</v>
      </c>
    </row>
    <row r="1260" spans="18:18" x14ac:dyDescent="0.3">
      <c r="R1260" t="s">
        <v>1031</v>
      </c>
    </row>
    <row r="1261" spans="18:18" x14ac:dyDescent="0.3">
      <c r="R1261" t="s">
        <v>3871</v>
      </c>
    </row>
    <row r="1262" spans="18:18" x14ac:dyDescent="0.3">
      <c r="R1262" t="s">
        <v>287</v>
      </c>
    </row>
    <row r="1263" spans="18:18" x14ac:dyDescent="0.3">
      <c r="R1263" t="s">
        <v>2429</v>
      </c>
    </row>
    <row r="1264" spans="18:18" x14ac:dyDescent="0.3">
      <c r="R1264" t="s">
        <v>4594</v>
      </c>
    </row>
    <row r="1265" spans="18:18" x14ac:dyDescent="0.3">
      <c r="R1265" t="s">
        <v>3939</v>
      </c>
    </row>
    <row r="1266" spans="18:18" x14ac:dyDescent="0.3">
      <c r="R1266" t="s">
        <v>1032</v>
      </c>
    </row>
    <row r="1267" spans="18:18" x14ac:dyDescent="0.3">
      <c r="R1267" t="s">
        <v>1033</v>
      </c>
    </row>
    <row r="1268" spans="18:18" x14ac:dyDescent="0.3">
      <c r="R1268" t="s">
        <v>1955</v>
      </c>
    </row>
    <row r="1269" spans="18:18" x14ac:dyDescent="0.3">
      <c r="R1269" t="s">
        <v>4595</v>
      </c>
    </row>
    <row r="1270" spans="18:18" x14ac:dyDescent="0.3">
      <c r="R1270" t="s">
        <v>133</v>
      </c>
    </row>
    <row r="1271" spans="18:18" x14ac:dyDescent="0.3">
      <c r="R1271" t="s">
        <v>4596</v>
      </c>
    </row>
    <row r="1272" spans="18:18" x14ac:dyDescent="0.3">
      <c r="R1272" t="s">
        <v>3940</v>
      </c>
    </row>
    <row r="1273" spans="18:18" x14ac:dyDescent="0.3">
      <c r="R1273" t="s">
        <v>1956</v>
      </c>
    </row>
    <row r="1274" spans="18:18" x14ac:dyDescent="0.3">
      <c r="R1274" t="s">
        <v>3941</v>
      </c>
    </row>
    <row r="1275" spans="18:18" x14ac:dyDescent="0.3">
      <c r="R1275" t="s">
        <v>5230</v>
      </c>
    </row>
    <row r="1276" spans="18:18" x14ac:dyDescent="0.3">
      <c r="R1276" t="s">
        <v>604</v>
      </c>
    </row>
    <row r="1277" spans="18:18" x14ac:dyDescent="0.3">
      <c r="R1277" t="s">
        <v>4597</v>
      </c>
    </row>
    <row r="1278" spans="18:18" x14ac:dyDescent="0.3">
      <c r="R1278" t="s">
        <v>1957</v>
      </c>
    </row>
    <row r="1279" spans="18:18" x14ac:dyDescent="0.3">
      <c r="R1279" t="s">
        <v>2430</v>
      </c>
    </row>
    <row r="1280" spans="18:18" x14ac:dyDescent="0.3">
      <c r="R1280" t="s">
        <v>4598</v>
      </c>
    </row>
    <row r="1281" spans="18:18" x14ac:dyDescent="0.3">
      <c r="R1281" t="s">
        <v>2431</v>
      </c>
    </row>
    <row r="1282" spans="18:18" x14ac:dyDescent="0.3">
      <c r="R1282" t="s">
        <v>2432</v>
      </c>
    </row>
    <row r="1283" spans="18:18" x14ac:dyDescent="0.3">
      <c r="R1283" t="s">
        <v>5063</v>
      </c>
    </row>
    <row r="1284" spans="18:18" x14ac:dyDescent="0.3">
      <c r="R1284" t="s">
        <v>2433</v>
      </c>
    </row>
    <row r="1285" spans="18:18" x14ac:dyDescent="0.3">
      <c r="R1285" t="s">
        <v>3380</v>
      </c>
    </row>
    <row r="1286" spans="18:18" x14ac:dyDescent="0.3">
      <c r="R1286" t="s">
        <v>3942</v>
      </c>
    </row>
    <row r="1287" spans="18:18" x14ac:dyDescent="0.3">
      <c r="R1287" t="s">
        <v>1958</v>
      </c>
    </row>
    <row r="1288" spans="18:18" x14ac:dyDescent="0.3">
      <c r="R1288" t="s">
        <v>193</v>
      </c>
    </row>
    <row r="1289" spans="18:18" x14ac:dyDescent="0.3">
      <c r="R1289" t="s">
        <v>819</v>
      </c>
    </row>
    <row r="1290" spans="18:18" x14ac:dyDescent="0.3">
      <c r="R1290" t="s">
        <v>820</v>
      </c>
    </row>
    <row r="1291" spans="18:18" x14ac:dyDescent="0.3">
      <c r="R1291" t="s">
        <v>4295</v>
      </c>
    </row>
    <row r="1292" spans="18:18" x14ac:dyDescent="0.3">
      <c r="R1292" t="s">
        <v>821</v>
      </c>
    </row>
    <row r="1293" spans="18:18" x14ac:dyDescent="0.3">
      <c r="R1293" t="s">
        <v>5064</v>
      </c>
    </row>
    <row r="1294" spans="18:18" x14ac:dyDescent="0.3">
      <c r="R1294" t="s">
        <v>5231</v>
      </c>
    </row>
    <row r="1295" spans="18:18" x14ac:dyDescent="0.3">
      <c r="R1295" t="s">
        <v>1959</v>
      </c>
    </row>
    <row r="1296" spans="18:18" x14ac:dyDescent="0.3">
      <c r="R1296" t="s">
        <v>194</v>
      </c>
    </row>
    <row r="1297" spans="18:18" x14ac:dyDescent="0.3">
      <c r="R1297" t="s">
        <v>605</v>
      </c>
    </row>
    <row r="1298" spans="18:18" x14ac:dyDescent="0.3">
      <c r="R1298" t="s">
        <v>606</v>
      </c>
    </row>
    <row r="1299" spans="18:18" x14ac:dyDescent="0.3">
      <c r="R1299" t="s">
        <v>2434</v>
      </c>
    </row>
    <row r="1300" spans="18:18" x14ac:dyDescent="0.3">
      <c r="R1300" t="s">
        <v>1716</v>
      </c>
    </row>
    <row r="1301" spans="18:18" x14ac:dyDescent="0.3">
      <c r="R1301" t="s">
        <v>822</v>
      </c>
    </row>
    <row r="1302" spans="18:18" x14ac:dyDescent="0.3">
      <c r="R1302" t="s">
        <v>288</v>
      </c>
    </row>
    <row r="1303" spans="18:18" x14ac:dyDescent="0.3">
      <c r="R1303" t="s">
        <v>3109</v>
      </c>
    </row>
    <row r="1304" spans="18:18" x14ac:dyDescent="0.3">
      <c r="R1304" t="s">
        <v>5065</v>
      </c>
    </row>
    <row r="1305" spans="18:18" x14ac:dyDescent="0.3">
      <c r="R1305" t="s">
        <v>3381</v>
      </c>
    </row>
    <row r="1306" spans="18:18" x14ac:dyDescent="0.3">
      <c r="R1306" t="s">
        <v>607</v>
      </c>
    </row>
    <row r="1307" spans="18:18" x14ac:dyDescent="0.3">
      <c r="R1307" t="s">
        <v>607</v>
      </c>
    </row>
    <row r="1308" spans="18:18" x14ac:dyDescent="0.3">
      <c r="R1308" t="s">
        <v>5232</v>
      </c>
    </row>
    <row r="1309" spans="18:18" x14ac:dyDescent="0.3">
      <c r="R1309" t="s">
        <v>447</v>
      </c>
    </row>
    <row r="1310" spans="18:18" x14ac:dyDescent="0.3">
      <c r="R1310" t="s">
        <v>505</v>
      </c>
    </row>
    <row r="1311" spans="18:18" x14ac:dyDescent="0.3">
      <c r="R1311" t="s">
        <v>5066</v>
      </c>
    </row>
    <row r="1312" spans="18:18" x14ac:dyDescent="0.3">
      <c r="R1312" t="s">
        <v>3382</v>
      </c>
    </row>
    <row r="1313" spans="18:18" x14ac:dyDescent="0.3">
      <c r="R1313" t="s">
        <v>3943</v>
      </c>
    </row>
    <row r="1314" spans="18:18" x14ac:dyDescent="0.3">
      <c r="R1314" t="s">
        <v>823</v>
      </c>
    </row>
    <row r="1315" spans="18:18" x14ac:dyDescent="0.3">
      <c r="R1315" t="s">
        <v>824</v>
      </c>
    </row>
    <row r="1316" spans="18:18" x14ac:dyDescent="0.3">
      <c r="R1316" t="s">
        <v>1717</v>
      </c>
    </row>
    <row r="1317" spans="18:18" x14ac:dyDescent="0.3">
      <c r="R1317" t="s">
        <v>3944</v>
      </c>
    </row>
    <row r="1318" spans="18:18" x14ac:dyDescent="0.3">
      <c r="R1318" t="s">
        <v>3944</v>
      </c>
    </row>
    <row r="1319" spans="18:18" x14ac:dyDescent="0.3">
      <c r="R1319" t="s">
        <v>105</v>
      </c>
    </row>
    <row r="1320" spans="18:18" x14ac:dyDescent="0.3">
      <c r="R1320" t="s">
        <v>2435</v>
      </c>
    </row>
    <row r="1321" spans="18:18" x14ac:dyDescent="0.3">
      <c r="R1321" t="s">
        <v>448</v>
      </c>
    </row>
    <row r="1322" spans="18:18" x14ac:dyDescent="0.3">
      <c r="R1322" t="s">
        <v>2436</v>
      </c>
    </row>
    <row r="1323" spans="18:18" x14ac:dyDescent="0.3">
      <c r="R1323" t="s">
        <v>3181</v>
      </c>
    </row>
    <row r="1324" spans="18:18" x14ac:dyDescent="0.3">
      <c r="R1324" t="s">
        <v>2437</v>
      </c>
    </row>
    <row r="1325" spans="18:18" x14ac:dyDescent="0.3">
      <c r="R1325" t="s">
        <v>5067</v>
      </c>
    </row>
    <row r="1326" spans="18:18" x14ac:dyDescent="0.3">
      <c r="R1326" t="s">
        <v>1382</v>
      </c>
    </row>
    <row r="1327" spans="18:18" x14ac:dyDescent="0.3">
      <c r="R1327" t="s">
        <v>2438</v>
      </c>
    </row>
    <row r="1328" spans="18:18" x14ac:dyDescent="0.3">
      <c r="R1328" t="s">
        <v>3110</v>
      </c>
    </row>
    <row r="1329" spans="18:18" x14ac:dyDescent="0.3">
      <c r="R1329" t="s">
        <v>2415</v>
      </c>
    </row>
    <row r="1330" spans="18:18" x14ac:dyDescent="0.3">
      <c r="R1330" t="s">
        <v>1960</v>
      </c>
    </row>
    <row r="1331" spans="18:18" x14ac:dyDescent="0.3">
      <c r="R1331" t="s">
        <v>2440</v>
      </c>
    </row>
    <row r="1332" spans="18:18" x14ac:dyDescent="0.3">
      <c r="R1332" t="s">
        <v>2439</v>
      </c>
    </row>
    <row r="1333" spans="18:18" x14ac:dyDescent="0.3">
      <c r="R1333" t="s">
        <v>2441</v>
      </c>
    </row>
    <row r="1334" spans="18:18" x14ac:dyDescent="0.3">
      <c r="R1334" t="s">
        <v>3186</v>
      </c>
    </row>
    <row r="1335" spans="18:18" x14ac:dyDescent="0.3">
      <c r="R1335" t="s">
        <v>1961</v>
      </c>
    </row>
    <row r="1336" spans="18:18" x14ac:dyDescent="0.3">
      <c r="R1336" t="s">
        <v>289</v>
      </c>
    </row>
    <row r="1337" spans="18:18" x14ac:dyDescent="0.3">
      <c r="R1337" t="s">
        <v>825</v>
      </c>
    </row>
    <row r="1338" spans="18:18" x14ac:dyDescent="0.3">
      <c r="R1338" t="s">
        <v>3111</v>
      </c>
    </row>
    <row r="1339" spans="18:18" x14ac:dyDescent="0.3">
      <c r="R1339" t="s">
        <v>1962</v>
      </c>
    </row>
    <row r="1340" spans="18:18" x14ac:dyDescent="0.3">
      <c r="R1340" t="s">
        <v>1963</v>
      </c>
    </row>
    <row r="1341" spans="18:18" x14ac:dyDescent="0.3">
      <c r="R1341" t="s">
        <v>608</v>
      </c>
    </row>
    <row r="1342" spans="18:18" x14ac:dyDescent="0.3">
      <c r="R1342" t="s">
        <v>2442</v>
      </c>
    </row>
    <row r="1343" spans="18:18" x14ac:dyDescent="0.3">
      <c r="R1343" t="s">
        <v>2443</v>
      </c>
    </row>
    <row r="1344" spans="18:18" x14ac:dyDescent="0.3">
      <c r="R1344" t="s">
        <v>2444</v>
      </c>
    </row>
    <row r="1345" spans="18:18" x14ac:dyDescent="0.3">
      <c r="R1345" t="s">
        <v>449</v>
      </c>
    </row>
    <row r="1346" spans="18:18" x14ac:dyDescent="0.3">
      <c r="R1346" t="s">
        <v>2445</v>
      </c>
    </row>
    <row r="1347" spans="18:18" x14ac:dyDescent="0.3">
      <c r="R1347" t="s">
        <v>3383</v>
      </c>
    </row>
    <row r="1348" spans="18:18" x14ac:dyDescent="0.3">
      <c r="R1348" t="s">
        <v>3384</v>
      </c>
    </row>
    <row r="1349" spans="18:18" x14ac:dyDescent="0.3">
      <c r="R1349" t="s">
        <v>4296</v>
      </c>
    </row>
    <row r="1350" spans="18:18" x14ac:dyDescent="0.3">
      <c r="R1350" t="s">
        <v>290</v>
      </c>
    </row>
    <row r="1351" spans="18:18" x14ac:dyDescent="0.3">
      <c r="R1351" t="s">
        <v>1383</v>
      </c>
    </row>
    <row r="1352" spans="18:18" x14ac:dyDescent="0.3">
      <c r="R1352" t="s">
        <v>1383</v>
      </c>
    </row>
    <row r="1353" spans="18:18" x14ac:dyDescent="0.3">
      <c r="R1353" t="s">
        <v>1384</v>
      </c>
    </row>
    <row r="1354" spans="18:18" x14ac:dyDescent="0.3">
      <c r="R1354" t="s">
        <v>1384</v>
      </c>
    </row>
    <row r="1355" spans="18:18" x14ac:dyDescent="0.3">
      <c r="R1355" t="s">
        <v>1964</v>
      </c>
    </row>
    <row r="1356" spans="18:18" x14ac:dyDescent="0.3">
      <c r="R1356" t="s">
        <v>4599</v>
      </c>
    </row>
    <row r="1357" spans="18:18" x14ac:dyDescent="0.3">
      <c r="R1357" t="s">
        <v>2446</v>
      </c>
    </row>
    <row r="1358" spans="18:18" x14ac:dyDescent="0.3">
      <c r="R1358" t="s">
        <v>2447</v>
      </c>
    </row>
    <row r="1359" spans="18:18" x14ac:dyDescent="0.3">
      <c r="R1359" t="s">
        <v>5068</v>
      </c>
    </row>
    <row r="1360" spans="18:18" x14ac:dyDescent="0.3">
      <c r="R1360" t="s">
        <v>1385</v>
      </c>
    </row>
    <row r="1361" spans="18:18" x14ac:dyDescent="0.3">
      <c r="R1361" t="s">
        <v>2448</v>
      </c>
    </row>
    <row r="1362" spans="18:18" x14ac:dyDescent="0.3">
      <c r="R1362" t="s">
        <v>2449</v>
      </c>
    </row>
    <row r="1363" spans="18:18" x14ac:dyDescent="0.3">
      <c r="R1363" t="s">
        <v>2450</v>
      </c>
    </row>
    <row r="1364" spans="18:18" x14ac:dyDescent="0.3">
      <c r="R1364" t="s">
        <v>3945</v>
      </c>
    </row>
    <row r="1365" spans="18:18" x14ac:dyDescent="0.3">
      <c r="R1365" t="s">
        <v>2451</v>
      </c>
    </row>
    <row r="1366" spans="18:18" x14ac:dyDescent="0.3">
      <c r="R1366" t="s">
        <v>5069</v>
      </c>
    </row>
    <row r="1367" spans="18:18" x14ac:dyDescent="0.3">
      <c r="R1367" t="s">
        <v>2452</v>
      </c>
    </row>
    <row r="1368" spans="18:18" x14ac:dyDescent="0.3">
      <c r="R1368" t="s">
        <v>3946</v>
      </c>
    </row>
    <row r="1369" spans="18:18" x14ac:dyDescent="0.3">
      <c r="R1369" t="s">
        <v>2453</v>
      </c>
    </row>
    <row r="1370" spans="18:18" x14ac:dyDescent="0.3">
      <c r="R1370" t="s">
        <v>2454</v>
      </c>
    </row>
    <row r="1371" spans="18:18" x14ac:dyDescent="0.3">
      <c r="R1371" t="s">
        <v>4600</v>
      </c>
    </row>
    <row r="1372" spans="18:18" x14ac:dyDescent="0.3">
      <c r="R1372" t="s">
        <v>2455</v>
      </c>
    </row>
    <row r="1373" spans="18:18" x14ac:dyDescent="0.3">
      <c r="R1373" t="s">
        <v>3947</v>
      </c>
    </row>
    <row r="1374" spans="18:18" x14ac:dyDescent="0.3">
      <c r="R1374" t="s">
        <v>1965</v>
      </c>
    </row>
    <row r="1375" spans="18:18" x14ac:dyDescent="0.3">
      <c r="R1375" t="s">
        <v>2456</v>
      </c>
    </row>
    <row r="1376" spans="18:18" x14ac:dyDescent="0.3">
      <c r="R1376" t="s">
        <v>4601</v>
      </c>
    </row>
    <row r="1377" spans="18:18" x14ac:dyDescent="0.3">
      <c r="R1377" t="s">
        <v>1718</v>
      </c>
    </row>
    <row r="1378" spans="18:18" x14ac:dyDescent="0.3">
      <c r="R1378" t="s">
        <v>4602</v>
      </c>
    </row>
    <row r="1379" spans="18:18" x14ac:dyDescent="0.3">
      <c r="R1379" t="s">
        <v>2457</v>
      </c>
    </row>
    <row r="1380" spans="18:18" x14ac:dyDescent="0.3">
      <c r="R1380" t="s">
        <v>1966</v>
      </c>
    </row>
    <row r="1381" spans="18:18" x14ac:dyDescent="0.3">
      <c r="R1381" t="s">
        <v>3948</v>
      </c>
    </row>
    <row r="1382" spans="18:18" x14ac:dyDescent="0.3">
      <c r="R1382" t="s">
        <v>3187</v>
      </c>
    </row>
    <row r="1383" spans="18:18" x14ac:dyDescent="0.3">
      <c r="R1383" t="s">
        <v>3385</v>
      </c>
    </row>
    <row r="1384" spans="18:18" x14ac:dyDescent="0.3">
      <c r="R1384" t="s">
        <v>1967</v>
      </c>
    </row>
    <row r="1385" spans="18:18" x14ac:dyDescent="0.3">
      <c r="R1385" t="s">
        <v>4297</v>
      </c>
    </row>
    <row r="1386" spans="18:18" x14ac:dyDescent="0.3">
      <c r="R1386" t="s">
        <v>2458</v>
      </c>
    </row>
    <row r="1387" spans="18:18" x14ac:dyDescent="0.3">
      <c r="R1387" t="s">
        <v>2459</v>
      </c>
    </row>
    <row r="1388" spans="18:18" x14ac:dyDescent="0.3">
      <c r="R1388" t="s">
        <v>1034</v>
      </c>
    </row>
    <row r="1389" spans="18:18" x14ac:dyDescent="0.3">
      <c r="R1389" t="s">
        <v>1386</v>
      </c>
    </row>
    <row r="1390" spans="18:18" x14ac:dyDescent="0.3">
      <c r="R1390" t="s">
        <v>4985</v>
      </c>
    </row>
    <row r="1391" spans="18:18" x14ac:dyDescent="0.3">
      <c r="R1391" t="s">
        <v>1968</v>
      </c>
    </row>
    <row r="1392" spans="18:18" x14ac:dyDescent="0.3">
      <c r="R1392" t="s">
        <v>2460</v>
      </c>
    </row>
    <row r="1393" spans="18:18" x14ac:dyDescent="0.3">
      <c r="R1393" t="s">
        <v>3949</v>
      </c>
    </row>
    <row r="1394" spans="18:18" x14ac:dyDescent="0.3">
      <c r="R1394" t="s">
        <v>2461</v>
      </c>
    </row>
    <row r="1395" spans="18:18" x14ac:dyDescent="0.3">
      <c r="R1395" t="s">
        <v>3386</v>
      </c>
    </row>
    <row r="1396" spans="18:18" x14ac:dyDescent="0.3">
      <c r="R1396" t="s">
        <v>609</v>
      </c>
    </row>
    <row r="1397" spans="18:18" x14ac:dyDescent="0.3">
      <c r="R1397" t="s">
        <v>2462</v>
      </c>
    </row>
    <row r="1398" spans="18:18" x14ac:dyDescent="0.3">
      <c r="R1398" t="s">
        <v>4603</v>
      </c>
    </row>
    <row r="1399" spans="18:18" x14ac:dyDescent="0.3">
      <c r="R1399" t="s">
        <v>4604</v>
      </c>
    </row>
    <row r="1400" spans="18:18" x14ac:dyDescent="0.3">
      <c r="R1400" t="s">
        <v>3950</v>
      </c>
    </row>
    <row r="1401" spans="18:18" x14ac:dyDescent="0.3">
      <c r="R1401" t="s">
        <v>1195</v>
      </c>
    </row>
    <row r="1402" spans="18:18" x14ac:dyDescent="0.3">
      <c r="R1402" t="s">
        <v>2463</v>
      </c>
    </row>
    <row r="1403" spans="18:18" x14ac:dyDescent="0.3">
      <c r="R1403" t="s">
        <v>4298</v>
      </c>
    </row>
    <row r="1404" spans="18:18" x14ac:dyDescent="0.3">
      <c r="R1404" t="s">
        <v>1196</v>
      </c>
    </row>
    <row r="1405" spans="18:18" x14ac:dyDescent="0.3">
      <c r="R1405" t="s">
        <v>1969</v>
      </c>
    </row>
    <row r="1406" spans="18:18" x14ac:dyDescent="0.3">
      <c r="R1406" t="s">
        <v>826</v>
      </c>
    </row>
    <row r="1407" spans="18:18" x14ac:dyDescent="0.3">
      <c r="R1407" t="s">
        <v>3387</v>
      </c>
    </row>
    <row r="1408" spans="18:18" x14ac:dyDescent="0.3">
      <c r="R1408" t="s">
        <v>4299</v>
      </c>
    </row>
    <row r="1409" spans="18:18" x14ac:dyDescent="0.3">
      <c r="R1409" t="s">
        <v>2464</v>
      </c>
    </row>
    <row r="1410" spans="18:18" x14ac:dyDescent="0.3">
      <c r="R1410" t="s">
        <v>2465</v>
      </c>
    </row>
    <row r="1411" spans="18:18" x14ac:dyDescent="0.3">
      <c r="R1411" t="s">
        <v>4605</v>
      </c>
    </row>
    <row r="1412" spans="18:18" x14ac:dyDescent="0.3">
      <c r="R1412" t="s">
        <v>4986</v>
      </c>
    </row>
    <row r="1413" spans="18:18" x14ac:dyDescent="0.3">
      <c r="R1413" t="s">
        <v>3951</v>
      </c>
    </row>
    <row r="1414" spans="18:18" x14ac:dyDescent="0.3">
      <c r="R1414" t="s">
        <v>2466</v>
      </c>
    </row>
    <row r="1415" spans="18:18" x14ac:dyDescent="0.3">
      <c r="R1415" t="s">
        <v>2467</v>
      </c>
    </row>
    <row r="1416" spans="18:18" x14ac:dyDescent="0.3">
      <c r="R1416" t="s">
        <v>2468</v>
      </c>
    </row>
    <row r="1417" spans="18:18" x14ac:dyDescent="0.3">
      <c r="R1417" t="s">
        <v>5233</v>
      </c>
    </row>
    <row r="1418" spans="18:18" x14ac:dyDescent="0.3">
      <c r="R1418" t="s">
        <v>2469</v>
      </c>
    </row>
    <row r="1419" spans="18:18" x14ac:dyDescent="0.3">
      <c r="R1419" t="s">
        <v>2470</v>
      </c>
    </row>
    <row r="1420" spans="18:18" x14ac:dyDescent="0.3">
      <c r="R1420" t="s">
        <v>4301</v>
      </c>
    </row>
    <row r="1421" spans="18:18" x14ac:dyDescent="0.3">
      <c r="R1421" t="s">
        <v>827</v>
      </c>
    </row>
    <row r="1422" spans="18:18" x14ac:dyDescent="0.3">
      <c r="R1422" t="s">
        <v>1577</v>
      </c>
    </row>
    <row r="1423" spans="18:18" x14ac:dyDescent="0.3">
      <c r="R1423" t="s">
        <v>1970</v>
      </c>
    </row>
    <row r="1424" spans="18:18" x14ac:dyDescent="0.3">
      <c r="R1424" t="s">
        <v>1578</v>
      </c>
    </row>
    <row r="1425" spans="18:18" x14ac:dyDescent="0.3">
      <c r="R1425" t="s">
        <v>4987</v>
      </c>
    </row>
    <row r="1426" spans="18:18" x14ac:dyDescent="0.3">
      <c r="R1426" t="s">
        <v>5234</v>
      </c>
    </row>
    <row r="1427" spans="18:18" x14ac:dyDescent="0.3">
      <c r="R1427" t="s">
        <v>5235</v>
      </c>
    </row>
    <row r="1428" spans="18:18" x14ac:dyDescent="0.3">
      <c r="R1428" t="s">
        <v>3388</v>
      </c>
    </row>
    <row r="1429" spans="18:18" x14ac:dyDescent="0.3">
      <c r="R1429" t="s">
        <v>3952</v>
      </c>
    </row>
    <row r="1430" spans="18:18" x14ac:dyDescent="0.3">
      <c r="R1430" t="s">
        <v>106</v>
      </c>
    </row>
    <row r="1431" spans="18:18" x14ac:dyDescent="0.3">
      <c r="R1431" t="s">
        <v>4300</v>
      </c>
    </row>
    <row r="1432" spans="18:18" x14ac:dyDescent="0.3">
      <c r="R1432" t="s">
        <v>1719</v>
      </c>
    </row>
    <row r="1433" spans="18:18" x14ac:dyDescent="0.3">
      <c r="R1433" t="s">
        <v>3389</v>
      </c>
    </row>
    <row r="1434" spans="18:18" x14ac:dyDescent="0.3">
      <c r="R1434" t="s">
        <v>3390</v>
      </c>
    </row>
    <row r="1435" spans="18:18" x14ac:dyDescent="0.3">
      <c r="R1435" t="s">
        <v>107</v>
      </c>
    </row>
    <row r="1436" spans="18:18" x14ac:dyDescent="0.3">
      <c r="R1436" t="s">
        <v>4988</v>
      </c>
    </row>
    <row r="1437" spans="18:18" x14ac:dyDescent="0.3">
      <c r="R1437" t="s">
        <v>1971</v>
      </c>
    </row>
    <row r="1438" spans="18:18" x14ac:dyDescent="0.3">
      <c r="R1438" t="s">
        <v>3391</v>
      </c>
    </row>
    <row r="1439" spans="18:18" x14ac:dyDescent="0.3">
      <c r="R1439" t="s">
        <v>4606</v>
      </c>
    </row>
    <row r="1440" spans="18:18" x14ac:dyDescent="0.3">
      <c r="R1440" t="s">
        <v>5070</v>
      </c>
    </row>
    <row r="1441" spans="18:18" x14ac:dyDescent="0.3">
      <c r="R1441" t="s">
        <v>2471</v>
      </c>
    </row>
    <row r="1442" spans="18:18" x14ac:dyDescent="0.3">
      <c r="R1442" t="s">
        <v>450</v>
      </c>
    </row>
    <row r="1443" spans="18:18" x14ac:dyDescent="0.3">
      <c r="R1443" t="s">
        <v>4607</v>
      </c>
    </row>
    <row r="1444" spans="18:18" x14ac:dyDescent="0.3">
      <c r="R1444" t="s">
        <v>4989</v>
      </c>
    </row>
    <row r="1445" spans="18:18" x14ac:dyDescent="0.3">
      <c r="R1445" t="s">
        <v>1387</v>
      </c>
    </row>
    <row r="1446" spans="18:18" x14ac:dyDescent="0.3">
      <c r="R1446" t="s">
        <v>1720</v>
      </c>
    </row>
    <row r="1447" spans="18:18" x14ac:dyDescent="0.3">
      <c r="R1447" t="s">
        <v>1035</v>
      </c>
    </row>
    <row r="1448" spans="18:18" x14ac:dyDescent="0.3">
      <c r="R1448" t="s">
        <v>1036</v>
      </c>
    </row>
    <row r="1449" spans="18:18" x14ac:dyDescent="0.3">
      <c r="R1449" t="s">
        <v>3392</v>
      </c>
    </row>
    <row r="1450" spans="18:18" x14ac:dyDescent="0.3">
      <c r="R1450" t="s">
        <v>1972</v>
      </c>
    </row>
    <row r="1451" spans="18:18" x14ac:dyDescent="0.3">
      <c r="R1451" t="s">
        <v>4302</v>
      </c>
    </row>
    <row r="1452" spans="18:18" x14ac:dyDescent="0.3">
      <c r="R1452" t="s">
        <v>2472</v>
      </c>
    </row>
    <row r="1453" spans="18:18" x14ac:dyDescent="0.3">
      <c r="R1453" t="s">
        <v>1973</v>
      </c>
    </row>
    <row r="1454" spans="18:18" x14ac:dyDescent="0.3">
      <c r="R1454" t="s">
        <v>4608</v>
      </c>
    </row>
    <row r="1455" spans="18:18" x14ac:dyDescent="0.3">
      <c r="R1455" t="s">
        <v>2473</v>
      </c>
    </row>
    <row r="1456" spans="18:18" x14ac:dyDescent="0.3">
      <c r="R1456" t="s">
        <v>3393</v>
      </c>
    </row>
    <row r="1457" spans="18:18" x14ac:dyDescent="0.3">
      <c r="R1457" t="s">
        <v>4609</v>
      </c>
    </row>
    <row r="1458" spans="18:18" x14ac:dyDescent="0.3">
      <c r="R1458" t="s">
        <v>4610</v>
      </c>
    </row>
    <row r="1459" spans="18:18" x14ac:dyDescent="0.3">
      <c r="R1459" t="s">
        <v>451</v>
      </c>
    </row>
    <row r="1460" spans="18:18" x14ac:dyDescent="0.3">
      <c r="R1460" t="s">
        <v>828</v>
      </c>
    </row>
    <row r="1461" spans="18:18" x14ac:dyDescent="0.3">
      <c r="R1461" t="s">
        <v>2474</v>
      </c>
    </row>
    <row r="1462" spans="18:18" x14ac:dyDescent="0.3">
      <c r="R1462" t="s">
        <v>5236</v>
      </c>
    </row>
    <row r="1463" spans="18:18" x14ac:dyDescent="0.3">
      <c r="R1463" t="s">
        <v>2475</v>
      </c>
    </row>
    <row r="1464" spans="18:18" x14ac:dyDescent="0.3">
      <c r="R1464" t="s">
        <v>5237</v>
      </c>
    </row>
    <row r="1465" spans="18:18" x14ac:dyDescent="0.3">
      <c r="R1465" t="s">
        <v>2476</v>
      </c>
    </row>
    <row r="1466" spans="18:18" x14ac:dyDescent="0.3">
      <c r="R1466" t="s">
        <v>1807</v>
      </c>
    </row>
    <row r="1467" spans="18:18" x14ac:dyDescent="0.3">
      <c r="R1467" t="s">
        <v>829</v>
      </c>
    </row>
    <row r="1468" spans="18:18" x14ac:dyDescent="0.3">
      <c r="R1468" t="s">
        <v>1974</v>
      </c>
    </row>
    <row r="1469" spans="18:18" x14ac:dyDescent="0.3">
      <c r="R1469" t="s">
        <v>5238</v>
      </c>
    </row>
    <row r="1470" spans="18:18" x14ac:dyDescent="0.3">
      <c r="R1470" t="s">
        <v>452</v>
      </c>
    </row>
    <row r="1471" spans="18:18" x14ac:dyDescent="0.3">
      <c r="R1471" t="s">
        <v>1037</v>
      </c>
    </row>
    <row r="1472" spans="18:18" x14ac:dyDescent="0.3">
      <c r="R1472" t="s">
        <v>5239</v>
      </c>
    </row>
    <row r="1473" spans="18:18" x14ac:dyDescent="0.3">
      <c r="R1473" t="s">
        <v>2477</v>
      </c>
    </row>
    <row r="1474" spans="18:18" x14ac:dyDescent="0.3">
      <c r="R1474" t="s">
        <v>1038</v>
      </c>
    </row>
    <row r="1475" spans="18:18" x14ac:dyDescent="0.3">
      <c r="R1475" t="s">
        <v>4611</v>
      </c>
    </row>
    <row r="1476" spans="18:18" x14ac:dyDescent="0.3">
      <c r="R1476" t="s">
        <v>1975</v>
      </c>
    </row>
    <row r="1477" spans="18:18" x14ac:dyDescent="0.3">
      <c r="R1477" t="s">
        <v>1388</v>
      </c>
    </row>
    <row r="1478" spans="18:18" x14ac:dyDescent="0.3">
      <c r="R1478" t="s">
        <v>3955</v>
      </c>
    </row>
    <row r="1479" spans="18:18" x14ac:dyDescent="0.3">
      <c r="R1479" t="s">
        <v>3394</v>
      </c>
    </row>
    <row r="1480" spans="18:18" x14ac:dyDescent="0.3">
      <c r="R1480" t="s">
        <v>4612</v>
      </c>
    </row>
    <row r="1481" spans="18:18" x14ac:dyDescent="0.3">
      <c r="R1481" t="s">
        <v>3395</v>
      </c>
    </row>
    <row r="1482" spans="18:18" x14ac:dyDescent="0.3">
      <c r="R1482" t="s">
        <v>2478</v>
      </c>
    </row>
    <row r="1483" spans="18:18" x14ac:dyDescent="0.3">
      <c r="R1483" t="s">
        <v>3953</v>
      </c>
    </row>
    <row r="1484" spans="18:18" x14ac:dyDescent="0.3">
      <c r="R1484" t="s">
        <v>3954</v>
      </c>
    </row>
    <row r="1485" spans="18:18" x14ac:dyDescent="0.3">
      <c r="R1485" t="s">
        <v>157</v>
      </c>
    </row>
    <row r="1486" spans="18:18" x14ac:dyDescent="0.3">
      <c r="R1486" t="s">
        <v>157</v>
      </c>
    </row>
    <row r="1487" spans="18:18" x14ac:dyDescent="0.3">
      <c r="R1487" t="s">
        <v>157</v>
      </c>
    </row>
    <row r="1488" spans="18:18" x14ac:dyDescent="0.3">
      <c r="R1488" t="s">
        <v>1197</v>
      </c>
    </row>
    <row r="1489" spans="18:18" x14ac:dyDescent="0.3">
      <c r="R1489" t="s">
        <v>2479</v>
      </c>
    </row>
    <row r="1490" spans="18:18" x14ac:dyDescent="0.3">
      <c r="R1490" t="s">
        <v>3956</v>
      </c>
    </row>
    <row r="1491" spans="18:18" x14ac:dyDescent="0.3">
      <c r="R1491" t="s">
        <v>3396</v>
      </c>
    </row>
    <row r="1492" spans="18:18" x14ac:dyDescent="0.3">
      <c r="R1492" t="s">
        <v>1389</v>
      </c>
    </row>
    <row r="1493" spans="18:18" x14ac:dyDescent="0.3">
      <c r="R1493" t="s">
        <v>5071</v>
      </c>
    </row>
    <row r="1494" spans="18:18" x14ac:dyDescent="0.3">
      <c r="R1494" t="s">
        <v>1390</v>
      </c>
    </row>
    <row r="1495" spans="18:18" x14ac:dyDescent="0.3">
      <c r="R1495" t="s">
        <v>1392</v>
      </c>
    </row>
    <row r="1496" spans="18:18" x14ac:dyDescent="0.3">
      <c r="R1496" t="s">
        <v>1391</v>
      </c>
    </row>
    <row r="1497" spans="18:18" x14ac:dyDescent="0.3">
      <c r="R1497" t="s">
        <v>134</v>
      </c>
    </row>
    <row r="1498" spans="18:18" x14ac:dyDescent="0.3">
      <c r="R1498" t="s">
        <v>5240</v>
      </c>
    </row>
    <row r="1499" spans="18:18" x14ac:dyDescent="0.3">
      <c r="R1499" t="s">
        <v>1579</v>
      </c>
    </row>
    <row r="1500" spans="18:18" x14ac:dyDescent="0.3">
      <c r="R1500" t="s">
        <v>291</v>
      </c>
    </row>
    <row r="1501" spans="18:18" x14ac:dyDescent="0.3">
      <c r="R1501" t="s">
        <v>1808</v>
      </c>
    </row>
    <row r="1502" spans="18:18" x14ac:dyDescent="0.3">
      <c r="R1502" t="s">
        <v>3397</v>
      </c>
    </row>
    <row r="1503" spans="18:18" x14ac:dyDescent="0.3">
      <c r="R1503" t="s">
        <v>4303</v>
      </c>
    </row>
    <row r="1504" spans="18:18" x14ac:dyDescent="0.3">
      <c r="R1504" t="s">
        <v>4304</v>
      </c>
    </row>
    <row r="1505" spans="18:18" x14ac:dyDescent="0.3">
      <c r="R1505" t="s">
        <v>2480</v>
      </c>
    </row>
    <row r="1506" spans="18:18" x14ac:dyDescent="0.3">
      <c r="R1506" t="s">
        <v>1580</v>
      </c>
    </row>
    <row r="1507" spans="18:18" x14ac:dyDescent="0.3">
      <c r="R1507" t="s">
        <v>1976</v>
      </c>
    </row>
    <row r="1508" spans="18:18" x14ac:dyDescent="0.3">
      <c r="R1508" t="s">
        <v>830</v>
      </c>
    </row>
    <row r="1509" spans="18:18" x14ac:dyDescent="0.3">
      <c r="R1509" t="s">
        <v>292</v>
      </c>
    </row>
    <row r="1510" spans="18:18" x14ac:dyDescent="0.3">
      <c r="R1510" t="s">
        <v>3957</v>
      </c>
    </row>
    <row r="1511" spans="18:18" x14ac:dyDescent="0.3">
      <c r="R1511" t="s">
        <v>4305</v>
      </c>
    </row>
    <row r="1512" spans="18:18" x14ac:dyDescent="0.3">
      <c r="R1512" t="s">
        <v>3958</v>
      </c>
    </row>
    <row r="1513" spans="18:18" x14ac:dyDescent="0.3">
      <c r="R1513" t="s">
        <v>831</v>
      </c>
    </row>
    <row r="1514" spans="18:18" x14ac:dyDescent="0.3">
      <c r="R1514" t="s">
        <v>1198</v>
      </c>
    </row>
    <row r="1515" spans="18:18" x14ac:dyDescent="0.3">
      <c r="R1515" t="s">
        <v>1393</v>
      </c>
    </row>
    <row r="1516" spans="18:18" x14ac:dyDescent="0.3">
      <c r="R1516" t="s">
        <v>2481</v>
      </c>
    </row>
    <row r="1517" spans="18:18" x14ac:dyDescent="0.3">
      <c r="R1517" t="s">
        <v>833</v>
      </c>
    </row>
    <row r="1518" spans="18:18" x14ac:dyDescent="0.3">
      <c r="R1518" t="s">
        <v>1394</v>
      </c>
    </row>
    <row r="1519" spans="18:18" x14ac:dyDescent="0.3">
      <c r="R1519" t="s">
        <v>293</v>
      </c>
    </row>
    <row r="1520" spans="18:18" x14ac:dyDescent="0.3">
      <c r="R1520" t="s">
        <v>832</v>
      </c>
    </row>
    <row r="1521" spans="18:18" x14ac:dyDescent="0.3">
      <c r="R1521" t="s">
        <v>294</v>
      </c>
    </row>
    <row r="1522" spans="18:18" x14ac:dyDescent="0.3">
      <c r="R1522" t="s">
        <v>295</v>
      </c>
    </row>
    <row r="1523" spans="18:18" x14ac:dyDescent="0.3">
      <c r="R1523" t="s">
        <v>610</v>
      </c>
    </row>
    <row r="1524" spans="18:18" x14ac:dyDescent="0.3">
      <c r="R1524" t="s">
        <v>5072</v>
      </c>
    </row>
    <row r="1525" spans="18:18" x14ac:dyDescent="0.3">
      <c r="R1525" t="s">
        <v>2482</v>
      </c>
    </row>
    <row r="1526" spans="18:18" x14ac:dyDescent="0.3">
      <c r="R1526" t="s">
        <v>1581</v>
      </c>
    </row>
    <row r="1527" spans="18:18" x14ac:dyDescent="0.3">
      <c r="R1527" t="s">
        <v>399</v>
      </c>
    </row>
    <row r="1528" spans="18:18" x14ac:dyDescent="0.3">
      <c r="R1528" t="s">
        <v>5241</v>
      </c>
    </row>
    <row r="1529" spans="18:18" x14ac:dyDescent="0.3">
      <c r="R1529" t="s">
        <v>1395</v>
      </c>
    </row>
    <row r="1530" spans="18:18" x14ac:dyDescent="0.3">
      <c r="R1530" t="s">
        <v>5242</v>
      </c>
    </row>
    <row r="1531" spans="18:18" x14ac:dyDescent="0.3">
      <c r="R1531" t="s">
        <v>453</v>
      </c>
    </row>
    <row r="1532" spans="18:18" x14ac:dyDescent="0.3">
      <c r="R1532" t="s">
        <v>1977</v>
      </c>
    </row>
    <row r="1533" spans="18:18" x14ac:dyDescent="0.3">
      <c r="R1533" t="s">
        <v>2483</v>
      </c>
    </row>
    <row r="1534" spans="18:18" x14ac:dyDescent="0.3">
      <c r="R1534" t="s">
        <v>4613</v>
      </c>
    </row>
    <row r="1535" spans="18:18" x14ac:dyDescent="0.3">
      <c r="R1535" t="s">
        <v>611</v>
      </c>
    </row>
    <row r="1536" spans="18:18" x14ac:dyDescent="0.3">
      <c r="R1536" t="s">
        <v>611</v>
      </c>
    </row>
    <row r="1537" spans="18:18" x14ac:dyDescent="0.3">
      <c r="R1537" t="s">
        <v>2484</v>
      </c>
    </row>
    <row r="1538" spans="18:18" x14ac:dyDescent="0.3">
      <c r="R1538" t="s">
        <v>2485</v>
      </c>
    </row>
    <row r="1539" spans="18:18" x14ac:dyDescent="0.3">
      <c r="R1539" t="s">
        <v>1721</v>
      </c>
    </row>
    <row r="1540" spans="18:18" x14ac:dyDescent="0.3">
      <c r="R1540" t="s">
        <v>2486</v>
      </c>
    </row>
    <row r="1541" spans="18:18" x14ac:dyDescent="0.3">
      <c r="R1541" t="s">
        <v>834</v>
      </c>
    </row>
    <row r="1542" spans="18:18" x14ac:dyDescent="0.3">
      <c r="R1542" t="s">
        <v>5073</v>
      </c>
    </row>
    <row r="1543" spans="18:18" x14ac:dyDescent="0.3">
      <c r="R1543" t="s">
        <v>4990</v>
      </c>
    </row>
    <row r="1544" spans="18:18" x14ac:dyDescent="0.3">
      <c r="R1544" t="s">
        <v>1039</v>
      </c>
    </row>
    <row r="1545" spans="18:18" x14ac:dyDescent="0.3">
      <c r="R1545" t="s">
        <v>4614</v>
      </c>
    </row>
    <row r="1546" spans="18:18" x14ac:dyDescent="0.3">
      <c r="R1546" t="s">
        <v>3398</v>
      </c>
    </row>
    <row r="1547" spans="18:18" x14ac:dyDescent="0.3">
      <c r="R1547" t="s">
        <v>4306</v>
      </c>
    </row>
    <row r="1548" spans="18:18" x14ac:dyDescent="0.3">
      <c r="R1548" t="s">
        <v>2487</v>
      </c>
    </row>
    <row r="1549" spans="18:18" x14ac:dyDescent="0.3">
      <c r="R1549" t="s">
        <v>1396</v>
      </c>
    </row>
    <row r="1550" spans="18:18" x14ac:dyDescent="0.3">
      <c r="R1550" t="s">
        <v>2488</v>
      </c>
    </row>
    <row r="1551" spans="18:18" x14ac:dyDescent="0.3">
      <c r="R1551" t="s">
        <v>2489</v>
      </c>
    </row>
    <row r="1552" spans="18:18" x14ac:dyDescent="0.3">
      <c r="R1552" t="s">
        <v>4615</v>
      </c>
    </row>
    <row r="1553" spans="18:18" x14ac:dyDescent="0.3">
      <c r="R1553" t="s">
        <v>3399</v>
      </c>
    </row>
    <row r="1554" spans="18:18" x14ac:dyDescent="0.3">
      <c r="R1554" t="s">
        <v>1398</v>
      </c>
    </row>
    <row r="1555" spans="18:18" x14ac:dyDescent="0.3">
      <c r="R1555" t="s">
        <v>3959</v>
      </c>
    </row>
    <row r="1556" spans="18:18" x14ac:dyDescent="0.3">
      <c r="R1556" t="s">
        <v>3960</v>
      </c>
    </row>
    <row r="1557" spans="18:18" x14ac:dyDescent="0.3">
      <c r="R1557" t="s">
        <v>3961</v>
      </c>
    </row>
    <row r="1558" spans="18:18" x14ac:dyDescent="0.3">
      <c r="R1558" t="s">
        <v>2490</v>
      </c>
    </row>
    <row r="1559" spans="18:18" x14ac:dyDescent="0.3">
      <c r="R1559" t="s">
        <v>5074</v>
      </c>
    </row>
    <row r="1560" spans="18:18" x14ac:dyDescent="0.3">
      <c r="R1560" t="s">
        <v>454</v>
      </c>
    </row>
    <row r="1561" spans="18:18" x14ac:dyDescent="0.3">
      <c r="R1561" t="s">
        <v>1978</v>
      </c>
    </row>
    <row r="1562" spans="18:18" x14ac:dyDescent="0.3">
      <c r="R1562" t="s">
        <v>4616</v>
      </c>
    </row>
    <row r="1563" spans="18:18" x14ac:dyDescent="0.3">
      <c r="R1563" t="s">
        <v>2491</v>
      </c>
    </row>
    <row r="1564" spans="18:18" x14ac:dyDescent="0.3">
      <c r="R1564" t="s">
        <v>2492</v>
      </c>
    </row>
    <row r="1565" spans="18:18" x14ac:dyDescent="0.3">
      <c r="R1565" t="s">
        <v>4307</v>
      </c>
    </row>
    <row r="1566" spans="18:18" x14ac:dyDescent="0.3">
      <c r="R1566" t="s">
        <v>5243</v>
      </c>
    </row>
    <row r="1567" spans="18:18" x14ac:dyDescent="0.3">
      <c r="R1567" t="s">
        <v>3400</v>
      </c>
    </row>
    <row r="1568" spans="18:18" x14ac:dyDescent="0.3">
      <c r="R1568" t="s">
        <v>835</v>
      </c>
    </row>
    <row r="1569" spans="18:18" x14ac:dyDescent="0.3">
      <c r="R1569" t="s">
        <v>1809</v>
      </c>
    </row>
    <row r="1570" spans="18:18" x14ac:dyDescent="0.3">
      <c r="R1570" t="s">
        <v>2493</v>
      </c>
    </row>
    <row r="1571" spans="18:18" x14ac:dyDescent="0.3">
      <c r="R1571" t="s">
        <v>2494</v>
      </c>
    </row>
    <row r="1572" spans="18:18" x14ac:dyDescent="0.3">
      <c r="R1572" t="s">
        <v>2495</v>
      </c>
    </row>
    <row r="1573" spans="18:18" x14ac:dyDescent="0.3">
      <c r="R1573" t="s">
        <v>3112</v>
      </c>
    </row>
    <row r="1574" spans="18:18" x14ac:dyDescent="0.3">
      <c r="R1574" t="s">
        <v>3401</v>
      </c>
    </row>
    <row r="1575" spans="18:18" x14ac:dyDescent="0.3">
      <c r="R1575" t="s">
        <v>2496</v>
      </c>
    </row>
    <row r="1576" spans="18:18" x14ac:dyDescent="0.3">
      <c r="R1576" t="s">
        <v>2497</v>
      </c>
    </row>
    <row r="1577" spans="18:18" x14ac:dyDescent="0.3">
      <c r="R1577" t="s">
        <v>5253</v>
      </c>
    </row>
    <row r="1578" spans="18:18" x14ac:dyDescent="0.3">
      <c r="R1578" t="s">
        <v>455</v>
      </c>
    </row>
    <row r="1579" spans="18:18" x14ac:dyDescent="0.3">
      <c r="R1579" t="s">
        <v>2498</v>
      </c>
    </row>
    <row r="1580" spans="18:18" x14ac:dyDescent="0.3">
      <c r="R1580" t="s">
        <v>2499</v>
      </c>
    </row>
    <row r="1581" spans="18:18" x14ac:dyDescent="0.3">
      <c r="R1581" t="s">
        <v>2500</v>
      </c>
    </row>
    <row r="1582" spans="18:18" x14ac:dyDescent="0.3">
      <c r="R1582" t="s">
        <v>3402</v>
      </c>
    </row>
    <row r="1583" spans="18:18" x14ac:dyDescent="0.3">
      <c r="R1583" t="s">
        <v>3403</v>
      </c>
    </row>
    <row r="1584" spans="18:18" x14ac:dyDescent="0.3">
      <c r="R1584" t="s">
        <v>4617</v>
      </c>
    </row>
    <row r="1585" spans="18:18" x14ac:dyDescent="0.3">
      <c r="R1585" t="s">
        <v>4618</v>
      </c>
    </row>
    <row r="1586" spans="18:18" x14ac:dyDescent="0.3">
      <c r="R1586" t="s">
        <v>4991</v>
      </c>
    </row>
    <row r="1587" spans="18:18" x14ac:dyDescent="0.3">
      <c r="R1587" t="s">
        <v>456</v>
      </c>
    </row>
    <row r="1588" spans="18:18" x14ac:dyDescent="0.3">
      <c r="R1588" t="s">
        <v>4619</v>
      </c>
    </row>
    <row r="1589" spans="18:18" x14ac:dyDescent="0.3">
      <c r="R1589" t="s">
        <v>1722</v>
      </c>
    </row>
    <row r="1590" spans="18:18" x14ac:dyDescent="0.3">
      <c r="R1590" t="s">
        <v>3962</v>
      </c>
    </row>
    <row r="1591" spans="18:18" x14ac:dyDescent="0.3">
      <c r="R1591" t="s">
        <v>3404</v>
      </c>
    </row>
    <row r="1592" spans="18:18" x14ac:dyDescent="0.3">
      <c r="R1592" t="s">
        <v>5075</v>
      </c>
    </row>
    <row r="1593" spans="18:18" x14ac:dyDescent="0.3">
      <c r="R1593" t="s">
        <v>1979</v>
      </c>
    </row>
    <row r="1594" spans="18:18" x14ac:dyDescent="0.3">
      <c r="R1594" t="s">
        <v>2501</v>
      </c>
    </row>
    <row r="1595" spans="18:18" x14ac:dyDescent="0.3">
      <c r="R1595" t="s">
        <v>2502</v>
      </c>
    </row>
    <row r="1596" spans="18:18" x14ac:dyDescent="0.3">
      <c r="R1596" t="s">
        <v>296</v>
      </c>
    </row>
    <row r="1597" spans="18:18" x14ac:dyDescent="0.3">
      <c r="R1597" t="s">
        <v>836</v>
      </c>
    </row>
    <row r="1598" spans="18:18" x14ac:dyDescent="0.3">
      <c r="R1598" t="s">
        <v>4620</v>
      </c>
    </row>
    <row r="1599" spans="18:18" x14ac:dyDescent="0.3">
      <c r="R1599" t="s">
        <v>838</v>
      </c>
    </row>
    <row r="1600" spans="18:18" x14ac:dyDescent="0.3">
      <c r="R1600" t="s">
        <v>2503</v>
      </c>
    </row>
    <row r="1601" spans="18:18" x14ac:dyDescent="0.3">
      <c r="R1601" t="s">
        <v>1980</v>
      </c>
    </row>
    <row r="1602" spans="18:18" x14ac:dyDescent="0.3">
      <c r="R1602" t="s">
        <v>4622</v>
      </c>
    </row>
    <row r="1603" spans="18:18" x14ac:dyDescent="0.3">
      <c r="R1603" t="s">
        <v>612</v>
      </c>
    </row>
    <row r="1604" spans="18:18" x14ac:dyDescent="0.3">
      <c r="R1604" t="s">
        <v>4621</v>
      </c>
    </row>
    <row r="1605" spans="18:18" x14ac:dyDescent="0.3">
      <c r="R1605" t="s">
        <v>2504</v>
      </c>
    </row>
    <row r="1606" spans="18:18" x14ac:dyDescent="0.3">
      <c r="R1606" t="s">
        <v>2505</v>
      </c>
    </row>
    <row r="1607" spans="18:18" x14ac:dyDescent="0.3">
      <c r="R1607" t="s">
        <v>3113</v>
      </c>
    </row>
    <row r="1608" spans="18:18" x14ac:dyDescent="0.3">
      <c r="R1608" t="s">
        <v>837</v>
      </c>
    </row>
    <row r="1609" spans="18:18" x14ac:dyDescent="0.3">
      <c r="R1609" t="s">
        <v>4308</v>
      </c>
    </row>
    <row r="1610" spans="18:18" x14ac:dyDescent="0.3">
      <c r="R1610" t="s">
        <v>2506</v>
      </c>
    </row>
    <row r="1611" spans="18:18" x14ac:dyDescent="0.3">
      <c r="R1611" t="s">
        <v>4623</v>
      </c>
    </row>
    <row r="1612" spans="18:18" x14ac:dyDescent="0.3">
      <c r="R1612" t="s">
        <v>1399</v>
      </c>
    </row>
    <row r="1613" spans="18:18" x14ac:dyDescent="0.3">
      <c r="R1613" t="s">
        <v>2507</v>
      </c>
    </row>
    <row r="1614" spans="18:18" x14ac:dyDescent="0.3">
      <c r="R1614" t="s">
        <v>2508</v>
      </c>
    </row>
    <row r="1615" spans="18:18" x14ac:dyDescent="0.3">
      <c r="R1615" t="s">
        <v>2509</v>
      </c>
    </row>
    <row r="1616" spans="18:18" x14ac:dyDescent="0.3">
      <c r="R1616" t="s">
        <v>3114</v>
      </c>
    </row>
    <row r="1617" spans="18:18" x14ac:dyDescent="0.3">
      <c r="R1617" t="s">
        <v>2510</v>
      </c>
    </row>
    <row r="1618" spans="18:18" x14ac:dyDescent="0.3">
      <c r="R1618" t="s">
        <v>2511</v>
      </c>
    </row>
    <row r="1619" spans="18:18" x14ac:dyDescent="0.3">
      <c r="R1619" t="s">
        <v>1582</v>
      </c>
    </row>
    <row r="1620" spans="18:18" x14ac:dyDescent="0.3">
      <c r="R1620" t="s">
        <v>3963</v>
      </c>
    </row>
    <row r="1621" spans="18:18" x14ac:dyDescent="0.3">
      <c r="R1621" t="s">
        <v>3963</v>
      </c>
    </row>
    <row r="1622" spans="18:18" x14ac:dyDescent="0.3">
      <c r="R1622" t="s">
        <v>3405</v>
      </c>
    </row>
    <row r="1623" spans="18:18" x14ac:dyDescent="0.3">
      <c r="R1623" t="s">
        <v>2512</v>
      </c>
    </row>
    <row r="1624" spans="18:18" x14ac:dyDescent="0.3">
      <c r="R1624" t="s">
        <v>4992</v>
      </c>
    </row>
    <row r="1625" spans="18:18" x14ac:dyDescent="0.3">
      <c r="R1625" t="s">
        <v>3964</v>
      </c>
    </row>
    <row r="1626" spans="18:18" x14ac:dyDescent="0.3">
      <c r="R1626" t="s">
        <v>4624</v>
      </c>
    </row>
    <row r="1627" spans="18:18" x14ac:dyDescent="0.3">
      <c r="R1627" t="s">
        <v>4309</v>
      </c>
    </row>
    <row r="1628" spans="18:18" x14ac:dyDescent="0.3">
      <c r="R1628" t="s">
        <v>4625</v>
      </c>
    </row>
    <row r="1629" spans="18:18" x14ac:dyDescent="0.3">
      <c r="R1629" t="s">
        <v>1199</v>
      </c>
    </row>
    <row r="1630" spans="18:18" x14ac:dyDescent="0.3">
      <c r="R1630" t="s">
        <v>4232</v>
      </c>
    </row>
    <row r="1631" spans="18:18" x14ac:dyDescent="0.3">
      <c r="R1631" t="s">
        <v>5244</v>
      </c>
    </row>
    <row r="1632" spans="18:18" x14ac:dyDescent="0.3">
      <c r="R1632" t="s">
        <v>3406</v>
      </c>
    </row>
    <row r="1633" spans="18:18" x14ac:dyDescent="0.3">
      <c r="R1633" t="s">
        <v>3407</v>
      </c>
    </row>
    <row r="1634" spans="18:18" x14ac:dyDescent="0.3">
      <c r="R1634" t="s">
        <v>3188</v>
      </c>
    </row>
    <row r="1635" spans="18:18" x14ac:dyDescent="0.3">
      <c r="R1635" t="s">
        <v>1400</v>
      </c>
    </row>
    <row r="1636" spans="18:18" x14ac:dyDescent="0.3">
      <c r="R1636" t="s">
        <v>457</v>
      </c>
    </row>
    <row r="1637" spans="18:18" x14ac:dyDescent="0.3">
      <c r="R1637" t="s">
        <v>3408</v>
      </c>
    </row>
    <row r="1638" spans="18:18" x14ac:dyDescent="0.3">
      <c r="R1638" t="s">
        <v>613</v>
      </c>
    </row>
    <row r="1639" spans="18:18" x14ac:dyDescent="0.3">
      <c r="R1639" t="s">
        <v>3189</v>
      </c>
    </row>
    <row r="1640" spans="18:18" x14ac:dyDescent="0.3">
      <c r="R1640" t="s">
        <v>2513</v>
      </c>
    </row>
    <row r="1641" spans="18:18" x14ac:dyDescent="0.3">
      <c r="R1641" t="s">
        <v>3409</v>
      </c>
    </row>
    <row r="1642" spans="18:18" x14ac:dyDescent="0.3">
      <c r="R1642" t="s">
        <v>3115</v>
      </c>
    </row>
    <row r="1643" spans="18:18" x14ac:dyDescent="0.3">
      <c r="R1643" t="s">
        <v>5245</v>
      </c>
    </row>
    <row r="1644" spans="18:18" x14ac:dyDescent="0.3">
      <c r="R1644" t="s">
        <v>5246</v>
      </c>
    </row>
    <row r="1645" spans="18:18" x14ac:dyDescent="0.3">
      <c r="R1645" t="s">
        <v>195</v>
      </c>
    </row>
    <row r="1646" spans="18:18" x14ac:dyDescent="0.3">
      <c r="R1646" t="s">
        <v>3410</v>
      </c>
    </row>
    <row r="1647" spans="18:18" x14ac:dyDescent="0.3">
      <c r="R1647" t="s">
        <v>3410</v>
      </c>
    </row>
    <row r="1648" spans="18:18" x14ac:dyDescent="0.3">
      <c r="R1648" t="s">
        <v>297</v>
      </c>
    </row>
    <row r="1649" spans="18:18" x14ac:dyDescent="0.3">
      <c r="R1649" t="s">
        <v>4626</v>
      </c>
    </row>
    <row r="1650" spans="18:18" x14ac:dyDescent="0.3">
      <c r="R1650" t="s">
        <v>839</v>
      </c>
    </row>
    <row r="1651" spans="18:18" x14ac:dyDescent="0.3">
      <c r="R1651" t="s">
        <v>3411</v>
      </c>
    </row>
    <row r="1652" spans="18:18" x14ac:dyDescent="0.3">
      <c r="R1652" t="s">
        <v>840</v>
      </c>
    </row>
    <row r="1653" spans="18:18" x14ac:dyDescent="0.3">
      <c r="R1653" t="s">
        <v>3412</v>
      </c>
    </row>
    <row r="1654" spans="18:18" x14ac:dyDescent="0.3">
      <c r="R1654" t="s">
        <v>1981</v>
      </c>
    </row>
    <row r="1655" spans="18:18" x14ac:dyDescent="0.3">
      <c r="R1655" t="s">
        <v>2514</v>
      </c>
    </row>
    <row r="1656" spans="18:18" x14ac:dyDescent="0.3">
      <c r="R1656" t="s">
        <v>1401</v>
      </c>
    </row>
    <row r="1657" spans="18:18" x14ac:dyDescent="0.3">
      <c r="R1657" t="s">
        <v>3413</v>
      </c>
    </row>
    <row r="1658" spans="18:18" x14ac:dyDescent="0.3">
      <c r="R1658" t="s">
        <v>3414</v>
      </c>
    </row>
    <row r="1659" spans="18:18" x14ac:dyDescent="0.3">
      <c r="R1659" t="s">
        <v>3415</v>
      </c>
    </row>
    <row r="1660" spans="18:18" x14ac:dyDescent="0.3">
      <c r="R1660" t="s">
        <v>3416</v>
      </c>
    </row>
    <row r="1661" spans="18:18" x14ac:dyDescent="0.3">
      <c r="R1661" t="s">
        <v>4627</v>
      </c>
    </row>
    <row r="1662" spans="18:18" x14ac:dyDescent="0.3">
      <c r="R1662" t="s">
        <v>1201</v>
      </c>
    </row>
    <row r="1663" spans="18:18" x14ac:dyDescent="0.3">
      <c r="R1663" t="s">
        <v>1982</v>
      </c>
    </row>
    <row r="1664" spans="18:18" x14ac:dyDescent="0.3">
      <c r="R1664" t="s">
        <v>4628</v>
      </c>
    </row>
    <row r="1665" spans="18:18" x14ac:dyDescent="0.3">
      <c r="R1665" t="s">
        <v>3965</v>
      </c>
    </row>
    <row r="1666" spans="18:18" x14ac:dyDescent="0.3">
      <c r="R1666" t="s">
        <v>3966</v>
      </c>
    </row>
    <row r="1667" spans="18:18" x14ac:dyDescent="0.3">
      <c r="R1667" t="s">
        <v>2515</v>
      </c>
    </row>
    <row r="1668" spans="18:18" x14ac:dyDescent="0.3">
      <c r="R1668" t="s">
        <v>3417</v>
      </c>
    </row>
    <row r="1669" spans="18:18" x14ac:dyDescent="0.3">
      <c r="R1669" t="s">
        <v>2516</v>
      </c>
    </row>
    <row r="1670" spans="18:18" x14ac:dyDescent="0.3">
      <c r="R1670" t="s">
        <v>3190</v>
      </c>
    </row>
    <row r="1671" spans="18:18" x14ac:dyDescent="0.3">
      <c r="R1671" t="s">
        <v>4629</v>
      </c>
    </row>
    <row r="1672" spans="18:18" x14ac:dyDescent="0.3">
      <c r="R1672" t="s">
        <v>2517</v>
      </c>
    </row>
    <row r="1673" spans="18:18" x14ac:dyDescent="0.3">
      <c r="R1673" t="s">
        <v>1983</v>
      </c>
    </row>
    <row r="1674" spans="18:18" x14ac:dyDescent="0.3">
      <c r="R1674" t="s">
        <v>1983</v>
      </c>
    </row>
    <row r="1675" spans="18:18" x14ac:dyDescent="0.3">
      <c r="R1675" t="s">
        <v>2518</v>
      </c>
    </row>
    <row r="1676" spans="18:18" x14ac:dyDescent="0.3">
      <c r="R1676" t="s">
        <v>3968</v>
      </c>
    </row>
    <row r="1677" spans="18:18" x14ac:dyDescent="0.3">
      <c r="R1677" t="s">
        <v>4631</v>
      </c>
    </row>
    <row r="1678" spans="18:18" x14ac:dyDescent="0.3">
      <c r="R1678" t="s">
        <v>4630</v>
      </c>
    </row>
    <row r="1679" spans="18:18" x14ac:dyDescent="0.3">
      <c r="R1679" t="s">
        <v>196</v>
      </c>
    </row>
    <row r="1680" spans="18:18" x14ac:dyDescent="0.3">
      <c r="R1680" t="s">
        <v>158</v>
      </c>
    </row>
    <row r="1681" spans="18:18" x14ac:dyDescent="0.3">
      <c r="R1681" t="s">
        <v>1202</v>
      </c>
    </row>
    <row r="1682" spans="18:18" x14ac:dyDescent="0.3">
      <c r="R1682" t="s">
        <v>4632</v>
      </c>
    </row>
    <row r="1683" spans="18:18" x14ac:dyDescent="0.3">
      <c r="R1683" t="s">
        <v>4633</v>
      </c>
    </row>
    <row r="1684" spans="18:18" x14ac:dyDescent="0.3">
      <c r="R1684" t="s">
        <v>1040</v>
      </c>
    </row>
    <row r="1685" spans="18:18" x14ac:dyDescent="0.3">
      <c r="R1685" t="s">
        <v>1866</v>
      </c>
    </row>
    <row r="1686" spans="18:18" x14ac:dyDescent="0.3">
      <c r="R1686" t="s">
        <v>4310</v>
      </c>
    </row>
    <row r="1687" spans="18:18" x14ac:dyDescent="0.3">
      <c r="R1687" t="s">
        <v>4634</v>
      </c>
    </row>
    <row r="1688" spans="18:18" x14ac:dyDescent="0.3">
      <c r="R1688" t="s">
        <v>4636</v>
      </c>
    </row>
    <row r="1689" spans="18:18" x14ac:dyDescent="0.3">
      <c r="R1689" t="s">
        <v>4637</v>
      </c>
    </row>
    <row r="1690" spans="18:18" x14ac:dyDescent="0.3">
      <c r="R1690" t="s">
        <v>4311</v>
      </c>
    </row>
    <row r="1691" spans="18:18" x14ac:dyDescent="0.3">
      <c r="R1691" t="s">
        <v>2519</v>
      </c>
    </row>
    <row r="1692" spans="18:18" x14ac:dyDescent="0.3">
      <c r="R1692" t="s">
        <v>1583</v>
      </c>
    </row>
    <row r="1693" spans="18:18" x14ac:dyDescent="0.3">
      <c r="R1693" t="s">
        <v>4638</v>
      </c>
    </row>
    <row r="1694" spans="18:18" x14ac:dyDescent="0.3">
      <c r="R1694" t="s">
        <v>2520</v>
      </c>
    </row>
    <row r="1695" spans="18:18" x14ac:dyDescent="0.3">
      <c r="R1695" t="s">
        <v>2521</v>
      </c>
    </row>
    <row r="1696" spans="18:18" x14ac:dyDescent="0.3">
      <c r="R1696" t="s">
        <v>1402</v>
      </c>
    </row>
    <row r="1697" spans="18:18" x14ac:dyDescent="0.3">
      <c r="R1697" t="s">
        <v>4639</v>
      </c>
    </row>
    <row r="1698" spans="18:18" x14ac:dyDescent="0.3">
      <c r="R1698" t="s">
        <v>3967</v>
      </c>
    </row>
    <row r="1699" spans="18:18" x14ac:dyDescent="0.3">
      <c r="R1699" t="s">
        <v>458</v>
      </c>
    </row>
    <row r="1700" spans="18:18" x14ac:dyDescent="0.3">
      <c r="R1700" t="s">
        <v>458</v>
      </c>
    </row>
    <row r="1701" spans="18:18" x14ac:dyDescent="0.3">
      <c r="R1701" t="s">
        <v>614</v>
      </c>
    </row>
    <row r="1702" spans="18:18" x14ac:dyDescent="0.3">
      <c r="R1702" t="s">
        <v>3969</v>
      </c>
    </row>
    <row r="1703" spans="18:18" x14ac:dyDescent="0.3">
      <c r="R1703" t="s">
        <v>108</v>
      </c>
    </row>
    <row r="1704" spans="18:18" x14ac:dyDescent="0.3">
      <c r="R1704" t="s">
        <v>2522</v>
      </c>
    </row>
    <row r="1705" spans="18:18" x14ac:dyDescent="0.3">
      <c r="R1705" t="s">
        <v>1203</v>
      </c>
    </row>
    <row r="1706" spans="18:18" x14ac:dyDescent="0.3">
      <c r="R1706" t="s">
        <v>2523</v>
      </c>
    </row>
    <row r="1707" spans="18:18" x14ac:dyDescent="0.3">
      <c r="R1707" t="s">
        <v>3418</v>
      </c>
    </row>
    <row r="1708" spans="18:18" x14ac:dyDescent="0.3">
      <c r="R1708" t="s">
        <v>3419</v>
      </c>
    </row>
    <row r="1709" spans="18:18" x14ac:dyDescent="0.3">
      <c r="R1709" t="s">
        <v>1984</v>
      </c>
    </row>
    <row r="1710" spans="18:18" x14ac:dyDescent="0.3">
      <c r="R1710" t="s">
        <v>4640</v>
      </c>
    </row>
    <row r="1711" spans="18:18" x14ac:dyDescent="0.3">
      <c r="R1711" t="s">
        <v>4641</v>
      </c>
    </row>
    <row r="1712" spans="18:18" x14ac:dyDescent="0.3">
      <c r="R1712" t="s">
        <v>1810</v>
      </c>
    </row>
    <row r="1713" spans="18:18" x14ac:dyDescent="0.3">
      <c r="R1713" t="s">
        <v>4642</v>
      </c>
    </row>
    <row r="1714" spans="18:18" x14ac:dyDescent="0.3">
      <c r="R1714" t="s">
        <v>4643</v>
      </c>
    </row>
    <row r="1715" spans="18:18" x14ac:dyDescent="0.3">
      <c r="R1715" t="s">
        <v>2524</v>
      </c>
    </row>
    <row r="1716" spans="18:18" x14ac:dyDescent="0.3">
      <c r="R1716" t="s">
        <v>3872</v>
      </c>
    </row>
    <row r="1717" spans="18:18" x14ac:dyDescent="0.3">
      <c r="R1717" t="s">
        <v>615</v>
      </c>
    </row>
    <row r="1718" spans="18:18" x14ac:dyDescent="0.3">
      <c r="R1718" t="s">
        <v>4644</v>
      </c>
    </row>
    <row r="1719" spans="18:18" x14ac:dyDescent="0.3">
      <c r="R1719" t="s">
        <v>2525</v>
      </c>
    </row>
    <row r="1720" spans="18:18" x14ac:dyDescent="0.3">
      <c r="R1720" t="s">
        <v>1723</v>
      </c>
    </row>
    <row r="1721" spans="18:18" x14ac:dyDescent="0.3">
      <c r="R1721" t="s">
        <v>2526</v>
      </c>
    </row>
    <row r="1722" spans="18:18" x14ac:dyDescent="0.3">
      <c r="R1722" t="s">
        <v>3421</v>
      </c>
    </row>
    <row r="1723" spans="18:18" x14ac:dyDescent="0.3">
      <c r="R1723" t="s">
        <v>3421</v>
      </c>
    </row>
    <row r="1724" spans="18:18" x14ac:dyDescent="0.3">
      <c r="R1724" t="s">
        <v>2527</v>
      </c>
    </row>
    <row r="1725" spans="18:18" x14ac:dyDescent="0.3">
      <c r="R1725" t="s">
        <v>3420</v>
      </c>
    </row>
    <row r="1726" spans="18:18" x14ac:dyDescent="0.3">
      <c r="R1726" t="s">
        <v>4645</v>
      </c>
    </row>
    <row r="1727" spans="18:18" x14ac:dyDescent="0.3">
      <c r="R1727" t="s">
        <v>1985</v>
      </c>
    </row>
    <row r="1728" spans="18:18" x14ac:dyDescent="0.3">
      <c r="R1728" t="s">
        <v>3422</v>
      </c>
    </row>
    <row r="1729" spans="18:18" x14ac:dyDescent="0.3">
      <c r="R1729" t="s">
        <v>4646</v>
      </c>
    </row>
    <row r="1730" spans="18:18" x14ac:dyDescent="0.3">
      <c r="R1730" t="s">
        <v>2528</v>
      </c>
    </row>
    <row r="1731" spans="18:18" x14ac:dyDescent="0.3">
      <c r="R1731" t="s">
        <v>1986</v>
      </c>
    </row>
    <row r="1732" spans="18:18" x14ac:dyDescent="0.3">
      <c r="R1732" t="s">
        <v>1041</v>
      </c>
    </row>
    <row r="1733" spans="18:18" x14ac:dyDescent="0.3">
      <c r="R1733" t="s">
        <v>2529</v>
      </c>
    </row>
    <row r="1734" spans="18:18" x14ac:dyDescent="0.3">
      <c r="R1734" t="s">
        <v>2530</v>
      </c>
    </row>
    <row r="1735" spans="18:18" x14ac:dyDescent="0.3">
      <c r="R1735" t="s">
        <v>1204</v>
      </c>
    </row>
    <row r="1736" spans="18:18" x14ac:dyDescent="0.3">
      <c r="R1736" t="s">
        <v>1584</v>
      </c>
    </row>
    <row r="1737" spans="18:18" x14ac:dyDescent="0.3">
      <c r="R1737" t="s">
        <v>1403</v>
      </c>
    </row>
    <row r="1738" spans="18:18" x14ac:dyDescent="0.3">
      <c r="R1738" t="s">
        <v>4647</v>
      </c>
    </row>
    <row r="1739" spans="18:18" x14ac:dyDescent="0.3">
      <c r="R1739" t="s">
        <v>5247</v>
      </c>
    </row>
    <row r="1740" spans="18:18" x14ac:dyDescent="0.3">
      <c r="R1740" t="s">
        <v>2531</v>
      </c>
    </row>
    <row r="1741" spans="18:18" x14ac:dyDescent="0.3">
      <c r="R1741" t="s">
        <v>2532</v>
      </c>
    </row>
    <row r="1742" spans="18:18" x14ac:dyDescent="0.3">
      <c r="R1742" t="s">
        <v>1042</v>
      </c>
    </row>
    <row r="1743" spans="18:18" x14ac:dyDescent="0.3">
      <c r="R1743" t="s">
        <v>298</v>
      </c>
    </row>
    <row r="1744" spans="18:18" x14ac:dyDescent="0.3">
      <c r="R1744" t="s">
        <v>3970</v>
      </c>
    </row>
    <row r="1745" spans="18:18" x14ac:dyDescent="0.3">
      <c r="R1745" t="s">
        <v>4648</v>
      </c>
    </row>
    <row r="1746" spans="18:18" x14ac:dyDescent="0.3">
      <c r="R1746" t="s">
        <v>3423</v>
      </c>
    </row>
    <row r="1747" spans="18:18" x14ac:dyDescent="0.3">
      <c r="R1747" t="s">
        <v>841</v>
      </c>
    </row>
    <row r="1748" spans="18:18" x14ac:dyDescent="0.3">
      <c r="R1748" t="s">
        <v>459</v>
      </c>
    </row>
    <row r="1749" spans="18:18" x14ac:dyDescent="0.3">
      <c r="R1749" t="s">
        <v>459</v>
      </c>
    </row>
    <row r="1750" spans="18:18" x14ac:dyDescent="0.3">
      <c r="R1750" t="s">
        <v>4993</v>
      </c>
    </row>
    <row r="1751" spans="18:18" x14ac:dyDescent="0.3">
      <c r="R1751" t="s">
        <v>3971</v>
      </c>
    </row>
    <row r="1752" spans="18:18" x14ac:dyDescent="0.3">
      <c r="R1752" t="s">
        <v>4649</v>
      </c>
    </row>
    <row r="1753" spans="18:18" x14ac:dyDescent="0.3">
      <c r="R1753" t="s">
        <v>4312</v>
      </c>
    </row>
    <row r="1754" spans="18:18" x14ac:dyDescent="0.3">
      <c r="R1754" t="s">
        <v>4650</v>
      </c>
    </row>
    <row r="1755" spans="18:18" x14ac:dyDescent="0.3">
      <c r="R1755" t="s">
        <v>5248</v>
      </c>
    </row>
    <row r="1756" spans="18:18" x14ac:dyDescent="0.3">
      <c r="R1756" t="s">
        <v>3972</v>
      </c>
    </row>
    <row r="1757" spans="18:18" x14ac:dyDescent="0.3">
      <c r="R1757" t="s">
        <v>4651</v>
      </c>
    </row>
    <row r="1758" spans="18:18" x14ac:dyDescent="0.3">
      <c r="R1758" t="s">
        <v>159</v>
      </c>
    </row>
    <row r="1759" spans="18:18" x14ac:dyDescent="0.3">
      <c r="R1759" t="s">
        <v>1987</v>
      </c>
    </row>
    <row r="1760" spans="18:18" x14ac:dyDescent="0.3">
      <c r="R1760" t="s">
        <v>1988</v>
      </c>
    </row>
    <row r="1761" spans="18:18" x14ac:dyDescent="0.3">
      <c r="R1761" t="s">
        <v>1724</v>
      </c>
    </row>
    <row r="1762" spans="18:18" x14ac:dyDescent="0.3">
      <c r="R1762" t="s">
        <v>1585</v>
      </c>
    </row>
    <row r="1763" spans="18:18" x14ac:dyDescent="0.3">
      <c r="R1763" t="s">
        <v>1585</v>
      </c>
    </row>
    <row r="1764" spans="18:18" x14ac:dyDescent="0.3">
      <c r="R1764" t="s">
        <v>616</v>
      </c>
    </row>
    <row r="1765" spans="18:18" x14ac:dyDescent="0.3">
      <c r="R1765" t="s">
        <v>2533</v>
      </c>
    </row>
    <row r="1766" spans="18:18" x14ac:dyDescent="0.3">
      <c r="R1766" t="s">
        <v>1205</v>
      </c>
    </row>
    <row r="1767" spans="18:18" x14ac:dyDescent="0.3">
      <c r="R1767" t="s">
        <v>2535</v>
      </c>
    </row>
    <row r="1768" spans="18:18" x14ac:dyDescent="0.3">
      <c r="R1768" t="s">
        <v>2536</v>
      </c>
    </row>
    <row r="1769" spans="18:18" x14ac:dyDescent="0.3">
      <c r="R1769" t="s">
        <v>4652</v>
      </c>
    </row>
    <row r="1770" spans="18:18" x14ac:dyDescent="0.3">
      <c r="R1770" t="s">
        <v>1725</v>
      </c>
    </row>
    <row r="1771" spans="18:18" x14ac:dyDescent="0.3">
      <c r="R1771" t="s">
        <v>5076</v>
      </c>
    </row>
    <row r="1772" spans="18:18" x14ac:dyDescent="0.3">
      <c r="R1772" t="s">
        <v>3973</v>
      </c>
    </row>
    <row r="1773" spans="18:18" x14ac:dyDescent="0.3">
      <c r="R1773" t="s">
        <v>3974</v>
      </c>
    </row>
    <row r="1774" spans="18:18" x14ac:dyDescent="0.3">
      <c r="R1774" t="s">
        <v>2537</v>
      </c>
    </row>
    <row r="1775" spans="18:18" x14ac:dyDescent="0.3">
      <c r="R1775" t="s">
        <v>1586</v>
      </c>
    </row>
    <row r="1776" spans="18:18" x14ac:dyDescent="0.3">
      <c r="R1776" t="s">
        <v>617</v>
      </c>
    </row>
    <row r="1777" spans="18:18" x14ac:dyDescent="0.3">
      <c r="R1777" t="s">
        <v>1206</v>
      </c>
    </row>
    <row r="1778" spans="18:18" x14ac:dyDescent="0.3">
      <c r="R1778" t="s">
        <v>3425</v>
      </c>
    </row>
    <row r="1779" spans="18:18" x14ac:dyDescent="0.3">
      <c r="R1779" t="s">
        <v>3424</v>
      </c>
    </row>
    <row r="1780" spans="18:18" x14ac:dyDescent="0.3">
      <c r="R1780" t="s">
        <v>3426</v>
      </c>
    </row>
    <row r="1781" spans="18:18" x14ac:dyDescent="0.3">
      <c r="R1781" t="s">
        <v>3427</v>
      </c>
    </row>
    <row r="1782" spans="18:18" x14ac:dyDescent="0.3">
      <c r="R1782" t="s">
        <v>400</v>
      </c>
    </row>
    <row r="1783" spans="18:18" x14ac:dyDescent="0.3">
      <c r="R1783" t="s">
        <v>1587</v>
      </c>
    </row>
    <row r="1784" spans="18:18" x14ac:dyDescent="0.3">
      <c r="R1784" t="s">
        <v>2538</v>
      </c>
    </row>
    <row r="1785" spans="18:18" x14ac:dyDescent="0.3">
      <c r="R1785" t="s">
        <v>2539</v>
      </c>
    </row>
    <row r="1786" spans="18:18" x14ac:dyDescent="0.3">
      <c r="R1786" t="s">
        <v>3975</v>
      </c>
    </row>
    <row r="1787" spans="18:18" x14ac:dyDescent="0.3">
      <c r="R1787" t="s">
        <v>4994</v>
      </c>
    </row>
    <row r="1788" spans="18:18" x14ac:dyDescent="0.3">
      <c r="R1788" t="s">
        <v>460</v>
      </c>
    </row>
    <row r="1789" spans="18:18" x14ac:dyDescent="0.3">
      <c r="R1789" t="s">
        <v>5077</v>
      </c>
    </row>
    <row r="1790" spans="18:18" x14ac:dyDescent="0.3">
      <c r="R1790" t="s">
        <v>461</v>
      </c>
    </row>
    <row r="1791" spans="18:18" x14ac:dyDescent="0.3">
      <c r="R1791" t="s">
        <v>461</v>
      </c>
    </row>
    <row r="1792" spans="18:18" x14ac:dyDescent="0.3">
      <c r="R1792" t="s">
        <v>1989</v>
      </c>
    </row>
    <row r="1793" spans="18:18" x14ac:dyDescent="0.3">
      <c r="R1793" t="s">
        <v>5249</v>
      </c>
    </row>
    <row r="1794" spans="18:18" x14ac:dyDescent="0.3">
      <c r="R1794" t="s">
        <v>1726</v>
      </c>
    </row>
    <row r="1795" spans="18:18" x14ac:dyDescent="0.3">
      <c r="R1795" t="s">
        <v>3977</v>
      </c>
    </row>
    <row r="1796" spans="18:18" x14ac:dyDescent="0.3">
      <c r="R1796" t="s">
        <v>4313</v>
      </c>
    </row>
    <row r="1797" spans="18:18" x14ac:dyDescent="0.3">
      <c r="R1797" t="s">
        <v>3428</v>
      </c>
    </row>
    <row r="1798" spans="18:18" x14ac:dyDescent="0.3">
      <c r="R1798" t="s">
        <v>3976</v>
      </c>
    </row>
    <row r="1799" spans="18:18" x14ac:dyDescent="0.3">
      <c r="R1799" t="s">
        <v>1207</v>
      </c>
    </row>
    <row r="1800" spans="18:18" x14ac:dyDescent="0.3">
      <c r="R1800" t="s">
        <v>3429</v>
      </c>
    </row>
    <row r="1801" spans="18:18" x14ac:dyDescent="0.3">
      <c r="R1801" t="s">
        <v>1588</v>
      </c>
    </row>
    <row r="1802" spans="18:18" x14ac:dyDescent="0.3">
      <c r="R1802" t="s">
        <v>4653</v>
      </c>
    </row>
    <row r="1803" spans="18:18" x14ac:dyDescent="0.3">
      <c r="R1803" t="s">
        <v>5250</v>
      </c>
    </row>
    <row r="1804" spans="18:18" x14ac:dyDescent="0.3">
      <c r="R1804" t="s">
        <v>842</v>
      </c>
    </row>
    <row r="1805" spans="18:18" x14ac:dyDescent="0.3">
      <c r="R1805" t="s">
        <v>1589</v>
      </c>
    </row>
    <row r="1806" spans="18:18" x14ac:dyDescent="0.3">
      <c r="R1806" t="s">
        <v>1589</v>
      </c>
    </row>
    <row r="1807" spans="18:18" x14ac:dyDescent="0.3">
      <c r="R1807" t="s">
        <v>1990</v>
      </c>
    </row>
    <row r="1808" spans="18:18" x14ac:dyDescent="0.3">
      <c r="R1808" t="s">
        <v>299</v>
      </c>
    </row>
    <row r="1809" spans="18:18" x14ac:dyDescent="0.3">
      <c r="R1809" t="s">
        <v>843</v>
      </c>
    </row>
    <row r="1810" spans="18:18" x14ac:dyDescent="0.3">
      <c r="R1810" t="s">
        <v>2540</v>
      </c>
    </row>
    <row r="1811" spans="18:18" x14ac:dyDescent="0.3">
      <c r="R1811" t="s">
        <v>3978</v>
      </c>
    </row>
    <row r="1812" spans="18:18" x14ac:dyDescent="0.3">
      <c r="R1812" t="s">
        <v>844</v>
      </c>
    </row>
    <row r="1813" spans="18:18" x14ac:dyDescent="0.3">
      <c r="R1813" t="s">
        <v>4654</v>
      </c>
    </row>
    <row r="1814" spans="18:18" x14ac:dyDescent="0.3">
      <c r="R1814" t="s">
        <v>4314</v>
      </c>
    </row>
    <row r="1815" spans="18:18" x14ac:dyDescent="0.3">
      <c r="R1815" t="s">
        <v>3979</v>
      </c>
    </row>
    <row r="1816" spans="18:18" x14ac:dyDescent="0.3">
      <c r="R1816" t="s">
        <v>3430</v>
      </c>
    </row>
    <row r="1817" spans="18:18" x14ac:dyDescent="0.3">
      <c r="R1817" t="s">
        <v>3431</v>
      </c>
    </row>
    <row r="1818" spans="18:18" x14ac:dyDescent="0.3">
      <c r="R1818" t="s">
        <v>197</v>
      </c>
    </row>
    <row r="1819" spans="18:18" x14ac:dyDescent="0.3">
      <c r="R1819" t="s">
        <v>4655</v>
      </c>
    </row>
    <row r="1820" spans="18:18" x14ac:dyDescent="0.3">
      <c r="R1820" t="s">
        <v>2541</v>
      </c>
    </row>
    <row r="1821" spans="18:18" x14ac:dyDescent="0.3">
      <c r="R1821" t="s">
        <v>4656</v>
      </c>
    </row>
    <row r="1822" spans="18:18" x14ac:dyDescent="0.3">
      <c r="R1822" t="s">
        <v>5251</v>
      </c>
    </row>
    <row r="1823" spans="18:18" x14ac:dyDescent="0.3">
      <c r="R1823" t="s">
        <v>618</v>
      </c>
    </row>
    <row r="1824" spans="18:18" x14ac:dyDescent="0.3">
      <c r="R1824" t="s">
        <v>3980</v>
      </c>
    </row>
    <row r="1825" spans="18:18" x14ac:dyDescent="0.3">
      <c r="R1825" t="s">
        <v>1991</v>
      </c>
    </row>
    <row r="1826" spans="18:18" x14ac:dyDescent="0.3">
      <c r="R1826" t="s">
        <v>4315</v>
      </c>
    </row>
    <row r="1827" spans="18:18" x14ac:dyDescent="0.3">
      <c r="R1827" t="s">
        <v>2542</v>
      </c>
    </row>
    <row r="1828" spans="18:18" x14ac:dyDescent="0.3">
      <c r="R1828" t="s">
        <v>2542</v>
      </c>
    </row>
    <row r="1829" spans="18:18" x14ac:dyDescent="0.3">
      <c r="R1829" t="s">
        <v>462</v>
      </c>
    </row>
    <row r="1830" spans="18:18" x14ac:dyDescent="0.3">
      <c r="R1830" t="s">
        <v>4657</v>
      </c>
    </row>
    <row r="1831" spans="18:18" x14ac:dyDescent="0.3">
      <c r="R1831" t="s">
        <v>1043</v>
      </c>
    </row>
    <row r="1832" spans="18:18" x14ac:dyDescent="0.3">
      <c r="R1832" t="s">
        <v>4316</v>
      </c>
    </row>
    <row r="1833" spans="18:18" x14ac:dyDescent="0.3">
      <c r="R1833" t="s">
        <v>1044</v>
      </c>
    </row>
    <row r="1834" spans="18:18" x14ac:dyDescent="0.3">
      <c r="R1834" t="s">
        <v>2543</v>
      </c>
    </row>
    <row r="1835" spans="18:18" x14ac:dyDescent="0.3">
      <c r="R1835" t="s">
        <v>463</v>
      </c>
    </row>
    <row r="1836" spans="18:18" x14ac:dyDescent="0.3">
      <c r="R1836" t="s">
        <v>619</v>
      </c>
    </row>
    <row r="1837" spans="18:18" x14ac:dyDescent="0.3">
      <c r="R1837" t="s">
        <v>4658</v>
      </c>
    </row>
    <row r="1838" spans="18:18" x14ac:dyDescent="0.3">
      <c r="R1838" t="s">
        <v>1045</v>
      </c>
    </row>
    <row r="1839" spans="18:18" x14ac:dyDescent="0.3">
      <c r="R1839" t="s">
        <v>620</v>
      </c>
    </row>
    <row r="1840" spans="18:18" x14ac:dyDescent="0.3">
      <c r="R1840" t="s">
        <v>2544</v>
      </c>
    </row>
    <row r="1841" spans="18:18" x14ac:dyDescent="0.3">
      <c r="R1841" t="s">
        <v>3981</v>
      </c>
    </row>
    <row r="1842" spans="18:18" x14ac:dyDescent="0.3">
      <c r="R1842" t="s">
        <v>3984</v>
      </c>
    </row>
    <row r="1843" spans="18:18" x14ac:dyDescent="0.3">
      <c r="R1843" t="s">
        <v>4317</v>
      </c>
    </row>
    <row r="1844" spans="18:18" x14ac:dyDescent="0.3">
      <c r="R1844" t="s">
        <v>3432</v>
      </c>
    </row>
    <row r="1845" spans="18:18" x14ac:dyDescent="0.3">
      <c r="R1845" t="s">
        <v>845</v>
      </c>
    </row>
    <row r="1846" spans="18:18" x14ac:dyDescent="0.3">
      <c r="R1846" t="s">
        <v>3982</v>
      </c>
    </row>
    <row r="1847" spans="18:18" x14ac:dyDescent="0.3">
      <c r="R1847" t="s">
        <v>846</v>
      </c>
    </row>
    <row r="1848" spans="18:18" x14ac:dyDescent="0.3">
      <c r="R1848" t="s">
        <v>2545</v>
      </c>
    </row>
    <row r="1849" spans="18:18" x14ac:dyDescent="0.3">
      <c r="R1849" t="s">
        <v>3983</v>
      </c>
    </row>
    <row r="1850" spans="18:18" x14ac:dyDescent="0.3">
      <c r="R1850" t="s">
        <v>1208</v>
      </c>
    </row>
    <row r="1851" spans="18:18" x14ac:dyDescent="0.3">
      <c r="R1851" t="s">
        <v>2546</v>
      </c>
    </row>
    <row r="1852" spans="18:18" x14ac:dyDescent="0.3">
      <c r="R1852" t="s">
        <v>847</v>
      </c>
    </row>
    <row r="1853" spans="18:18" x14ac:dyDescent="0.3">
      <c r="R1853" t="s">
        <v>3433</v>
      </c>
    </row>
    <row r="1854" spans="18:18" x14ac:dyDescent="0.3">
      <c r="R1854" t="s">
        <v>2547</v>
      </c>
    </row>
    <row r="1855" spans="18:18" x14ac:dyDescent="0.3">
      <c r="R1855" t="s">
        <v>848</v>
      </c>
    </row>
    <row r="1856" spans="18:18" x14ac:dyDescent="0.3">
      <c r="R1856" t="s">
        <v>2548</v>
      </c>
    </row>
    <row r="1857" spans="18:18" x14ac:dyDescent="0.3">
      <c r="R1857" t="s">
        <v>3434</v>
      </c>
    </row>
    <row r="1858" spans="18:18" x14ac:dyDescent="0.3">
      <c r="R1858" t="s">
        <v>1046</v>
      </c>
    </row>
    <row r="1859" spans="18:18" x14ac:dyDescent="0.3">
      <c r="R1859" t="s">
        <v>4659</v>
      </c>
    </row>
    <row r="1860" spans="18:18" x14ac:dyDescent="0.3">
      <c r="R1860" t="s">
        <v>2549</v>
      </c>
    </row>
    <row r="1861" spans="18:18" x14ac:dyDescent="0.3">
      <c r="R1861" t="s">
        <v>2550</v>
      </c>
    </row>
    <row r="1862" spans="18:18" x14ac:dyDescent="0.3">
      <c r="R1862" t="s">
        <v>2551</v>
      </c>
    </row>
    <row r="1863" spans="18:18" x14ac:dyDescent="0.3">
      <c r="R1863" t="s">
        <v>1404</v>
      </c>
    </row>
    <row r="1864" spans="18:18" x14ac:dyDescent="0.3">
      <c r="R1864" t="s">
        <v>1590</v>
      </c>
    </row>
    <row r="1865" spans="18:18" x14ac:dyDescent="0.3">
      <c r="R1865" t="s">
        <v>1811</v>
      </c>
    </row>
    <row r="1866" spans="18:18" x14ac:dyDescent="0.3">
      <c r="R1866" t="s">
        <v>4318</v>
      </c>
    </row>
    <row r="1867" spans="18:18" x14ac:dyDescent="0.3">
      <c r="R1867" t="s">
        <v>2552</v>
      </c>
    </row>
    <row r="1868" spans="18:18" x14ac:dyDescent="0.3">
      <c r="R1868" t="s">
        <v>2553</v>
      </c>
    </row>
    <row r="1869" spans="18:18" x14ac:dyDescent="0.3">
      <c r="R1869" t="s">
        <v>849</v>
      </c>
    </row>
    <row r="1870" spans="18:18" x14ac:dyDescent="0.3">
      <c r="R1870" t="s">
        <v>2554</v>
      </c>
    </row>
    <row r="1871" spans="18:18" x14ac:dyDescent="0.3">
      <c r="R1871" t="s">
        <v>2555</v>
      </c>
    </row>
    <row r="1872" spans="18:18" x14ac:dyDescent="0.3">
      <c r="R1872" t="s">
        <v>1209</v>
      </c>
    </row>
    <row r="1873" spans="18:18" x14ac:dyDescent="0.3">
      <c r="R1873" t="s">
        <v>3116</v>
      </c>
    </row>
    <row r="1874" spans="18:18" x14ac:dyDescent="0.3">
      <c r="R1874" t="s">
        <v>2556</v>
      </c>
    </row>
    <row r="1875" spans="18:18" x14ac:dyDescent="0.3">
      <c r="R1875" t="s">
        <v>3435</v>
      </c>
    </row>
    <row r="1876" spans="18:18" x14ac:dyDescent="0.3">
      <c r="R1876" t="s">
        <v>1405</v>
      </c>
    </row>
    <row r="1877" spans="18:18" x14ac:dyDescent="0.3">
      <c r="R1877" t="s">
        <v>3436</v>
      </c>
    </row>
    <row r="1878" spans="18:18" x14ac:dyDescent="0.3">
      <c r="R1878" t="s">
        <v>2557</v>
      </c>
    </row>
    <row r="1879" spans="18:18" x14ac:dyDescent="0.3">
      <c r="R1879" t="s">
        <v>1210</v>
      </c>
    </row>
    <row r="1880" spans="18:18" x14ac:dyDescent="0.3">
      <c r="R1880" t="s">
        <v>4319</v>
      </c>
    </row>
    <row r="1881" spans="18:18" x14ac:dyDescent="0.3">
      <c r="R1881" t="s">
        <v>1591</v>
      </c>
    </row>
    <row r="1882" spans="18:18" x14ac:dyDescent="0.3">
      <c r="R1882" t="s">
        <v>5252</v>
      </c>
    </row>
    <row r="1883" spans="18:18" x14ac:dyDescent="0.3">
      <c r="R1883" t="s">
        <v>2558</v>
      </c>
    </row>
    <row r="1884" spans="18:18" x14ac:dyDescent="0.3">
      <c r="R1884" t="s">
        <v>1992</v>
      </c>
    </row>
    <row r="1885" spans="18:18" x14ac:dyDescent="0.3">
      <c r="R1885" t="s">
        <v>1592</v>
      </c>
    </row>
    <row r="1886" spans="18:18" x14ac:dyDescent="0.3">
      <c r="R1886" t="s">
        <v>1812</v>
      </c>
    </row>
    <row r="1887" spans="18:18" x14ac:dyDescent="0.3">
      <c r="R1887" t="s">
        <v>3437</v>
      </c>
    </row>
    <row r="1888" spans="18:18" x14ac:dyDescent="0.3">
      <c r="R1888" t="s">
        <v>4660</v>
      </c>
    </row>
    <row r="1889" spans="18:18" x14ac:dyDescent="0.3">
      <c r="R1889" t="s">
        <v>4320</v>
      </c>
    </row>
    <row r="1890" spans="18:18" x14ac:dyDescent="0.3">
      <c r="R1890" t="s">
        <v>300</v>
      </c>
    </row>
    <row r="1891" spans="18:18" x14ac:dyDescent="0.3">
      <c r="R1891" t="s">
        <v>4661</v>
      </c>
    </row>
    <row r="1892" spans="18:18" x14ac:dyDescent="0.3">
      <c r="R1892" t="s">
        <v>4321</v>
      </c>
    </row>
    <row r="1893" spans="18:18" x14ac:dyDescent="0.3">
      <c r="R1893" t="s">
        <v>4322</v>
      </c>
    </row>
    <row r="1894" spans="18:18" x14ac:dyDescent="0.3">
      <c r="R1894" t="s">
        <v>3438</v>
      </c>
    </row>
    <row r="1895" spans="18:18" x14ac:dyDescent="0.3">
      <c r="R1895" t="s">
        <v>5078</v>
      </c>
    </row>
    <row r="1896" spans="18:18" x14ac:dyDescent="0.3">
      <c r="R1896" t="s">
        <v>4662</v>
      </c>
    </row>
    <row r="1897" spans="18:18" x14ac:dyDescent="0.3">
      <c r="R1897" t="s">
        <v>1993</v>
      </c>
    </row>
    <row r="1898" spans="18:18" x14ac:dyDescent="0.3">
      <c r="R1898" t="s">
        <v>3439</v>
      </c>
    </row>
    <row r="1899" spans="18:18" x14ac:dyDescent="0.3">
      <c r="R1899" t="s">
        <v>850</v>
      </c>
    </row>
    <row r="1900" spans="18:18" x14ac:dyDescent="0.3">
      <c r="R1900" t="s">
        <v>4663</v>
      </c>
    </row>
    <row r="1901" spans="18:18" x14ac:dyDescent="0.3">
      <c r="R1901" t="s">
        <v>3985</v>
      </c>
    </row>
    <row r="1902" spans="18:18" x14ac:dyDescent="0.3">
      <c r="R1902" t="s">
        <v>3985</v>
      </c>
    </row>
    <row r="1903" spans="18:18" x14ac:dyDescent="0.3">
      <c r="R1903" t="s">
        <v>1813</v>
      </c>
    </row>
    <row r="1904" spans="18:18" x14ac:dyDescent="0.3">
      <c r="R1904" t="s">
        <v>3440</v>
      </c>
    </row>
    <row r="1905" spans="18:18" x14ac:dyDescent="0.3">
      <c r="R1905" t="s">
        <v>1047</v>
      </c>
    </row>
    <row r="1906" spans="18:18" x14ac:dyDescent="0.3">
      <c r="R1906" t="s">
        <v>4664</v>
      </c>
    </row>
    <row r="1907" spans="18:18" x14ac:dyDescent="0.3">
      <c r="R1907" t="s">
        <v>1994</v>
      </c>
    </row>
    <row r="1908" spans="18:18" x14ac:dyDescent="0.3">
      <c r="R1908" t="s">
        <v>3441</v>
      </c>
    </row>
    <row r="1909" spans="18:18" x14ac:dyDescent="0.3">
      <c r="R1909" t="s">
        <v>4665</v>
      </c>
    </row>
    <row r="1910" spans="18:18" x14ac:dyDescent="0.3">
      <c r="R1910" t="s">
        <v>851</v>
      </c>
    </row>
    <row r="1911" spans="18:18" x14ac:dyDescent="0.3">
      <c r="R1911" t="s">
        <v>1727</v>
      </c>
    </row>
    <row r="1912" spans="18:18" x14ac:dyDescent="0.3">
      <c r="R1912" t="s">
        <v>4666</v>
      </c>
    </row>
    <row r="1913" spans="18:18" x14ac:dyDescent="0.3">
      <c r="R1913" t="s">
        <v>2559</v>
      </c>
    </row>
    <row r="1914" spans="18:18" x14ac:dyDescent="0.3">
      <c r="R1914" t="s">
        <v>3442</v>
      </c>
    </row>
    <row r="1915" spans="18:18" x14ac:dyDescent="0.3">
      <c r="R1915" t="s">
        <v>1995</v>
      </c>
    </row>
    <row r="1916" spans="18:18" x14ac:dyDescent="0.3">
      <c r="R1916" t="s">
        <v>4995</v>
      </c>
    </row>
    <row r="1917" spans="18:18" x14ac:dyDescent="0.3">
      <c r="R1917" t="s">
        <v>1593</v>
      </c>
    </row>
    <row r="1918" spans="18:18" x14ac:dyDescent="0.3">
      <c r="R1918" t="s">
        <v>5079</v>
      </c>
    </row>
    <row r="1919" spans="18:18" x14ac:dyDescent="0.3">
      <c r="R1919" t="s">
        <v>4667</v>
      </c>
    </row>
    <row r="1920" spans="18:18" x14ac:dyDescent="0.3">
      <c r="R1920" t="s">
        <v>621</v>
      </c>
    </row>
    <row r="1921" spans="18:18" x14ac:dyDescent="0.3">
      <c r="R1921" t="s">
        <v>3986</v>
      </c>
    </row>
    <row r="1922" spans="18:18" x14ac:dyDescent="0.3">
      <c r="R1922" t="s">
        <v>2560</v>
      </c>
    </row>
    <row r="1923" spans="18:18" x14ac:dyDescent="0.3">
      <c r="R1923" t="s">
        <v>1594</v>
      </c>
    </row>
    <row r="1924" spans="18:18" x14ac:dyDescent="0.3">
      <c r="R1924" t="s">
        <v>2561</v>
      </c>
    </row>
    <row r="1925" spans="18:18" x14ac:dyDescent="0.3">
      <c r="R1925" t="s">
        <v>5254</v>
      </c>
    </row>
    <row r="1926" spans="18:18" x14ac:dyDescent="0.3">
      <c r="R1926" t="s">
        <v>5255</v>
      </c>
    </row>
    <row r="1927" spans="18:18" x14ac:dyDescent="0.3">
      <c r="R1927" t="s">
        <v>5256</v>
      </c>
    </row>
    <row r="1928" spans="18:18" x14ac:dyDescent="0.3">
      <c r="R1928" t="s">
        <v>301</v>
      </c>
    </row>
    <row r="1929" spans="18:18" x14ac:dyDescent="0.3">
      <c r="R1929" t="s">
        <v>5257</v>
      </c>
    </row>
    <row r="1930" spans="18:18" x14ac:dyDescent="0.3">
      <c r="R1930" t="s">
        <v>1211</v>
      </c>
    </row>
    <row r="1931" spans="18:18" x14ac:dyDescent="0.3">
      <c r="R1931" t="s">
        <v>5258</v>
      </c>
    </row>
    <row r="1932" spans="18:18" x14ac:dyDescent="0.3">
      <c r="R1932" t="s">
        <v>464</v>
      </c>
    </row>
    <row r="1933" spans="18:18" x14ac:dyDescent="0.3">
      <c r="R1933" t="s">
        <v>5259</v>
      </c>
    </row>
    <row r="1934" spans="18:18" x14ac:dyDescent="0.3">
      <c r="R1934" t="s">
        <v>465</v>
      </c>
    </row>
    <row r="1935" spans="18:18" x14ac:dyDescent="0.3">
      <c r="R1935" t="s">
        <v>5260</v>
      </c>
    </row>
    <row r="1936" spans="18:18" x14ac:dyDescent="0.3">
      <c r="R1936" t="s">
        <v>3987</v>
      </c>
    </row>
    <row r="1937" spans="18:18" x14ac:dyDescent="0.3">
      <c r="R1937" t="s">
        <v>3988</v>
      </c>
    </row>
    <row r="1938" spans="18:18" x14ac:dyDescent="0.3">
      <c r="R1938" t="s">
        <v>2562</v>
      </c>
    </row>
    <row r="1939" spans="18:18" x14ac:dyDescent="0.3">
      <c r="R1939" t="s">
        <v>622</v>
      </c>
    </row>
    <row r="1940" spans="18:18" x14ac:dyDescent="0.3">
      <c r="R1940" t="s">
        <v>1996</v>
      </c>
    </row>
    <row r="1941" spans="18:18" x14ac:dyDescent="0.3">
      <c r="R1941" t="s">
        <v>2563</v>
      </c>
    </row>
    <row r="1942" spans="18:18" x14ac:dyDescent="0.3">
      <c r="R1942" t="s">
        <v>2564</v>
      </c>
    </row>
    <row r="1943" spans="18:18" x14ac:dyDescent="0.3">
      <c r="R1943" t="s">
        <v>5261</v>
      </c>
    </row>
    <row r="1944" spans="18:18" x14ac:dyDescent="0.3">
      <c r="R1944" t="s">
        <v>623</v>
      </c>
    </row>
    <row r="1945" spans="18:18" x14ac:dyDescent="0.3">
      <c r="R1945" t="s">
        <v>4323</v>
      </c>
    </row>
    <row r="1946" spans="18:18" x14ac:dyDescent="0.3">
      <c r="R1946" t="s">
        <v>1212</v>
      </c>
    </row>
    <row r="1947" spans="18:18" x14ac:dyDescent="0.3">
      <c r="R1947" t="s">
        <v>624</v>
      </c>
    </row>
    <row r="1948" spans="18:18" x14ac:dyDescent="0.3">
      <c r="R1948" t="s">
        <v>625</v>
      </c>
    </row>
    <row r="1949" spans="18:18" x14ac:dyDescent="0.3">
      <c r="R1949" t="s">
        <v>135</v>
      </c>
    </row>
    <row r="1950" spans="18:18" x14ac:dyDescent="0.3">
      <c r="R1950" t="s">
        <v>3117</v>
      </c>
    </row>
    <row r="1951" spans="18:18" x14ac:dyDescent="0.3">
      <c r="R1951" t="s">
        <v>626</v>
      </c>
    </row>
    <row r="1952" spans="18:18" x14ac:dyDescent="0.3">
      <c r="R1952" t="s">
        <v>1997</v>
      </c>
    </row>
    <row r="1953" spans="18:18" x14ac:dyDescent="0.3">
      <c r="R1953" t="s">
        <v>627</v>
      </c>
    </row>
    <row r="1954" spans="18:18" x14ac:dyDescent="0.3">
      <c r="R1954" t="s">
        <v>628</v>
      </c>
    </row>
    <row r="1955" spans="18:18" x14ac:dyDescent="0.3">
      <c r="R1955" t="s">
        <v>2565</v>
      </c>
    </row>
    <row r="1956" spans="18:18" x14ac:dyDescent="0.3">
      <c r="R1956" t="s">
        <v>1048</v>
      </c>
    </row>
    <row r="1957" spans="18:18" x14ac:dyDescent="0.3">
      <c r="R1957" t="s">
        <v>629</v>
      </c>
    </row>
    <row r="1958" spans="18:18" x14ac:dyDescent="0.3">
      <c r="R1958" t="s">
        <v>1814</v>
      </c>
    </row>
    <row r="1959" spans="18:18" x14ac:dyDescent="0.3">
      <c r="R1959" t="s">
        <v>630</v>
      </c>
    </row>
    <row r="1960" spans="18:18" x14ac:dyDescent="0.3">
      <c r="R1960" t="s">
        <v>4668</v>
      </c>
    </row>
    <row r="1961" spans="18:18" x14ac:dyDescent="0.3">
      <c r="R1961" t="s">
        <v>4669</v>
      </c>
    </row>
    <row r="1962" spans="18:18" x14ac:dyDescent="0.3">
      <c r="R1962" t="s">
        <v>4670</v>
      </c>
    </row>
    <row r="1963" spans="18:18" x14ac:dyDescent="0.3">
      <c r="R1963" t="s">
        <v>3989</v>
      </c>
    </row>
    <row r="1964" spans="18:18" x14ac:dyDescent="0.3">
      <c r="R1964" t="s">
        <v>1595</v>
      </c>
    </row>
    <row r="1965" spans="18:18" x14ac:dyDescent="0.3">
      <c r="R1965" t="s">
        <v>1049</v>
      </c>
    </row>
    <row r="1966" spans="18:18" x14ac:dyDescent="0.3">
      <c r="R1966" t="s">
        <v>1050</v>
      </c>
    </row>
    <row r="1967" spans="18:18" x14ac:dyDescent="0.3">
      <c r="R1967" t="s">
        <v>2566</v>
      </c>
    </row>
    <row r="1968" spans="18:18" x14ac:dyDescent="0.3">
      <c r="R1968" t="s">
        <v>4324</v>
      </c>
    </row>
    <row r="1969" spans="18:18" x14ac:dyDescent="0.3">
      <c r="R1969" t="s">
        <v>1596</v>
      </c>
    </row>
    <row r="1970" spans="18:18" x14ac:dyDescent="0.3">
      <c r="R1970" t="s">
        <v>4671</v>
      </c>
    </row>
    <row r="1971" spans="18:18" x14ac:dyDescent="0.3">
      <c r="R1971" t="s">
        <v>4325</v>
      </c>
    </row>
    <row r="1972" spans="18:18" x14ac:dyDescent="0.3">
      <c r="R1972" t="s">
        <v>1051</v>
      </c>
    </row>
    <row r="1973" spans="18:18" x14ac:dyDescent="0.3">
      <c r="R1973" t="s">
        <v>1213</v>
      </c>
    </row>
    <row r="1974" spans="18:18" x14ac:dyDescent="0.3">
      <c r="R1974" t="s">
        <v>2567</v>
      </c>
    </row>
    <row r="1975" spans="18:18" x14ac:dyDescent="0.3">
      <c r="R1975" t="s">
        <v>4672</v>
      </c>
    </row>
    <row r="1976" spans="18:18" x14ac:dyDescent="0.3">
      <c r="R1976" t="s">
        <v>4326</v>
      </c>
    </row>
    <row r="1977" spans="18:18" x14ac:dyDescent="0.3">
      <c r="R1977" t="s">
        <v>3118</v>
      </c>
    </row>
    <row r="1978" spans="18:18" x14ac:dyDescent="0.3">
      <c r="R1978" t="s">
        <v>852</v>
      </c>
    </row>
    <row r="1979" spans="18:18" x14ac:dyDescent="0.3">
      <c r="R1979" t="s">
        <v>4673</v>
      </c>
    </row>
    <row r="1980" spans="18:18" x14ac:dyDescent="0.3">
      <c r="R1980" t="s">
        <v>3443</v>
      </c>
    </row>
    <row r="1981" spans="18:18" x14ac:dyDescent="0.3">
      <c r="R1981" t="s">
        <v>3444</v>
      </c>
    </row>
    <row r="1982" spans="18:18" x14ac:dyDescent="0.3">
      <c r="R1982" t="s">
        <v>3445</v>
      </c>
    </row>
    <row r="1983" spans="18:18" x14ac:dyDescent="0.3">
      <c r="R1983" t="s">
        <v>3445</v>
      </c>
    </row>
    <row r="1984" spans="18:18" x14ac:dyDescent="0.3">
      <c r="R1984" t="s">
        <v>3990</v>
      </c>
    </row>
    <row r="1985" spans="18:18" x14ac:dyDescent="0.3">
      <c r="R1985" t="s">
        <v>1052</v>
      </c>
    </row>
    <row r="1986" spans="18:18" x14ac:dyDescent="0.3">
      <c r="R1986" t="s">
        <v>198</v>
      </c>
    </row>
    <row r="1987" spans="18:18" x14ac:dyDescent="0.3">
      <c r="R1987" t="s">
        <v>109</v>
      </c>
    </row>
    <row r="1988" spans="18:18" x14ac:dyDescent="0.3">
      <c r="R1988" t="s">
        <v>1998</v>
      </c>
    </row>
    <row r="1989" spans="18:18" x14ac:dyDescent="0.3">
      <c r="R1989" t="s">
        <v>1214</v>
      </c>
    </row>
    <row r="1990" spans="18:18" x14ac:dyDescent="0.3">
      <c r="R1990" t="s">
        <v>3991</v>
      </c>
    </row>
    <row r="1991" spans="18:18" x14ac:dyDescent="0.3">
      <c r="R1991" t="s">
        <v>1999</v>
      </c>
    </row>
    <row r="1992" spans="18:18" x14ac:dyDescent="0.3">
      <c r="R1992" t="s">
        <v>2568</v>
      </c>
    </row>
    <row r="1993" spans="18:18" x14ac:dyDescent="0.3">
      <c r="R1993" t="s">
        <v>2569</v>
      </c>
    </row>
    <row r="1994" spans="18:18" x14ac:dyDescent="0.3">
      <c r="R1994" t="s">
        <v>3446</v>
      </c>
    </row>
    <row r="1995" spans="18:18" x14ac:dyDescent="0.3">
      <c r="R1995" t="s">
        <v>3447</v>
      </c>
    </row>
    <row r="1996" spans="18:18" x14ac:dyDescent="0.3">
      <c r="R1996" t="s">
        <v>3191</v>
      </c>
    </row>
    <row r="1997" spans="18:18" x14ac:dyDescent="0.3">
      <c r="R1997" t="s">
        <v>3992</v>
      </c>
    </row>
    <row r="1998" spans="18:18" x14ac:dyDescent="0.3">
      <c r="R1998" t="s">
        <v>5262</v>
      </c>
    </row>
    <row r="1999" spans="18:18" x14ac:dyDescent="0.3">
      <c r="R1999" t="s">
        <v>4674</v>
      </c>
    </row>
    <row r="2000" spans="18:18" x14ac:dyDescent="0.3">
      <c r="R2000" t="s">
        <v>3993</v>
      </c>
    </row>
    <row r="2001" spans="18:18" x14ac:dyDescent="0.3">
      <c r="R2001" t="s">
        <v>3448</v>
      </c>
    </row>
    <row r="2002" spans="18:18" x14ac:dyDescent="0.3">
      <c r="R2002" t="s">
        <v>1406</v>
      </c>
    </row>
    <row r="2003" spans="18:18" x14ac:dyDescent="0.3">
      <c r="R2003" t="s">
        <v>3449</v>
      </c>
    </row>
    <row r="2004" spans="18:18" x14ac:dyDescent="0.3">
      <c r="R2004" t="s">
        <v>3450</v>
      </c>
    </row>
    <row r="2005" spans="18:18" x14ac:dyDescent="0.3">
      <c r="R2005" t="s">
        <v>3450</v>
      </c>
    </row>
    <row r="2006" spans="18:18" x14ac:dyDescent="0.3">
      <c r="R2006" t="s">
        <v>2570</v>
      </c>
    </row>
    <row r="2007" spans="18:18" x14ac:dyDescent="0.3">
      <c r="R2007" t="s">
        <v>2570</v>
      </c>
    </row>
    <row r="2008" spans="18:18" x14ac:dyDescent="0.3">
      <c r="R2008" t="s">
        <v>1053</v>
      </c>
    </row>
    <row r="2009" spans="18:18" x14ac:dyDescent="0.3">
      <c r="R2009" t="s">
        <v>2571</v>
      </c>
    </row>
    <row r="2010" spans="18:18" x14ac:dyDescent="0.3">
      <c r="R2010" t="s">
        <v>466</v>
      </c>
    </row>
    <row r="2011" spans="18:18" x14ac:dyDescent="0.3">
      <c r="R2011" t="s">
        <v>5263</v>
      </c>
    </row>
    <row r="2012" spans="18:18" x14ac:dyDescent="0.3">
      <c r="R2012" t="s">
        <v>1054</v>
      </c>
    </row>
    <row r="2013" spans="18:18" x14ac:dyDescent="0.3">
      <c r="R2013" t="s">
        <v>4327</v>
      </c>
    </row>
    <row r="2014" spans="18:18" x14ac:dyDescent="0.3">
      <c r="R2014" t="s">
        <v>2572</v>
      </c>
    </row>
    <row r="2015" spans="18:18" x14ac:dyDescent="0.3">
      <c r="R2015" t="s">
        <v>2573</v>
      </c>
    </row>
    <row r="2016" spans="18:18" x14ac:dyDescent="0.3">
      <c r="R2016" t="s">
        <v>4675</v>
      </c>
    </row>
    <row r="2017" spans="18:18" x14ac:dyDescent="0.3">
      <c r="R2017" t="s">
        <v>5264</v>
      </c>
    </row>
    <row r="2018" spans="18:18" x14ac:dyDescent="0.3">
      <c r="R2018" t="s">
        <v>3451</v>
      </c>
    </row>
    <row r="2019" spans="18:18" x14ac:dyDescent="0.3">
      <c r="R2019" t="s">
        <v>3994</v>
      </c>
    </row>
    <row r="2020" spans="18:18" x14ac:dyDescent="0.3">
      <c r="R2020" t="s">
        <v>3452</v>
      </c>
    </row>
    <row r="2021" spans="18:18" x14ac:dyDescent="0.3">
      <c r="R2021" t="s">
        <v>5080</v>
      </c>
    </row>
    <row r="2022" spans="18:18" x14ac:dyDescent="0.3">
      <c r="R2022" t="s">
        <v>3119</v>
      </c>
    </row>
    <row r="2023" spans="18:18" x14ac:dyDescent="0.3">
      <c r="R2023" t="s">
        <v>3995</v>
      </c>
    </row>
    <row r="2024" spans="18:18" x14ac:dyDescent="0.3">
      <c r="R2024" t="s">
        <v>3996</v>
      </c>
    </row>
    <row r="2025" spans="18:18" x14ac:dyDescent="0.3">
      <c r="R2025" t="s">
        <v>2574</v>
      </c>
    </row>
    <row r="2026" spans="18:18" x14ac:dyDescent="0.3">
      <c r="R2026" t="s">
        <v>3453</v>
      </c>
    </row>
    <row r="2027" spans="18:18" x14ac:dyDescent="0.3">
      <c r="R2027" t="s">
        <v>3454</v>
      </c>
    </row>
    <row r="2028" spans="18:18" x14ac:dyDescent="0.3">
      <c r="R2028" t="s">
        <v>2000</v>
      </c>
    </row>
    <row r="2029" spans="18:18" x14ac:dyDescent="0.3">
      <c r="R2029" t="s">
        <v>3455</v>
      </c>
    </row>
    <row r="2030" spans="18:18" x14ac:dyDescent="0.3">
      <c r="R2030" t="s">
        <v>3997</v>
      </c>
    </row>
    <row r="2031" spans="18:18" x14ac:dyDescent="0.3">
      <c r="R2031" t="s">
        <v>2575</v>
      </c>
    </row>
    <row r="2032" spans="18:18" x14ac:dyDescent="0.3">
      <c r="R2032" t="s">
        <v>3456</v>
      </c>
    </row>
    <row r="2033" spans="18:18" x14ac:dyDescent="0.3">
      <c r="R2033" t="s">
        <v>3457</v>
      </c>
    </row>
    <row r="2034" spans="18:18" x14ac:dyDescent="0.3">
      <c r="R2034" t="s">
        <v>853</v>
      </c>
    </row>
    <row r="2035" spans="18:18" x14ac:dyDescent="0.3">
      <c r="R2035" t="s">
        <v>5265</v>
      </c>
    </row>
    <row r="2036" spans="18:18" x14ac:dyDescent="0.3">
      <c r="R2036" t="s">
        <v>3458</v>
      </c>
    </row>
    <row r="2037" spans="18:18" x14ac:dyDescent="0.3">
      <c r="R2037" t="s">
        <v>4328</v>
      </c>
    </row>
    <row r="2038" spans="18:18" x14ac:dyDescent="0.3">
      <c r="R2038" t="s">
        <v>3459</v>
      </c>
    </row>
    <row r="2039" spans="18:18" x14ac:dyDescent="0.3">
      <c r="R2039" t="s">
        <v>4329</v>
      </c>
    </row>
    <row r="2040" spans="18:18" x14ac:dyDescent="0.3">
      <c r="R2040" t="s">
        <v>3460</v>
      </c>
    </row>
    <row r="2041" spans="18:18" x14ac:dyDescent="0.3">
      <c r="R2041" t="s">
        <v>2576</v>
      </c>
    </row>
    <row r="2042" spans="18:18" x14ac:dyDescent="0.3">
      <c r="R2042" t="s">
        <v>4996</v>
      </c>
    </row>
    <row r="2043" spans="18:18" x14ac:dyDescent="0.3">
      <c r="R2043" t="s">
        <v>2577</v>
      </c>
    </row>
    <row r="2044" spans="18:18" x14ac:dyDescent="0.3">
      <c r="R2044" t="s">
        <v>631</v>
      </c>
    </row>
    <row r="2045" spans="18:18" x14ac:dyDescent="0.3">
      <c r="R2045" t="s">
        <v>2578</v>
      </c>
    </row>
    <row r="2046" spans="18:18" x14ac:dyDescent="0.3">
      <c r="R2046" t="s">
        <v>5081</v>
      </c>
    </row>
    <row r="2047" spans="18:18" x14ac:dyDescent="0.3">
      <c r="R2047" t="s">
        <v>2579</v>
      </c>
    </row>
    <row r="2048" spans="18:18" x14ac:dyDescent="0.3">
      <c r="R2048" t="s">
        <v>2580</v>
      </c>
    </row>
    <row r="2049" spans="18:18" x14ac:dyDescent="0.3">
      <c r="R2049" t="s">
        <v>1407</v>
      </c>
    </row>
    <row r="2050" spans="18:18" x14ac:dyDescent="0.3">
      <c r="R2050" t="s">
        <v>1408</v>
      </c>
    </row>
    <row r="2051" spans="18:18" x14ac:dyDescent="0.3">
      <c r="R2051" t="s">
        <v>302</v>
      </c>
    </row>
    <row r="2052" spans="18:18" x14ac:dyDescent="0.3">
      <c r="R2052" t="s">
        <v>467</v>
      </c>
    </row>
    <row r="2053" spans="18:18" x14ac:dyDescent="0.3">
      <c r="R2053" t="s">
        <v>3461</v>
      </c>
    </row>
    <row r="2054" spans="18:18" x14ac:dyDescent="0.3">
      <c r="R2054" t="s">
        <v>4676</v>
      </c>
    </row>
    <row r="2055" spans="18:18" x14ac:dyDescent="0.3">
      <c r="R2055" t="s">
        <v>5266</v>
      </c>
    </row>
    <row r="2056" spans="18:18" x14ac:dyDescent="0.3">
      <c r="R2056" t="s">
        <v>2581</v>
      </c>
    </row>
    <row r="2057" spans="18:18" x14ac:dyDescent="0.3">
      <c r="R2057" t="s">
        <v>2001</v>
      </c>
    </row>
    <row r="2058" spans="18:18" x14ac:dyDescent="0.3">
      <c r="R2058" t="s">
        <v>3462</v>
      </c>
    </row>
    <row r="2059" spans="18:18" x14ac:dyDescent="0.3">
      <c r="R2059" t="s">
        <v>4635</v>
      </c>
    </row>
    <row r="2060" spans="18:18" x14ac:dyDescent="0.3">
      <c r="R2060" t="s">
        <v>4330</v>
      </c>
    </row>
    <row r="2061" spans="18:18" x14ac:dyDescent="0.3">
      <c r="R2061" t="s">
        <v>4677</v>
      </c>
    </row>
    <row r="2062" spans="18:18" x14ac:dyDescent="0.3">
      <c r="R2062" t="s">
        <v>1055</v>
      </c>
    </row>
    <row r="2063" spans="18:18" x14ac:dyDescent="0.3">
      <c r="R2063" t="s">
        <v>1055</v>
      </c>
    </row>
    <row r="2064" spans="18:18" x14ac:dyDescent="0.3">
      <c r="R2064" t="s">
        <v>5267</v>
      </c>
    </row>
    <row r="2065" spans="18:18" x14ac:dyDescent="0.3">
      <c r="R2065" t="s">
        <v>3463</v>
      </c>
    </row>
    <row r="2066" spans="18:18" x14ac:dyDescent="0.3">
      <c r="R2066" t="s">
        <v>3998</v>
      </c>
    </row>
    <row r="2067" spans="18:18" x14ac:dyDescent="0.3">
      <c r="R2067" t="s">
        <v>1056</v>
      </c>
    </row>
    <row r="2068" spans="18:18" x14ac:dyDescent="0.3">
      <c r="R2068" t="s">
        <v>4678</v>
      </c>
    </row>
    <row r="2069" spans="18:18" x14ac:dyDescent="0.3">
      <c r="R2069" t="s">
        <v>3464</v>
      </c>
    </row>
    <row r="2070" spans="18:18" x14ac:dyDescent="0.3">
      <c r="R2070" t="s">
        <v>854</v>
      </c>
    </row>
    <row r="2071" spans="18:18" x14ac:dyDescent="0.3">
      <c r="R2071" t="s">
        <v>4679</v>
      </c>
    </row>
    <row r="2072" spans="18:18" x14ac:dyDescent="0.3">
      <c r="R2072" t="s">
        <v>199</v>
      </c>
    </row>
    <row r="2073" spans="18:18" x14ac:dyDescent="0.3">
      <c r="R2073" t="s">
        <v>199</v>
      </c>
    </row>
    <row r="2074" spans="18:18" x14ac:dyDescent="0.3">
      <c r="R2074" t="s">
        <v>632</v>
      </c>
    </row>
    <row r="2075" spans="18:18" x14ac:dyDescent="0.3">
      <c r="R2075" t="s">
        <v>3465</v>
      </c>
    </row>
    <row r="2076" spans="18:18" x14ac:dyDescent="0.3">
      <c r="R2076" t="s">
        <v>5268</v>
      </c>
    </row>
    <row r="2077" spans="18:18" x14ac:dyDescent="0.3">
      <c r="R2077" t="s">
        <v>3466</v>
      </c>
    </row>
    <row r="2078" spans="18:18" x14ac:dyDescent="0.3">
      <c r="R2078" t="s">
        <v>2002</v>
      </c>
    </row>
    <row r="2079" spans="18:18" x14ac:dyDescent="0.3">
      <c r="R2079" t="s">
        <v>2582</v>
      </c>
    </row>
    <row r="2080" spans="18:18" x14ac:dyDescent="0.3">
      <c r="R2080" t="s">
        <v>3467</v>
      </c>
    </row>
    <row r="2081" spans="18:18" x14ac:dyDescent="0.3">
      <c r="R2081" t="s">
        <v>1597</v>
      </c>
    </row>
    <row r="2082" spans="18:18" x14ac:dyDescent="0.3">
      <c r="R2082" t="s">
        <v>3999</v>
      </c>
    </row>
    <row r="2083" spans="18:18" x14ac:dyDescent="0.3">
      <c r="R2083" t="s">
        <v>4680</v>
      </c>
    </row>
    <row r="2084" spans="18:18" x14ac:dyDescent="0.3">
      <c r="R2084" t="s">
        <v>1057</v>
      </c>
    </row>
    <row r="2085" spans="18:18" x14ac:dyDescent="0.3">
      <c r="R2085" t="s">
        <v>3468</v>
      </c>
    </row>
    <row r="2086" spans="18:18" x14ac:dyDescent="0.3">
      <c r="R2086" t="s">
        <v>1728</v>
      </c>
    </row>
    <row r="2087" spans="18:18" x14ac:dyDescent="0.3">
      <c r="R2087" t="s">
        <v>3120</v>
      </c>
    </row>
    <row r="2088" spans="18:18" x14ac:dyDescent="0.3">
      <c r="R2088" t="s">
        <v>4000</v>
      </c>
    </row>
    <row r="2089" spans="18:18" x14ac:dyDescent="0.3">
      <c r="R2089" t="s">
        <v>2583</v>
      </c>
    </row>
    <row r="2090" spans="18:18" x14ac:dyDescent="0.3">
      <c r="R2090" t="s">
        <v>2584</v>
      </c>
    </row>
    <row r="2091" spans="18:18" x14ac:dyDescent="0.3">
      <c r="R2091" t="s">
        <v>4681</v>
      </c>
    </row>
    <row r="2092" spans="18:18" x14ac:dyDescent="0.3">
      <c r="R2092" t="s">
        <v>2585</v>
      </c>
    </row>
    <row r="2093" spans="18:18" x14ac:dyDescent="0.3">
      <c r="R2093" t="s">
        <v>4331</v>
      </c>
    </row>
    <row r="2094" spans="18:18" x14ac:dyDescent="0.3">
      <c r="R2094" t="s">
        <v>1058</v>
      </c>
    </row>
    <row r="2095" spans="18:18" x14ac:dyDescent="0.3">
      <c r="R2095" t="s">
        <v>1409</v>
      </c>
    </row>
    <row r="2096" spans="18:18" x14ac:dyDescent="0.3">
      <c r="R2096" t="s">
        <v>2003</v>
      </c>
    </row>
    <row r="2097" spans="18:18" x14ac:dyDescent="0.3">
      <c r="R2097" t="s">
        <v>2004</v>
      </c>
    </row>
    <row r="2098" spans="18:18" x14ac:dyDescent="0.3">
      <c r="R2098" t="s">
        <v>4332</v>
      </c>
    </row>
    <row r="2099" spans="18:18" x14ac:dyDescent="0.3">
      <c r="R2099" t="s">
        <v>2005</v>
      </c>
    </row>
    <row r="2100" spans="18:18" x14ac:dyDescent="0.3">
      <c r="R2100" t="s">
        <v>2006</v>
      </c>
    </row>
    <row r="2101" spans="18:18" x14ac:dyDescent="0.3">
      <c r="R2101" t="s">
        <v>1059</v>
      </c>
    </row>
    <row r="2102" spans="18:18" x14ac:dyDescent="0.3">
      <c r="R2102" t="s">
        <v>1598</v>
      </c>
    </row>
    <row r="2103" spans="18:18" x14ac:dyDescent="0.3">
      <c r="R2103" t="s">
        <v>2007</v>
      </c>
    </row>
    <row r="2104" spans="18:18" x14ac:dyDescent="0.3">
      <c r="R2104" t="s">
        <v>2008</v>
      </c>
    </row>
    <row r="2105" spans="18:18" x14ac:dyDescent="0.3">
      <c r="R2105" t="s">
        <v>4001</v>
      </c>
    </row>
    <row r="2106" spans="18:18" x14ac:dyDescent="0.3">
      <c r="R2106" t="s">
        <v>2009</v>
      </c>
    </row>
    <row r="2107" spans="18:18" x14ac:dyDescent="0.3">
      <c r="R2107" t="s">
        <v>3469</v>
      </c>
    </row>
    <row r="2108" spans="18:18" x14ac:dyDescent="0.3">
      <c r="R2108" t="s">
        <v>2586</v>
      </c>
    </row>
    <row r="2109" spans="18:18" x14ac:dyDescent="0.3">
      <c r="R2109" t="s">
        <v>2587</v>
      </c>
    </row>
    <row r="2110" spans="18:18" x14ac:dyDescent="0.3">
      <c r="R2110" t="s">
        <v>3121</v>
      </c>
    </row>
    <row r="2111" spans="18:18" x14ac:dyDescent="0.3">
      <c r="R2111" t="s">
        <v>4682</v>
      </c>
    </row>
    <row r="2112" spans="18:18" x14ac:dyDescent="0.3">
      <c r="R2112" t="s">
        <v>1599</v>
      </c>
    </row>
    <row r="2113" spans="18:18" x14ac:dyDescent="0.3">
      <c r="R2113" t="s">
        <v>4333</v>
      </c>
    </row>
    <row r="2114" spans="18:18" x14ac:dyDescent="0.3">
      <c r="R2114" t="s">
        <v>2010</v>
      </c>
    </row>
    <row r="2115" spans="18:18" x14ac:dyDescent="0.3">
      <c r="R2115" t="s">
        <v>2011</v>
      </c>
    </row>
    <row r="2116" spans="18:18" x14ac:dyDescent="0.3">
      <c r="R2116" t="s">
        <v>4683</v>
      </c>
    </row>
    <row r="2117" spans="18:18" x14ac:dyDescent="0.3">
      <c r="R2117" t="s">
        <v>3470</v>
      </c>
    </row>
    <row r="2118" spans="18:18" x14ac:dyDescent="0.3">
      <c r="R2118" t="s">
        <v>2012</v>
      </c>
    </row>
    <row r="2119" spans="18:18" x14ac:dyDescent="0.3">
      <c r="R2119" t="s">
        <v>2588</v>
      </c>
    </row>
    <row r="2120" spans="18:18" x14ac:dyDescent="0.3">
      <c r="R2120" t="s">
        <v>4684</v>
      </c>
    </row>
    <row r="2121" spans="18:18" x14ac:dyDescent="0.3">
      <c r="R2121" t="s">
        <v>2013</v>
      </c>
    </row>
    <row r="2122" spans="18:18" x14ac:dyDescent="0.3">
      <c r="R2122" t="s">
        <v>3471</v>
      </c>
    </row>
    <row r="2123" spans="18:18" x14ac:dyDescent="0.3">
      <c r="R2123" t="s">
        <v>3122</v>
      </c>
    </row>
    <row r="2124" spans="18:18" x14ac:dyDescent="0.3">
      <c r="R2124" t="s">
        <v>2014</v>
      </c>
    </row>
    <row r="2125" spans="18:18" x14ac:dyDescent="0.3">
      <c r="R2125" t="s">
        <v>2589</v>
      </c>
    </row>
    <row r="2126" spans="18:18" x14ac:dyDescent="0.3">
      <c r="R2126" t="s">
        <v>2590</v>
      </c>
    </row>
    <row r="2127" spans="18:18" x14ac:dyDescent="0.3">
      <c r="R2127" t="s">
        <v>3472</v>
      </c>
    </row>
    <row r="2128" spans="18:18" x14ac:dyDescent="0.3">
      <c r="R2128" t="s">
        <v>2015</v>
      </c>
    </row>
    <row r="2129" spans="18:18" x14ac:dyDescent="0.3">
      <c r="R2129" t="s">
        <v>1060</v>
      </c>
    </row>
    <row r="2130" spans="18:18" x14ac:dyDescent="0.3">
      <c r="R2130" t="s">
        <v>4334</v>
      </c>
    </row>
    <row r="2131" spans="18:18" x14ac:dyDescent="0.3">
      <c r="R2131" t="s">
        <v>2591</v>
      </c>
    </row>
    <row r="2132" spans="18:18" x14ac:dyDescent="0.3">
      <c r="R2132" t="s">
        <v>4002</v>
      </c>
    </row>
    <row r="2133" spans="18:18" x14ac:dyDescent="0.3">
      <c r="R2133" t="s">
        <v>633</v>
      </c>
    </row>
    <row r="2134" spans="18:18" x14ac:dyDescent="0.3">
      <c r="R2134" t="s">
        <v>3473</v>
      </c>
    </row>
    <row r="2135" spans="18:18" x14ac:dyDescent="0.3">
      <c r="R2135" t="s">
        <v>2016</v>
      </c>
    </row>
    <row r="2136" spans="18:18" x14ac:dyDescent="0.3">
      <c r="R2136" t="s">
        <v>1061</v>
      </c>
    </row>
    <row r="2137" spans="18:18" x14ac:dyDescent="0.3">
      <c r="R2137" t="s">
        <v>3123</v>
      </c>
    </row>
    <row r="2138" spans="18:18" x14ac:dyDescent="0.3">
      <c r="R2138" t="s">
        <v>1215</v>
      </c>
    </row>
    <row r="2139" spans="18:18" x14ac:dyDescent="0.3">
      <c r="R2139" t="s">
        <v>3474</v>
      </c>
    </row>
    <row r="2140" spans="18:18" x14ac:dyDescent="0.3">
      <c r="R2140" t="s">
        <v>1729</v>
      </c>
    </row>
    <row r="2141" spans="18:18" x14ac:dyDescent="0.3">
      <c r="R2141" t="s">
        <v>2017</v>
      </c>
    </row>
    <row r="2142" spans="18:18" x14ac:dyDescent="0.3">
      <c r="R2142" t="s">
        <v>3475</v>
      </c>
    </row>
    <row r="2143" spans="18:18" x14ac:dyDescent="0.3">
      <c r="R2143" t="s">
        <v>1359</v>
      </c>
    </row>
    <row r="2144" spans="18:18" x14ac:dyDescent="0.3">
      <c r="R2144" t="s">
        <v>3476</v>
      </c>
    </row>
    <row r="2145" spans="18:18" x14ac:dyDescent="0.3">
      <c r="R2145" t="s">
        <v>2592</v>
      </c>
    </row>
    <row r="2146" spans="18:18" x14ac:dyDescent="0.3">
      <c r="R2146" t="s">
        <v>634</v>
      </c>
    </row>
    <row r="2147" spans="18:18" x14ac:dyDescent="0.3">
      <c r="R2147" t="s">
        <v>635</v>
      </c>
    </row>
    <row r="2148" spans="18:18" x14ac:dyDescent="0.3">
      <c r="R2148" t="s">
        <v>303</v>
      </c>
    </row>
    <row r="2149" spans="18:18" x14ac:dyDescent="0.3">
      <c r="R2149" t="s">
        <v>304</v>
      </c>
    </row>
    <row r="2150" spans="18:18" x14ac:dyDescent="0.3">
      <c r="R2150" t="s">
        <v>1600</v>
      </c>
    </row>
    <row r="2151" spans="18:18" x14ac:dyDescent="0.3">
      <c r="R2151" t="s">
        <v>3477</v>
      </c>
    </row>
    <row r="2152" spans="18:18" x14ac:dyDescent="0.3">
      <c r="R2152" t="s">
        <v>2593</v>
      </c>
    </row>
    <row r="2153" spans="18:18" x14ac:dyDescent="0.3">
      <c r="R2153" t="s">
        <v>2018</v>
      </c>
    </row>
    <row r="2154" spans="18:18" x14ac:dyDescent="0.3">
      <c r="R2154" t="s">
        <v>1730</v>
      </c>
    </row>
    <row r="2155" spans="18:18" x14ac:dyDescent="0.3">
      <c r="R2155" t="s">
        <v>4685</v>
      </c>
    </row>
    <row r="2156" spans="18:18" x14ac:dyDescent="0.3">
      <c r="R2156" t="s">
        <v>3192</v>
      </c>
    </row>
    <row r="2157" spans="18:18" x14ac:dyDescent="0.3">
      <c r="R2157" t="s">
        <v>2019</v>
      </c>
    </row>
    <row r="2158" spans="18:18" x14ac:dyDescent="0.3">
      <c r="R2158" t="s">
        <v>3478</v>
      </c>
    </row>
    <row r="2159" spans="18:18" x14ac:dyDescent="0.3">
      <c r="R2159" t="s">
        <v>4003</v>
      </c>
    </row>
    <row r="2160" spans="18:18" x14ac:dyDescent="0.3">
      <c r="R2160" t="s">
        <v>1601</v>
      </c>
    </row>
    <row r="2161" spans="18:18" x14ac:dyDescent="0.3">
      <c r="R2161" t="s">
        <v>2594</v>
      </c>
    </row>
    <row r="2162" spans="18:18" x14ac:dyDescent="0.3">
      <c r="R2162" t="s">
        <v>4997</v>
      </c>
    </row>
    <row r="2163" spans="18:18" x14ac:dyDescent="0.3">
      <c r="R2163" t="s">
        <v>1062</v>
      </c>
    </row>
    <row r="2164" spans="18:18" x14ac:dyDescent="0.3">
      <c r="R2164" t="s">
        <v>1062</v>
      </c>
    </row>
    <row r="2165" spans="18:18" x14ac:dyDescent="0.3">
      <c r="R2165" t="s">
        <v>2595</v>
      </c>
    </row>
    <row r="2166" spans="18:18" x14ac:dyDescent="0.3">
      <c r="R2166" t="s">
        <v>4686</v>
      </c>
    </row>
    <row r="2167" spans="18:18" x14ac:dyDescent="0.3">
      <c r="R2167" t="s">
        <v>3480</v>
      </c>
    </row>
    <row r="2168" spans="18:18" x14ac:dyDescent="0.3">
      <c r="R2168" t="s">
        <v>1815</v>
      </c>
    </row>
    <row r="2169" spans="18:18" x14ac:dyDescent="0.3">
      <c r="R2169" t="s">
        <v>1608</v>
      </c>
    </row>
    <row r="2170" spans="18:18" x14ac:dyDescent="0.3">
      <c r="R2170" t="s">
        <v>855</v>
      </c>
    </row>
    <row r="2171" spans="18:18" x14ac:dyDescent="0.3">
      <c r="R2171" t="s">
        <v>3481</v>
      </c>
    </row>
    <row r="2172" spans="18:18" x14ac:dyDescent="0.3">
      <c r="R2172" t="s">
        <v>3479</v>
      </c>
    </row>
    <row r="2173" spans="18:18" x14ac:dyDescent="0.3">
      <c r="R2173" t="s">
        <v>2020</v>
      </c>
    </row>
    <row r="2174" spans="18:18" x14ac:dyDescent="0.3">
      <c r="R2174" t="s">
        <v>4335</v>
      </c>
    </row>
    <row r="2175" spans="18:18" x14ac:dyDescent="0.3">
      <c r="R2175" t="s">
        <v>2596</v>
      </c>
    </row>
    <row r="2176" spans="18:18" x14ac:dyDescent="0.3">
      <c r="R2176" t="s">
        <v>4687</v>
      </c>
    </row>
    <row r="2177" spans="18:18" x14ac:dyDescent="0.3">
      <c r="R2177" t="s">
        <v>1410</v>
      </c>
    </row>
    <row r="2178" spans="18:18" x14ac:dyDescent="0.3">
      <c r="R2178" t="s">
        <v>4336</v>
      </c>
    </row>
    <row r="2179" spans="18:18" x14ac:dyDescent="0.3">
      <c r="R2179" t="s">
        <v>4004</v>
      </c>
    </row>
    <row r="2180" spans="18:18" x14ac:dyDescent="0.3">
      <c r="R2180" t="s">
        <v>4688</v>
      </c>
    </row>
    <row r="2181" spans="18:18" x14ac:dyDescent="0.3">
      <c r="R2181" t="s">
        <v>2597</v>
      </c>
    </row>
    <row r="2182" spans="18:18" x14ac:dyDescent="0.3">
      <c r="R2182" t="s">
        <v>4337</v>
      </c>
    </row>
    <row r="2183" spans="18:18" x14ac:dyDescent="0.3">
      <c r="R2183" t="s">
        <v>4005</v>
      </c>
    </row>
    <row r="2184" spans="18:18" x14ac:dyDescent="0.3">
      <c r="R2184" t="s">
        <v>4338</v>
      </c>
    </row>
    <row r="2185" spans="18:18" x14ac:dyDescent="0.3">
      <c r="R2185" t="s">
        <v>4689</v>
      </c>
    </row>
    <row r="2186" spans="18:18" x14ac:dyDescent="0.3">
      <c r="R2186" t="s">
        <v>636</v>
      </c>
    </row>
    <row r="2187" spans="18:18" x14ac:dyDescent="0.3">
      <c r="R2187" t="s">
        <v>4006</v>
      </c>
    </row>
    <row r="2188" spans="18:18" x14ac:dyDescent="0.3">
      <c r="R2188" t="s">
        <v>5269</v>
      </c>
    </row>
    <row r="2189" spans="18:18" x14ac:dyDescent="0.3">
      <c r="R2189" t="s">
        <v>1602</v>
      </c>
    </row>
    <row r="2190" spans="18:18" x14ac:dyDescent="0.3">
      <c r="R2190" t="s">
        <v>1602</v>
      </c>
    </row>
    <row r="2191" spans="18:18" x14ac:dyDescent="0.3">
      <c r="R2191" t="s">
        <v>2598</v>
      </c>
    </row>
    <row r="2192" spans="18:18" x14ac:dyDescent="0.3">
      <c r="R2192" t="s">
        <v>2599</v>
      </c>
    </row>
    <row r="2193" spans="18:18" x14ac:dyDescent="0.3">
      <c r="R2193" t="s">
        <v>4339</v>
      </c>
    </row>
    <row r="2194" spans="18:18" x14ac:dyDescent="0.3">
      <c r="R2194" t="s">
        <v>3482</v>
      </c>
    </row>
    <row r="2195" spans="18:18" x14ac:dyDescent="0.3">
      <c r="R2195" t="s">
        <v>1063</v>
      </c>
    </row>
    <row r="2196" spans="18:18" x14ac:dyDescent="0.3">
      <c r="R2196" t="s">
        <v>1063</v>
      </c>
    </row>
    <row r="2197" spans="18:18" x14ac:dyDescent="0.3">
      <c r="R2197" t="s">
        <v>3483</v>
      </c>
    </row>
    <row r="2198" spans="18:18" x14ac:dyDescent="0.3">
      <c r="R2198" t="s">
        <v>2600</v>
      </c>
    </row>
    <row r="2199" spans="18:18" x14ac:dyDescent="0.3">
      <c r="R2199" t="s">
        <v>2600</v>
      </c>
    </row>
    <row r="2200" spans="18:18" x14ac:dyDescent="0.3">
      <c r="R2200" t="s">
        <v>3484</v>
      </c>
    </row>
    <row r="2201" spans="18:18" x14ac:dyDescent="0.3">
      <c r="R2201" t="s">
        <v>5270</v>
      </c>
    </row>
    <row r="2202" spans="18:18" x14ac:dyDescent="0.3">
      <c r="R2202" t="s">
        <v>1816</v>
      </c>
    </row>
    <row r="2203" spans="18:18" x14ac:dyDescent="0.3">
      <c r="R2203" t="s">
        <v>5082</v>
      </c>
    </row>
    <row r="2204" spans="18:18" x14ac:dyDescent="0.3">
      <c r="R2204" t="s">
        <v>1411</v>
      </c>
    </row>
    <row r="2205" spans="18:18" x14ac:dyDescent="0.3">
      <c r="R2205" t="s">
        <v>2601</v>
      </c>
    </row>
    <row r="2206" spans="18:18" x14ac:dyDescent="0.3">
      <c r="R2206" t="s">
        <v>1603</v>
      </c>
    </row>
    <row r="2207" spans="18:18" x14ac:dyDescent="0.3">
      <c r="R2207" t="s">
        <v>4690</v>
      </c>
    </row>
    <row r="2208" spans="18:18" x14ac:dyDescent="0.3">
      <c r="R2208" t="s">
        <v>2021</v>
      </c>
    </row>
    <row r="2209" spans="18:18" x14ac:dyDescent="0.3">
      <c r="R2209" t="s">
        <v>305</v>
      </c>
    </row>
    <row r="2210" spans="18:18" x14ac:dyDescent="0.3">
      <c r="R2210" t="s">
        <v>1731</v>
      </c>
    </row>
    <row r="2211" spans="18:18" x14ac:dyDescent="0.3">
      <c r="R2211" t="s">
        <v>2602</v>
      </c>
    </row>
    <row r="2212" spans="18:18" x14ac:dyDescent="0.3">
      <c r="R2212" t="s">
        <v>2603</v>
      </c>
    </row>
    <row r="2213" spans="18:18" x14ac:dyDescent="0.3">
      <c r="R2213" t="s">
        <v>856</v>
      </c>
    </row>
    <row r="2214" spans="18:18" x14ac:dyDescent="0.3">
      <c r="R2214" t="s">
        <v>5271</v>
      </c>
    </row>
    <row r="2215" spans="18:18" x14ac:dyDescent="0.3">
      <c r="R2215" t="s">
        <v>2604</v>
      </c>
    </row>
    <row r="2216" spans="18:18" x14ac:dyDescent="0.3">
      <c r="R2216" t="s">
        <v>4998</v>
      </c>
    </row>
    <row r="2217" spans="18:18" x14ac:dyDescent="0.3">
      <c r="R2217" t="s">
        <v>3485</v>
      </c>
    </row>
    <row r="2218" spans="18:18" x14ac:dyDescent="0.3">
      <c r="R2218" t="s">
        <v>4340</v>
      </c>
    </row>
    <row r="2219" spans="18:18" x14ac:dyDescent="0.3">
      <c r="R2219" t="s">
        <v>2605</v>
      </c>
    </row>
    <row r="2220" spans="18:18" x14ac:dyDescent="0.3">
      <c r="R2220" t="s">
        <v>5272</v>
      </c>
    </row>
    <row r="2221" spans="18:18" x14ac:dyDescent="0.3">
      <c r="R2221" t="s">
        <v>2606</v>
      </c>
    </row>
    <row r="2222" spans="18:18" x14ac:dyDescent="0.3">
      <c r="R2222" t="s">
        <v>1216</v>
      </c>
    </row>
    <row r="2223" spans="18:18" x14ac:dyDescent="0.3">
      <c r="R2223" t="s">
        <v>1064</v>
      </c>
    </row>
    <row r="2224" spans="18:18" x14ac:dyDescent="0.3">
      <c r="R2224" t="s">
        <v>2607</v>
      </c>
    </row>
    <row r="2225" spans="18:18" x14ac:dyDescent="0.3">
      <c r="R2225" t="s">
        <v>1065</v>
      </c>
    </row>
    <row r="2226" spans="18:18" x14ac:dyDescent="0.3">
      <c r="R2226" t="s">
        <v>3486</v>
      </c>
    </row>
    <row r="2227" spans="18:18" x14ac:dyDescent="0.3">
      <c r="R2227" t="s">
        <v>4691</v>
      </c>
    </row>
    <row r="2228" spans="18:18" x14ac:dyDescent="0.3">
      <c r="R2228" t="s">
        <v>2022</v>
      </c>
    </row>
    <row r="2229" spans="18:18" x14ac:dyDescent="0.3">
      <c r="R2229" t="s">
        <v>3487</v>
      </c>
    </row>
    <row r="2230" spans="18:18" x14ac:dyDescent="0.3">
      <c r="R2230" t="s">
        <v>3488</v>
      </c>
    </row>
    <row r="2231" spans="18:18" x14ac:dyDescent="0.3">
      <c r="R2231" t="s">
        <v>2608</v>
      </c>
    </row>
    <row r="2232" spans="18:18" x14ac:dyDescent="0.3">
      <c r="R2232" t="s">
        <v>2023</v>
      </c>
    </row>
    <row r="2233" spans="18:18" x14ac:dyDescent="0.3">
      <c r="R2233" t="s">
        <v>3489</v>
      </c>
    </row>
    <row r="2234" spans="18:18" x14ac:dyDescent="0.3">
      <c r="R2234" t="s">
        <v>4341</v>
      </c>
    </row>
    <row r="2235" spans="18:18" x14ac:dyDescent="0.3">
      <c r="R2235" t="s">
        <v>2024</v>
      </c>
    </row>
    <row r="2236" spans="18:18" x14ac:dyDescent="0.3">
      <c r="R2236" t="s">
        <v>4007</v>
      </c>
    </row>
    <row r="2237" spans="18:18" x14ac:dyDescent="0.3">
      <c r="R2237" t="s">
        <v>5273</v>
      </c>
    </row>
    <row r="2238" spans="18:18" x14ac:dyDescent="0.3">
      <c r="R2238" t="s">
        <v>5083</v>
      </c>
    </row>
    <row r="2239" spans="18:18" x14ac:dyDescent="0.3">
      <c r="R2239" t="s">
        <v>857</v>
      </c>
    </row>
    <row r="2240" spans="18:18" x14ac:dyDescent="0.3">
      <c r="R2240" t="s">
        <v>4692</v>
      </c>
    </row>
    <row r="2241" spans="18:18" x14ac:dyDescent="0.3">
      <c r="R2241" t="s">
        <v>200</v>
      </c>
    </row>
    <row r="2242" spans="18:18" x14ac:dyDescent="0.3">
      <c r="R2242" t="s">
        <v>306</v>
      </c>
    </row>
    <row r="2243" spans="18:18" x14ac:dyDescent="0.3">
      <c r="R2243" t="s">
        <v>1604</v>
      </c>
    </row>
    <row r="2244" spans="18:18" x14ac:dyDescent="0.3">
      <c r="R2244" t="s">
        <v>5274</v>
      </c>
    </row>
    <row r="2245" spans="18:18" x14ac:dyDescent="0.3">
      <c r="R2245" t="s">
        <v>4008</v>
      </c>
    </row>
    <row r="2246" spans="18:18" x14ac:dyDescent="0.3">
      <c r="R2246" t="s">
        <v>4342</v>
      </c>
    </row>
    <row r="2247" spans="18:18" x14ac:dyDescent="0.3">
      <c r="R2247" t="s">
        <v>3490</v>
      </c>
    </row>
    <row r="2248" spans="18:18" x14ac:dyDescent="0.3">
      <c r="R2248" t="s">
        <v>1066</v>
      </c>
    </row>
    <row r="2249" spans="18:18" x14ac:dyDescent="0.3">
      <c r="R2249" t="s">
        <v>3491</v>
      </c>
    </row>
    <row r="2250" spans="18:18" x14ac:dyDescent="0.3">
      <c r="R2250" t="s">
        <v>4343</v>
      </c>
    </row>
    <row r="2251" spans="18:18" x14ac:dyDescent="0.3">
      <c r="R2251" t="s">
        <v>1605</v>
      </c>
    </row>
    <row r="2252" spans="18:18" x14ac:dyDescent="0.3">
      <c r="R2252" t="s">
        <v>1217</v>
      </c>
    </row>
    <row r="2253" spans="18:18" x14ac:dyDescent="0.3">
      <c r="R2253" t="s">
        <v>468</v>
      </c>
    </row>
    <row r="2254" spans="18:18" x14ac:dyDescent="0.3">
      <c r="R2254" t="s">
        <v>468</v>
      </c>
    </row>
    <row r="2255" spans="18:18" x14ac:dyDescent="0.3">
      <c r="R2255" t="s">
        <v>2609</v>
      </c>
    </row>
    <row r="2256" spans="18:18" x14ac:dyDescent="0.3">
      <c r="R2256" t="s">
        <v>4344</v>
      </c>
    </row>
    <row r="2257" spans="18:18" x14ac:dyDescent="0.3">
      <c r="R2257" t="s">
        <v>2025</v>
      </c>
    </row>
    <row r="2258" spans="18:18" x14ac:dyDescent="0.3">
      <c r="R2258" t="s">
        <v>243</v>
      </c>
    </row>
    <row r="2259" spans="18:18" x14ac:dyDescent="0.3">
      <c r="R2259" t="s">
        <v>243</v>
      </c>
    </row>
    <row r="2260" spans="18:18" x14ac:dyDescent="0.3">
      <c r="R2260" t="s">
        <v>4009</v>
      </c>
    </row>
    <row r="2261" spans="18:18" x14ac:dyDescent="0.3">
      <c r="R2261" t="s">
        <v>3492</v>
      </c>
    </row>
    <row r="2262" spans="18:18" x14ac:dyDescent="0.3">
      <c r="R2262" t="s">
        <v>4345</v>
      </c>
    </row>
    <row r="2263" spans="18:18" x14ac:dyDescent="0.3">
      <c r="R2263" t="s">
        <v>4693</v>
      </c>
    </row>
    <row r="2264" spans="18:18" x14ac:dyDescent="0.3">
      <c r="R2264" t="s">
        <v>2610</v>
      </c>
    </row>
    <row r="2265" spans="18:18" x14ac:dyDescent="0.3">
      <c r="R2265" t="s">
        <v>2026</v>
      </c>
    </row>
    <row r="2266" spans="18:18" x14ac:dyDescent="0.3">
      <c r="R2266" t="s">
        <v>2027</v>
      </c>
    </row>
    <row r="2267" spans="18:18" x14ac:dyDescent="0.3">
      <c r="R2267" t="s">
        <v>201</v>
      </c>
    </row>
    <row r="2268" spans="18:18" x14ac:dyDescent="0.3">
      <c r="R2268" t="s">
        <v>4346</v>
      </c>
    </row>
    <row r="2269" spans="18:18" x14ac:dyDescent="0.3">
      <c r="R2269" t="s">
        <v>3493</v>
      </c>
    </row>
    <row r="2270" spans="18:18" x14ac:dyDescent="0.3">
      <c r="R2270" t="s">
        <v>3494</v>
      </c>
    </row>
    <row r="2271" spans="18:18" x14ac:dyDescent="0.3">
      <c r="R2271" t="s">
        <v>2028</v>
      </c>
    </row>
    <row r="2272" spans="18:18" x14ac:dyDescent="0.3">
      <c r="R2272" t="s">
        <v>2029</v>
      </c>
    </row>
    <row r="2273" spans="18:18" x14ac:dyDescent="0.3">
      <c r="R2273" t="s">
        <v>4010</v>
      </c>
    </row>
    <row r="2274" spans="18:18" x14ac:dyDescent="0.3">
      <c r="R2274" t="s">
        <v>4010</v>
      </c>
    </row>
    <row r="2275" spans="18:18" x14ac:dyDescent="0.3">
      <c r="R2275" t="s">
        <v>1067</v>
      </c>
    </row>
    <row r="2276" spans="18:18" x14ac:dyDescent="0.3">
      <c r="R2276" t="s">
        <v>2030</v>
      </c>
    </row>
    <row r="2277" spans="18:18" x14ac:dyDescent="0.3">
      <c r="R2277" t="s">
        <v>4011</v>
      </c>
    </row>
    <row r="2278" spans="18:18" x14ac:dyDescent="0.3">
      <c r="R2278" t="s">
        <v>4347</v>
      </c>
    </row>
    <row r="2279" spans="18:18" x14ac:dyDescent="0.3">
      <c r="R2279" t="s">
        <v>307</v>
      </c>
    </row>
    <row r="2280" spans="18:18" x14ac:dyDescent="0.3">
      <c r="R2280" t="s">
        <v>3124</v>
      </c>
    </row>
    <row r="2281" spans="18:18" x14ac:dyDescent="0.3">
      <c r="R2281" t="s">
        <v>858</v>
      </c>
    </row>
    <row r="2282" spans="18:18" x14ac:dyDescent="0.3">
      <c r="R2282" t="s">
        <v>5275</v>
      </c>
    </row>
    <row r="2283" spans="18:18" x14ac:dyDescent="0.3">
      <c r="R2283" t="s">
        <v>4348</v>
      </c>
    </row>
    <row r="2284" spans="18:18" x14ac:dyDescent="0.3">
      <c r="R2284" t="s">
        <v>4694</v>
      </c>
    </row>
    <row r="2285" spans="18:18" x14ac:dyDescent="0.3">
      <c r="R2285" t="s">
        <v>1412</v>
      </c>
    </row>
    <row r="2286" spans="18:18" x14ac:dyDescent="0.3">
      <c r="R2286" t="s">
        <v>1412</v>
      </c>
    </row>
    <row r="2287" spans="18:18" x14ac:dyDescent="0.3">
      <c r="R2287" t="s">
        <v>1817</v>
      </c>
    </row>
    <row r="2288" spans="18:18" x14ac:dyDescent="0.3">
      <c r="R2288" t="s">
        <v>2031</v>
      </c>
    </row>
    <row r="2289" spans="18:18" x14ac:dyDescent="0.3">
      <c r="R2289" t="s">
        <v>3495</v>
      </c>
    </row>
    <row r="2290" spans="18:18" x14ac:dyDescent="0.3">
      <c r="R2290" t="s">
        <v>2032</v>
      </c>
    </row>
    <row r="2291" spans="18:18" x14ac:dyDescent="0.3">
      <c r="R2291" t="s">
        <v>5276</v>
      </c>
    </row>
    <row r="2292" spans="18:18" x14ac:dyDescent="0.3">
      <c r="R2292" t="s">
        <v>1818</v>
      </c>
    </row>
    <row r="2293" spans="18:18" x14ac:dyDescent="0.3">
      <c r="R2293" t="s">
        <v>2611</v>
      </c>
    </row>
    <row r="2294" spans="18:18" x14ac:dyDescent="0.3">
      <c r="R2294" t="s">
        <v>2612</v>
      </c>
    </row>
    <row r="2295" spans="18:18" x14ac:dyDescent="0.3">
      <c r="R2295" t="s">
        <v>2613</v>
      </c>
    </row>
    <row r="2296" spans="18:18" x14ac:dyDescent="0.3">
      <c r="R2296" t="s">
        <v>3193</v>
      </c>
    </row>
    <row r="2297" spans="18:18" x14ac:dyDescent="0.3">
      <c r="R2297" t="s">
        <v>2033</v>
      </c>
    </row>
    <row r="2298" spans="18:18" x14ac:dyDescent="0.3">
      <c r="R2298" t="s">
        <v>469</v>
      </c>
    </row>
    <row r="2299" spans="18:18" x14ac:dyDescent="0.3">
      <c r="R2299" t="s">
        <v>2614</v>
      </c>
    </row>
    <row r="2300" spans="18:18" x14ac:dyDescent="0.3">
      <c r="R2300" t="s">
        <v>2615</v>
      </c>
    </row>
    <row r="2301" spans="18:18" x14ac:dyDescent="0.3">
      <c r="R2301" t="s">
        <v>2034</v>
      </c>
    </row>
    <row r="2302" spans="18:18" x14ac:dyDescent="0.3">
      <c r="R2302" t="s">
        <v>202</v>
      </c>
    </row>
    <row r="2303" spans="18:18" x14ac:dyDescent="0.3">
      <c r="R2303" t="s">
        <v>1606</v>
      </c>
    </row>
    <row r="2304" spans="18:18" x14ac:dyDescent="0.3">
      <c r="R2304" t="s">
        <v>4695</v>
      </c>
    </row>
    <row r="2305" spans="18:18" x14ac:dyDescent="0.3">
      <c r="R2305" t="s">
        <v>2035</v>
      </c>
    </row>
    <row r="2306" spans="18:18" x14ac:dyDescent="0.3">
      <c r="R2306" t="s">
        <v>2036</v>
      </c>
    </row>
    <row r="2307" spans="18:18" x14ac:dyDescent="0.3">
      <c r="R2307" t="s">
        <v>2037</v>
      </c>
    </row>
    <row r="2308" spans="18:18" x14ac:dyDescent="0.3">
      <c r="R2308" t="s">
        <v>2038</v>
      </c>
    </row>
    <row r="2309" spans="18:18" x14ac:dyDescent="0.3">
      <c r="R2309" t="s">
        <v>3125</v>
      </c>
    </row>
    <row r="2310" spans="18:18" x14ac:dyDescent="0.3">
      <c r="R2310" t="s">
        <v>2039</v>
      </c>
    </row>
    <row r="2311" spans="18:18" x14ac:dyDescent="0.3">
      <c r="R2311" t="s">
        <v>3194</v>
      </c>
    </row>
    <row r="2312" spans="18:18" x14ac:dyDescent="0.3">
      <c r="R2312" t="s">
        <v>4012</v>
      </c>
    </row>
    <row r="2313" spans="18:18" x14ac:dyDescent="0.3">
      <c r="R2313" t="s">
        <v>2616</v>
      </c>
    </row>
    <row r="2314" spans="18:18" x14ac:dyDescent="0.3">
      <c r="R2314" t="s">
        <v>5277</v>
      </c>
    </row>
    <row r="2315" spans="18:18" x14ac:dyDescent="0.3">
      <c r="R2315" t="s">
        <v>5278</v>
      </c>
    </row>
    <row r="2316" spans="18:18" x14ac:dyDescent="0.3">
      <c r="R2316" t="s">
        <v>470</v>
      </c>
    </row>
    <row r="2317" spans="18:18" x14ac:dyDescent="0.3">
      <c r="R2317" t="s">
        <v>3496</v>
      </c>
    </row>
    <row r="2318" spans="18:18" x14ac:dyDescent="0.3">
      <c r="R2318" t="s">
        <v>1607</v>
      </c>
    </row>
    <row r="2319" spans="18:18" x14ac:dyDescent="0.3">
      <c r="R2319" t="s">
        <v>1068</v>
      </c>
    </row>
    <row r="2320" spans="18:18" x14ac:dyDescent="0.3">
      <c r="R2320" t="s">
        <v>859</v>
      </c>
    </row>
    <row r="2321" spans="18:18" x14ac:dyDescent="0.3">
      <c r="R2321" t="s">
        <v>4349</v>
      </c>
    </row>
    <row r="2322" spans="18:18" x14ac:dyDescent="0.3">
      <c r="R2322" t="s">
        <v>637</v>
      </c>
    </row>
    <row r="2323" spans="18:18" x14ac:dyDescent="0.3">
      <c r="R2323" t="s">
        <v>2617</v>
      </c>
    </row>
    <row r="2324" spans="18:18" x14ac:dyDescent="0.3">
      <c r="R2324" t="s">
        <v>4013</v>
      </c>
    </row>
    <row r="2325" spans="18:18" x14ac:dyDescent="0.3">
      <c r="R2325" t="s">
        <v>1069</v>
      </c>
    </row>
    <row r="2326" spans="18:18" x14ac:dyDescent="0.3">
      <c r="R2326" t="s">
        <v>308</v>
      </c>
    </row>
    <row r="2327" spans="18:18" x14ac:dyDescent="0.3">
      <c r="R2327" t="s">
        <v>1218</v>
      </c>
    </row>
    <row r="2328" spans="18:18" x14ac:dyDescent="0.3">
      <c r="R2328" t="s">
        <v>1218</v>
      </c>
    </row>
    <row r="2329" spans="18:18" x14ac:dyDescent="0.3">
      <c r="R2329" t="s">
        <v>4350</v>
      </c>
    </row>
    <row r="2330" spans="18:18" x14ac:dyDescent="0.3">
      <c r="R2330" t="s">
        <v>3497</v>
      </c>
    </row>
    <row r="2331" spans="18:18" x14ac:dyDescent="0.3">
      <c r="R2331" t="s">
        <v>3498</v>
      </c>
    </row>
    <row r="2332" spans="18:18" x14ac:dyDescent="0.3">
      <c r="R2332" t="s">
        <v>2040</v>
      </c>
    </row>
    <row r="2333" spans="18:18" x14ac:dyDescent="0.3">
      <c r="R2333" t="s">
        <v>2618</v>
      </c>
    </row>
    <row r="2334" spans="18:18" x14ac:dyDescent="0.3">
      <c r="R2334" t="s">
        <v>2041</v>
      </c>
    </row>
    <row r="2335" spans="18:18" x14ac:dyDescent="0.3">
      <c r="R2335" t="s">
        <v>3195</v>
      </c>
    </row>
    <row r="2336" spans="18:18" x14ac:dyDescent="0.3">
      <c r="R2336" t="s">
        <v>2042</v>
      </c>
    </row>
    <row r="2337" spans="18:18" x14ac:dyDescent="0.3">
      <c r="R2337" t="s">
        <v>2619</v>
      </c>
    </row>
    <row r="2338" spans="18:18" x14ac:dyDescent="0.3">
      <c r="R2338" t="s">
        <v>203</v>
      </c>
    </row>
    <row r="2339" spans="18:18" x14ac:dyDescent="0.3">
      <c r="R2339" t="s">
        <v>2620</v>
      </c>
    </row>
    <row r="2340" spans="18:18" x14ac:dyDescent="0.3">
      <c r="R2340" t="s">
        <v>2043</v>
      </c>
    </row>
    <row r="2341" spans="18:18" x14ac:dyDescent="0.3">
      <c r="R2341" t="s">
        <v>2621</v>
      </c>
    </row>
    <row r="2342" spans="18:18" x14ac:dyDescent="0.3">
      <c r="R2342" t="s">
        <v>4014</v>
      </c>
    </row>
    <row r="2343" spans="18:18" x14ac:dyDescent="0.3">
      <c r="R2343" t="s">
        <v>1609</v>
      </c>
    </row>
    <row r="2344" spans="18:18" x14ac:dyDescent="0.3">
      <c r="R2344" t="s">
        <v>1609</v>
      </c>
    </row>
    <row r="2345" spans="18:18" x14ac:dyDescent="0.3">
      <c r="R2345" t="s">
        <v>1609</v>
      </c>
    </row>
    <row r="2346" spans="18:18" x14ac:dyDescent="0.3">
      <c r="R2346" t="s">
        <v>2622</v>
      </c>
    </row>
    <row r="2347" spans="18:18" x14ac:dyDescent="0.3">
      <c r="R2347" t="s">
        <v>2623</v>
      </c>
    </row>
    <row r="2348" spans="18:18" x14ac:dyDescent="0.3">
      <c r="R2348" t="s">
        <v>2624</v>
      </c>
    </row>
    <row r="2349" spans="18:18" x14ac:dyDescent="0.3">
      <c r="R2349" t="s">
        <v>2044</v>
      </c>
    </row>
    <row r="2350" spans="18:18" x14ac:dyDescent="0.3">
      <c r="R2350" t="s">
        <v>3499</v>
      </c>
    </row>
    <row r="2351" spans="18:18" x14ac:dyDescent="0.3">
      <c r="R2351" t="s">
        <v>2625</v>
      </c>
    </row>
    <row r="2352" spans="18:18" x14ac:dyDescent="0.3">
      <c r="R2352" t="s">
        <v>5084</v>
      </c>
    </row>
    <row r="2353" spans="18:18" x14ac:dyDescent="0.3">
      <c r="R2353" t="s">
        <v>2045</v>
      </c>
    </row>
    <row r="2354" spans="18:18" x14ac:dyDescent="0.3">
      <c r="R2354" t="s">
        <v>2626</v>
      </c>
    </row>
    <row r="2355" spans="18:18" x14ac:dyDescent="0.3">
      <c r="R2355" t="s">
        <v>2627</v>
      </c>
    </row>
    <row r="2356" spans="18:18" x14ac:dyDescent="0.3">
      <c r="R2356" t="s">
        <v>3500</v>
      </c>
    </row>
    <row r="2357" spans="18:18" x14ac:dyDescent="0.3">
      <c r="R2357" t="s">
        <v>3196</v>
      </c>
    </row>
    <row r="2358" spans="18:18" x14ac:dyDescent="0.3">
      <c r="R2358" t="s">
        <v>5279</v>
      </c>
    </row>
    <row r="2359" spans="18:18" x14ac:dyDescent="0.3">
      <c r="R2359" t="s">
        <v>2628</v>
      </c>
    </row>
    <row r="2360" spans="18:18" x14ac:dyDescent="0.3">
      <c r="R2360" t="s">
        <v>1070</v>
      </c>
    </row>
    <row r="2361" spans="18:18" x14ac:dyDescent="0.3">
      <c r="R2361" t="s">
        <v>2046</v>
      </c>
    </row>
    <row r="2362" spans="18:18" x14ac:dyDescent="0.3">
      <c r="R2362" t="s">
        <v>2047</v>
      </c>
    </row>
    <row r="2363" spans="18:18" x14ac:dyDescent="0.3">
      <c r="R2363" t="s">
        <v>2048</v>
      </c>
    </row>
    <row r="2364" spans="18:18" x14ac:dyDescent="0.3">
      <c r="R2364" t="s">
        <v>2629</v>
      </c>
    </row>
    <row r="2365" spans="18:18" x14ac:dyDescent="0.3">
      <c r="R2365" t="s">
        <v>3501</v>
      </c>
    </row>
    <row r="2366" spans="18:18" x14ac:dyDescent="0.3">
      <c r="R2366" t="s">
        <v>638</v>
      </c>
    </row>
    <row r="2367" spans="18:18" x14ac:dyDescent="0.3">
      <c r="R2367" t="s">
        <v>4015</v>
      </c>
    </row>
    <row r="2368" spans="18:18" x14ac:dyDescent="0.3">
      <c r="R2368" t="s">
        <v>4351</v>
      </c>
    </row>
    <row r="2369" spans="18:18" x14ac:dyDescent="0.3">
      <c r="R2369" t="s">
        <v>3126</v>
      </c>
    </row>
    <row r="2370" spans="18:18" x14ac:dyDescent="0.3">
      <c r="R2370" t="s">
        <v>4016</v>
      </c>
    </row>
    <row r="2371" spans="18:18" x14ac:dyDescent="0.3">
      <c r="R2371" t="s">
        <v>3197</v>
      </c>
    </row>
    <row r="2372" spans="18:18" x14ac:dyDescent="0.3">
      <c r="R2372" t="s">
        <v>1610</v>
      </c>
    </row>
    <row r="2373" spans="18:18" x14ac:dyDescent="0.3">
      <c r="R2373" t="s">
        <v>2049</v>
      </c>
    </row>
    <row r="2374" spans="18:18" x14ac:dyDescent="0.3">
      <c r="R2374" t="s">
        <v>3502</v>
      </c>
    </row>
    <row r="2375" spans="18:18" x14ac:dyDescent="0.3">
      <c r="R2375" t="s">
        <v>2630</v>
      </c>
    </row>
    <row r="2376" spans="18:18" x14ac:dyDescent="0.3">
      <c r="R2376" t="s">
        <v>2630</v>
      </c>
    </row>
    <row r="2377" spans="18:18" x14ac:dyDescent="0.3">
      <c r="R2377" t="s">
        <v>3503</v>
      </c>
    </row>
    <row r="2378" spans="18:18" x14ac:dyDescent="0.3">
      <c r="R2378" t="s">
        <v>2050</v>
      </c>
    </row>
    <row r="2379" spans="18:18" x14ac:dyDescent="0.3">
      <c r="R2379" t="s">
        <v>1071</v>
      </c>
    </row>
    <row r="2380" spans="18:18" x14ac:dyDescent="0.3">
      <c r="R2380" t="s">
        <v>3504</v>
      </c>
    </row>
    <row r="2381" spans="18:18" x14ac:dyDescent="0.3">
      <c r="R2381" t="s">
        <v>204</v>
      </c>
    </row>
    <row r="2382" spans="18:18" x14ac:dyDescent="0.3">
      <c r="R2382" t="s">
        <v>204</v>
      </c>
    </row>
    <row r="2383" spans="18:18" x14ac:dyDescent="0.3">
      <c r="R2383" t="s">
        <v>5280</v>
      </c>
    </row>
    <row r="2384" spans="18:18" x14ac:dyDescent="0.3">
      <c r="R2384" t="s">
        <v>3505</v>
      </c>
    </row>
    <row r="2385" spans="18:18" x14ac:dyDescent="0.3">
      <c r="R2385" t="s">
        <v>471</v>
      </c>
    </row>
    <row r="2386" spans="18:18" x14ac:dyDescent="0.3">
      <c r="R2386" t="s">
        <v>1611</v>
      </c>
    </row>
    <row r="2387" spans="18:18" x14ac:dyDescent="0.3">
      <c r="R2387" t="s">
        <v>2051</v>
      </c>
    </row>
    <row r="2388" spans="18:18" x14ac:dyDescent="0.3">
      <c r="R2388" t="s">
        <v>1072</v>
      </c>
    </row>
    <row r="2389" spans="18:18" x14ac:dyDescent="0.3">
      <c r="R2389" t="s">
        <v>4352</v>
      </c>
    </row>
    <row r="2390" spans="18:18" x14ac:dyDescent="0.3">
      <c r="R2390" t="s">
        <v>3506</v>
      </c>
    </row>
    <row r="2391" spans="18:18" x14ac:dyDescent="0.3">
      <c r="R2391" t="s">
        <v>4999</v>
      </c>
    </row>
    <row r="2392" spans="18:18" x14ac:dyDescent="0.3">
      <c r="R2392" t="s">
        <v>472</v>
      </c>
    </row>
    <row r="2393" spans="18:18" x14ac:dyDescent="0.3">
      <c r="R2393" t="s">
        <v>1413</v>
      </c>
    </row>
    <row r="2394" spans="18:18" x14ac:dyDescent="0.3">
      <c r="R2394" t="s">
        <v>1413</v>
      </c>
    </row>
    <row r="2395" spans="18:18" x14ac:dyDescent="0.3">
      <c r="R2395" t="s">
        <v>1819</v>
      </c>
    </row>
    <row r="2396" spans="18:18" x14ac:dyDescent="0.3">
      <c r="R2396" t="s">
        <v>1414</v>
      </c>
    </row>
    <row r="2397" spans="18:18" x14ac:dyDescent="0.3">
      <c r="R2397" t="s">
        <v>136</v>
      </c>
    </row>
    <row r="2398" spans="18:18" x14ac:dyDescent="0.3">
      <c r="R2398" t="s">
        <v>4696</v>
      </c>
    </row>
    <row r="2399" spans="18:18" x14ac:dyDescent="0.3">
      <c r="R2399" t="s">
        <v>3507</v>
      </c>
    </row>
    <row r="2400" spans="18:18" x14ac:dyDescent="0.3">
      <c r="R2400" t="s">
        <v>3508</v>
      </c>
    </row>
    <row r="2401" spans="18:18" x14ac:dyDescent="0.3">
      <c r="R2401" t="s">
        <v>5281</v>
      </c>
    </row>
    <row r="2402" spans="18:18" x14ac:dyDescent="0.3">
      <c r="R2402" t="s">
        <v>3509</v>
      </c>
    </row>
    <row r="2403" spans="18:18" x14ac:dyDescent="0.3">
      <c r="R2403" t="s">
        <v>2052</v>
      </c>
    </row>
    <row r="2404" spans="18:18" x14ac:dyDescent="0.3">
      <c r="R2404" t="s">
        <v>4697</v>
      </c>
    </row>
    <row r="2405" spans="18:18" x14ac:dyDescent="0.3">
      <c r="R2405" t="s">
        <v>5000</v>
      </c>
    </row>
    <row r="2406" spans="18:18" x14ac:dyDescent="0.3">
      <c r="R2406" t="s">
        <v>1612</v>
      </c>
    </row>
    <row r="2407" spans="18:18" x14ac:dyDescent="0.3">
      <c r="R2407" t="s">
        <v>3127</v>
      </c>
    </row>
    <row r="2408" spans="18:18" x14ac:dyDescent="0.3">
      <c r="R2408" t="s">
        <v>2053</v>
      </c>
    </row>
    <row r="2409" spans="18:18" x14ac:dyDescent="0.3">
      <c r="R2409" t="s">
        <v>3510</v>
      </c>
    </row>
    <row r="2410" spans="18:18" x14ac:dyDescent="0.3">
      <c r="R2410" t="s">
        <v>1073</v>
      </c>
    </row>
    <row r="2411" spans="18:18" x14ac:dyDescent="0.3">
      <c r="R2411" t="s">
        <v>3511</v>
      </c>
    </row>
    <row r="2412" spans="18:18" x14ac:dyDescent="0.3">
      <c r="R2412" t="s">
        <v>5282</v>
      </c>
    </row>
    <row r="2413" spans="18:18" x14ac:dyDescent="0.3">
      <c r="R2413" t="s">
        <v>4698</v>
      </c>
    </row>
    <row r="2414" spans="18:18" x14ac:dyDescent="0.3">
      <c r="R2414" t="s">
        <v>3198</v>
      </c>
    </row>
    <row r="2415" spans="18:18" x14ac:dyDescent="0.3">
      <c r="R2415" t="s">
        <v>2631</v>
      </c>
    </row>
    <row r="2416" spans="18:18" x14ac:dyDescent="0.3">
      <c r="R2416" t="s">
        <v>3512</v>
      </c>
    </row>
    <row r="2417" spans="18:18" x14ac:dyDescent="0.3">
      <c r="R2417" t="s">
        <v>4699</v>
      </c>
    </row>
    <row r="2418" spans="18:18" x14ac:dyDescent="0.3">
      <c r="R2418" t="s">
        <v>2054</v>
      </c>
    </row>
    <row r="2419" spans="18:18" x14ac:dyDescent="0.3">
      <c r="R2419" t="s">
        <v>3513</v>
      </c>
    </row>
    <row r="2420" spans="18:18" x14ac:dyDescent="0.3">
      <c r="R2420" t="s">
        <v>1074</v>
      </c>
    </row>
    <row r="2421" spans="18:18" x14ac:dyDescent="0.3">
      <c r="R2421" t="s">
        <v>1415</v>
      </c>
    </row>
    <row r="2422" spans="18:18" x14ac:dyDescent="0.3">
      <c r="R2422" t="s">
        <v>1219</v>
      </c>
    </row>
    <row r="2423" spans="18:18" x14ac:dyDescent="0.3">
      <c r="R2423" t="s">
        <v>2632</v>
      </c>
    </row>
    <row r="2424" spans="18:18" x14ac:dyDescent="0.3">
      <c r="R2424" t="s">
        <v>5085</v>
      </c>
    </row>
    <row r="2425" spans="18:18" x14ac:dyDescent="0.3">
      <c r="R2425" t="s">
        <v>401</v>
      </c>
    </row>
    <row r="2426" spans="18:18" x14ac:dyDescent="0.3">
      <c r="R2426" t="s">
        <v>5283</v>
      </c>
    </row>
    <row r="2427" spans="18:18" x14ac:dyDescent="0.3">
      <c r="R2427" t="s">
        <v>860</v>
      </c>
    </row>
    <row r="2428" spans="18:18" x14ac:dyDescent="0.3">
      <c r="R2428" t="s">
        <v>2633</v>
      </c>
    </row>
    <row r="2429" spans="18:18" x14ac:dyDescent="0.3">
      <c r="R2429" t="s">
        <v>4017</v>
      </c>
    </row>
    <row r="2430" spans="18:18" x14ac:dyDescent="0.3">
      <c r="R2430" t="s">
        <v>2634</v>
      </c>
    </row>
    <row r="2431" spans="18:18" x14ac:dyDescent="0.3">
      <c r="R2431" t="s">
        <v>2635</v>
      </c>
    </row>
    <row r="2432" spans="18:18" x14ac:dyDescent="0.3">
      <c r="R2432" t="s">
        <v>639</v>
      </c>
    </row>
    <row r="2433" spans="18:18" x14ac:dyDescent="0.3">
      <c r="R2433" t="s">
        <v>5086</v>
      </c>
    </row>
    <row r="2434" spans="18:18" x14ac:dyDescent="0.3">
      <c r="R2434" t="s">
        <v>3514</v>
      </c>
    </row>
    <row r="2435" spans="18:18" x14ac:dyDescent="0.3">
      <c r="R2435" t="s">
        <v>3515</v>
      </c>
    </row>
    <row r="2436" spans="18:18" x14ac:dyDescent="0.3">
      <c r="R2436" t="s">
        <v>2055</v>
      </c>
    </row>
    <row r="2437" spans="18:18" x14ac:dyDescent="0.3">
      <c r="R2437" t="s">
        <v>2056</v>
      </c>
    </row>
    <row r="2438" spans="18:18" x14ac:dyDescent="0.3">
      <c r="R2438" t="s">
        <v>3516</v>
      </c>
    </row>
    <row r="2439" spans="18:18" x14ac:dyDescent="0.3">
      <c r="R2439" t="s">
        <v>2057</v>
      </c>
    </row>
    <row r="2440" spans="18:18" x14ac:dyDescent="0.3">
      <c r="R2440" t="s">
        <v>3517</v>
      </c>
    </row>
    <row r="2441" spans="18:18" x14ac:dyDescent="0.3">
      <c r="R2441" t="s">
        <v>2058</v>
      </c>
    </row>
    <row r="2442" spans="18:18" x14ac:dyDescent="0.3">
      <c r="R2442" t="s">
        <v>2059</v>
      </c>
    </row>
    <row r="2443" spans="18:18" x14ac:dyDescent="0.3">
      <c r="R2443" t="s">
        <v>2636</v>
      </c>
    </row>
    <row r="2444" spans="18:18" x14ac:dyDescent="0.3">
      <c r="R2444" t="s">
        <v>2637</v>
      </c>
    </row>
    <row r="2445" spans="18:18" x14ac:dyDescent="0.3">
      <c r="R2445" t="s">
        <v>5284</v>
      </c>
    </row>
    <row r="2446" spans="18:18" x14ac:dyDescent="0.3">
      <c r="R2446" t="s">
        <v>2638</v>
      </c>
    </row>
    <row r="2447" spans="18:18" x14ac:dyDescent="0.3">
      <c r="R2447" t="s">
        <v>3518</v>
      </c>
    </row>
    <row r="2448" spans="18:18" x14ac:dyDescent="0.3">
      <c r="R2448" t="s">
        <v>309</v>
      </c>
    </row>
    <row r="2449" spans="18:18" x14ac:dyDescent="0.3">
      <c r="R2449" t="s">
        <v>4353</v>
      </c>
    </row>
    <row r="2450" spans="18:18" x14ac:dyDescent="0.3">
      <c r="R2450" t="s">
        <v>2639</v>
      </c>
    </row>
    <row r="2451" spans="18:18" x14ac:dyDescent="0.3">
      <c r="R2451" t="s">
        <v>2640</v>
      </c>
    </row>
    <row r="2452" spans="18:18" x14ac:dyDescent="0.3">
      <c r="R2452" t="s">
        <v>3519</v>
      </c>
    </row>
    <row r="2453" spans="18:18" x14ac:dyDescent="0.3">
      <c r="R2453" t="s">
        <v>2060</v>
      </c>
    </row>
    <row r="2454" spans="18:18" x14ac:dyDescent="0.3">
      <c r="R2454" t="s">
        <v>3128</v>
      </c>
    </row>
    <row r="2455" spans="18:18" x14ac:dyDescent="0.3">
      <c r="R2455" t="s">
        <v>4018</v>
      </c>
    </row>
    <row r="2456" spans="18:18" x14ac:dyDescent="0.3">
      <c r="R2456" t="s">
        <v>4019</v>
      </c>
    </row>
    <row r="2457" spans="18:18" x14ac:dyDescent="0.3">
      <c r="R2457" t="s">
        <v>4020</v>
      </c>
    </row>
    <row r="2458" spans="18:18" x14ac:dyDescent="0.3">
      <c r="R2458" t="s">
        <v>4021</v>
      </c>
    </row>
    <row r="2459" spans="18:18" x14ac:dyDescent="0.3">
      <c r="R2459" t="s">
        <v>5001</v>
      </c>
    </row>
    <row r="2460" spans="18:18" x14ac:dyDescent="0.3">
      <c r="R2460" t="s">
        <v>5285</v>
      </c>
    </row>
    <row r="2461" spans="18:18" x14ac:dyDescent="0.3">
      <c r="R2461" t="s">
        <v>4700</v>
      </c>
    </row>
    <row r="2462" spans="18:18" x14ac:dyDescent="0.3">
      <c r="R2462" t="s">
        <v>4701</v>
      </c>
    </row>
    <row r="2463" spans="18:18" x14ac:dyDescent="0.3">
      <c r="R2463" t="s">
        <v>1613</v>
      </c>
    </row>
    <row r="2464" spans="18:18" x14ac:dyDescent="0.3">
      <c r="R2464" t="s">
        <v>4354</v>
      </c>
    </row>
    <row r="2465" spans="18:18" x14ac:dyDescent="0.3">
      <c r="R2465" t="s">
        <v>2061</v>
      </c>
    </row>
    <row r="2466" spans="18:18" x14ac:dyDescent="0.3">
      <c r="R2466" t="s">
        <v>2061</v>
      </c>
    </row>
    <row r="2467" spans="18:18" x14ac:dyDescent="0.3">
      <c r="R2467" t="s">
        <v>4022</v>
      </c>
    </row>
    <row r="2468" spans="18:18" x14ac:dyDescent="0.3">
      <c r="R2468" t="s">
        <v>4702</v>
      </c>
    </row>
    <row r="2469" spans="18:18" x14ac:dyDescent="0.3">
      <c r="R2469" t="s">
        <v>3520</v>
      </c>
    </row>
    <row r="2470" spans="18:18" x14ac:dyDescent="0.3">
      <c r="R2470" t="s">
        <v>2641</v>
      </c>
    </row>
    <row r="2471" spans="18:18" x14ac:dyDescent="0.3">
      <c r="R2471" t="s">
        <v>1220</v>
      </c>
    </row>
    <row r="2472" spans="18:18" x14ac:dyDescent="0.3">
      <c r="R2472" t="s">
        <v>2062</v>
      </c>
    </row>
    <row r="2473" spans="18:18" x14ac:dyDescent="0.3">
      <c r="R2473" t="s">
        <v>1416</v>
      </c>
    </row>
    <row r="2474" spans="18:18" x14ac:dyDescent="0.3">
      <c r="R2474" t="s">
        <v>1732</v>
      </c>
    </row>
    <row r="2475" spans="18:18" x14ac:dyDescent="0.3">
      <c r="R2475" t="s">
        <v>310</v>
      </c>
    </row>
    <row r="2476" spans="18:18" x14ac:dyDescent="0.3">
      <c r="R2476" t="s">
        <v>3521</v>
      </c>
    </row>
    <row r="2477" spans="18:18" x14ac:dyDescent="0.3">
      <c r="R2477" t="s">
        <v>4023</v>
      </c>
    </row>
    <row r="2478" spans="18:18" x14ac:dyDescent="0.3">
      <c r="R2478" t="s">
        <v>3522</v>
      </c>
    </row>
    <row r="2479" spans="18:18" x14ac:dyDescent="0.3">
      <c r="R2479" t="s">
        <v>5087</v>
      </c>
    </row>
    <row r="2480" spans="18:18" x14ac:dyDescent="0.3">
      <c r="R2480" t="s">
        <v>2642</v>
      </c>
    </row>
    <row r="2481" spans="18:18" x14ac:dyDescent="0.3">
      <c r="R2481" t="s">
        <v>4355</v>
      </c>
    </row>
    <row r="2482" spans="18:18" x14ac:dyDescent="0.3">
      <c r="R2482" t="s">
        <v>2063</v>
      </c>
    </row>
    <row r="2483" spans="18:18" x14ac:dyDescent="0.3">
      <c r="R2483" t="s">
        <v>861</v>
      </c>
    </row>
    <row r="2484" spans="18:18" x14ac:dyDescent="0.3">
      <c r="R2484" t="s">
        <v>2643</v>
      </c>
    </row>
    <row r="2485" spans="18:18" x14ac:dyDescent="0.3">
      <c r="R2485" t="s">
        <v>1733</v>
      </c>
    </row>
    <row r="2486" spans="18:18" x14ac:dyDescent="0.3">
      <c r="R2486" t="s">
        <v>4703</v>
      </c>
    </row>
    <row r="2487" spans="18:18" x14ac:dyDescent="0.3">
      <c r="R2487" t="s">
        <v>311</v>
      </c>
    </row>
    <row r="2488" spans="18:18" x14ac:dyDescent="0.3">
      <c r="R2488" t="s">
        <v>3523</v>
      </c>
    </row>
    <row r="2489" spans="18:18" x14ac:dyDescent="0.3">
      <c r="R2489" t="s">
        <v>2644</v>
      </c>
    </row>
    <row r="2490" spans="18:18" x14ac:dyDescent="0.3">
      <c r="R2490" t="s">
        <v>2644</v>
      </c>
    </row>
    <row r="2491" spans="18:18" x14ac:dyDescent="0.3">
      <c r="R2491" t="s">
        <v>4024</v>
      </c>
    </row>
    <row r="2492" spans="18:18" x14ac:dyDescent="0.3">
      <c r="R2492" t="s">
        <v>2064</v>
      </c>
    </row>
    <row r="2493" spans="18:18" x14ac:dyDescent="0.3">
      <c r="R2493" t="s">
        <v>2645</v>
      </c>
    </row>
    <row r="2494" spans="18:18" x14ac:dyDescent="0.3">
      <c r="R2494" t="s">
        <v>4704</v>
      </c>
    </row>
    <row r="2495" spans="18:18" x14ac:dyDescent="0.3">
      <c r="R2495" t="s">
        <v>2065</v>
      </c>
    </row>
    <row r="2496" spans="18:18" x14ac:dyDescent="0.3">
      <c r="R2496" t="s">
        <v>3129</v>
      </c>
    </row>
    <row r="2497" spans="18:18" x14ac:dyDescent="0.3">
      <c r="R2497" t="s">
        <v>1075</v>
      </c>
    </row>
    <row r="2498" spans="18:18" x14ac:dyDescent="0.3">
      <c r="R2498" t="s">
        <v>4705</v>
      </c>
    </row>
    <row r="2499" spans="18:18" x14ac:dyDescent="0.3">
      <c r="R2499" t="s">
        <v>4025</v>
      </c>
    </row>
    <row r="2500" spans="18:18" x14ac:dyDescent="0.3">
      <c r="R2500" t="s">
        <v>1076</v>
      </c>
    </row>
    <row r="2501" spans="18:18" x14ac:dyDescent="0.3">
      <c r="R2501" t="s">
        <v>1077</v>
      </c>
    </row>
    <row r="2502" spans="18:18" x14ac:dyDescent="0.3">
      <c r="R2502" t="s">
        <v>2066</v>
      </c>
    </row>
    <row r="2503" spans="18:18" x14ac:dyDescent="0.3">
      <c r="R2503" t="s">
        <v>3524</v>
      </c>
    </row>
    <row r="2504" spans="18:18" x14ac:dyDescent="0.3">
      <c r="R2504" t="s">
        <v>1078</v>
      </c>
    </row>
    <row r="2505" spans="18:18" x14ac:dyDescent="0.3">
      <c r="R2505" t="s">
        <v>4356</v>
      </c>
    </row>
    <row r="2506" spans="18:18" x14ac:dyDescent="0.3">
      <c r="R2506" t="s">
        <v>2646</v>
      </c>
    </row>
    <row r="2507" spans="18:18" x14ac:dyDescent="0.3">
      <c r="R2507" t="s">
        <v>862</v>
      </c>
    </row>
    <row r="2508" spans="18:18" x14ac:dyDescent="0.3">
      <c r="R2508" t="s">
        <v>3525</v>
      </c>
    </row>
    <row r="2509" spans="18:18" x14ac:dyDescent="0.3">
      <c r="R2509" t="s">
        <v>3526</v>
      </c>
    </row>
    <row r="2510" spans="18:18" x14ac:dyDescent="0.3">
      <c r="R2510" t="s">
        <v>2647</v>
      </c>
    </row>
    <row r="2511" spans="18:18" x14ac:dyDescent="0.3">
      <c r="R2511" t="s">
        <v>2648</v>
      </c>
    </row>
    <row r="2512" spans="18:18" x14ac:dyDescent="0.3">
      <c r="R2512" t="s">
        <v>5286</v>
      </c>
    </row>
    <row r="2513" spans="18:18" x14ac:dyDescent="0.3">
      <c r="R2513" t="s">
        <v>4026</v>
      </c>
    </row>
    <row r="2514" spans="18:18" x14ac:dyDescent="0.3">
      <c r="R2514" t="s">
        <v>1221</v>
      </c>
    </row>
    <row r="2515" spans="18:18" x14ac:dyDescent="0.3">
      <c r="R2515" t="s">
        <v>1221</v>
      </c>
    </row>
    <row r="2516" spans="18:18" x14ac:dyDescent="0.3">
      <c r="R2516" t="s">
        <v>3527</v>
      </c>
    </row>
    <row r="2517" spans="18:18" x14ac:dyDescent="0.3">
      <c r="R2517" t="s">
        <v>1222</v>
      </c>
    </row>
    <row r="2518" spans="18:18" x14ac:dyDescent="0.3">
      <c r="R2518" t="s">
        <v>5088</v>
      </c>
    </row>
    <row r="2519" spans="18:18" x14ac:dyDescent="0.3">
      <c r="R2519" t="s">
        <v>4027</v>
      </c>
    </row>
    <row r="2520" spans="18:18" x14ac:dyDescent="0.3">
      <c r="R2520" t="s">
        <v>2649</v>
      </c>
    </row>
    <row r="2521" spans="18:18" x14ac:dyDescent="0.3">
      <c r="R2521" t="s">
        <v>1223</v>
      </c>
    </row>
    <row r="2522" spans="18:18" x14ac:dyDescent="0.3">
      <c r="R2522" t="s">
        <v>2650</v>
      </c>
    </row>
    <row r="2523" spans="18:18" x14ac:dyDescent="0.3">
      <c r="R2523" t="s">
        <v>1734</v>
      </c>
    </row>
    <row r="2524" spans="18:18" x14ac:dyDescent="0.3">
      <c r="R2524" t="s">
        <v>1820</v>
      </c>
    </row>
    <row r="2525" spans="18:18" x14ac:dyDescent="0.3">
      <c r="R2525" t="s">
        <v>3199</v>
      </c>
    </row>
    <row r="2526" spans="18:18" x14ac:dyDescent="0.3">
      <c r="R2526" t="s">
        <v>1224</v>
      </c>
    </row>
    <row r="2527" spans="18:18" x14ac:dyDescent="0.3">
      <c r="R2527" t="s">
        <v>4028</v>
      </c>
    </row>
    <row r="2528" spans="18:18" x14ac:dyDescent="0.3">
      <c r="R2528" t="s">
        <v>1821</v>
      </c>
    </row>
    <row r="2529" spans="18:18" x14ac:dyDescent="0.3">
      <c r="R2529" t="s">
        <v>2651</v>
      </c>
    </row>
    <row r="2530" spans="18:18" x14ac:dyDescent="0.3">
      <c r="R2530" t="s">
        <v>5002</v>
      </c>
    </row>
    <row r="2531" spans="18:18" x14ac:dyDescent="0.3">
      <c r="R2531" t="s">
        <v>205</v>
      </c>
    </row>
    <row r="2532" spans="18:18" x14ac:dyDescent="0.3">
      <c r="R2532" t="s">
        <v>205</v>
      </c>
    </row>
    <row r="2533" spans="18:18" x14ac:dyDescent="0.3">
      <c r="R2533" t="s">
        <v>1614</v>
      </c>
    </row>
    <row r="2534" spans="18:18" x14ac:dyDescent="0.3">
      <c r="R2534" t="s">
        <v>4706</v>
      </c>
    </row>
    <row r="2535" spans="18:18" x14ac:dyDescent="0.3">
      <c r="R2535" t="s">
        <v>5287</v>
      </c>
    </row>
    <row r="2536" spans="18:18" x14ac:dyDescent="0.3">
      <c r="R2536" t="s">
        <v>4357</v>
      </c>
    </row>
    <row r="2537" spans="18:18" x14ac:dyDescent="0.3">
      <c r="R2537" t="s">
        <v>5003</v>
      </c>
    </row>
    <row r="2538" spans="18:18" x14ac:dyDescent="0.3">
      <c r="R2538" t="s">
        <v>1735</v>
      </c>
    </row>
    <row r="2539" spans="18:18" x14ac:dyDescent="0.3">
      <c r="R2539" t="s">
        <v>1079</v>
      </c>
    </row>
    <row r="2540" spans="18:18" x14ac:dyDescent="0.3">
      <c r="R2540" t="s">
        <v>1079</v>
      </c>
    </row>
    <row r="2541" spans="18:18" x14ac:dyDescent="0.3">
      <c r="R2541" t="s">
        <v>4029</v>
      </c>
    </row>
    <row r="2542" spans="18:18" x14ac:dyDescent="0.3">
      <c r="R2542" t="s">
        <v>1225</v>
      </c>
    </row>
    <row r="2543" spans="18:18" x14ac:dyDescent="0.3">
      <c r="R2543" t="s">
        <v>1226</v>
      </c>
    </row>
    <row r="2544" spans="18:18" x14ac:dyDescent="0.3">
      <c r="R2544" t="s">
        <v>863</v>
      </c>
    </row>
    <row r="2545" spans="18:18" x14ac:dyDescent="0.3">
      <c r="R2545" t="s">
        <v>1227</v>
      </c>
    </row>
    <row r="2546" spans="18:18" x14ac:dyDescent="0.3">
      <c r="R2546" t="s">
        <v>4030</v>
      </c>
    </row>
    <row r="2547" spans="18:18" x14ac:dyDescent="0.3">
      <c r="R2547" t="s">
        <v>3528</v>
      </c>
    </row>
    <row r="2548" spans="18:18" x14ac:dyDescent="0.3">
      <c r="R2548" t="s">
        <v>3528</v>
      </c>
    </row>
    <row r="2549" spans="18:18" x14ac:dyDescent="0.3">
      <c r="R2549" t="s">
        <v>4707</v>
      </c>
    </row>
    <row r="2550" spans="18:18" x14ac:dyDescent="0.3">
      <c r="R2550" t="s">
        <v>3529</v>
      </c>
    </row>
    <row r="2551" spans="18:18" x14ac:dyDescent="0.3">
      <c r="R2551" t="s">
        <v>110</v>
      </c>
    </row>
    <row r="2552" spans="18:18" x14ac:dyDescent="0.3">
      <c r="R2552" t="s">
        <v>5288</v>
      </c>
    </row>
    <row r="2553" spans="18:18" x14ac:dyDescent="0.3">
      <c r="R2553" t="s">
        <v>4031</v>
      </c>
    </row>
    <row r="2554" spans="18:18" x14ac:dyDescent="0.3">
      <c r="R2554" t="s">
        <v>1615</v>
      </c>
    </row>
    <row r="2555" spans="18:18" x14ac:dyDescent="0.3">
      <c r="R2555" t="s">
        <v>5004</v>
      </c>
    </row>
    <row r="2556" spans="18:18" x14ac:dyDescent="0.3">
      <c r="R2556" t="s">
        <v>1080</v>
      </c>
    </row>
    <row r="2557" spans="18:18" x14ac:dyDescent="0.3">
      <c r="R2557" t="s">
        <v>640</v>
      </c>
    </row>
    <row r="2558" spans="18:18" x14ac:dyDescent="0.3">
      <c r="R2558" t="s">
        <v>640</v>
      </c>
    </row>
    <row r="2559" spans="18:18" x14ac:dyDescent="0.3">
      <c r="R2559" t="s">
        <v>864</v>
      </c>
    </row>
    <row r="2560" spans="18:18" x14ac:dyDescent="0.3">
      <c r="R2560" t="s">
        <v>3530</v>
      </c>
    </row>
    <row r="2561" spans="18:18" x14ac:dyDescent="0.3">
      <c r="R2561" t="s">
        <v>473</v>
      </c>
    </row>
    <row r="2562" spans="18:18" x14ac:dyDescent="0.3">
      <c r="R2562" t="s">
        <v>5289</v>
      </c>
    </row>
    <row r="2563" spans="18:18" x14ac:dyDescent="0.3">
      <c r="R2563" t="s">
        <v>5089</v>
      </c>
    </row>
    <row r="2564" spans="18:18" x14ac:dyDescent="0.3">
      <c r="R2564" t="s">
        <v>2652</v>
      </c>
    </row>
    <row r="2565" spans="18:18" x14ac:dyDescent="0.3">
      <c r="R2565" t="s">
        <v>2653</v>
      </c>
    </row>
    <row r="2566" spans="18:18" x14ac:dyDescent="0.3">
      <c r="R2566" t="s">
        <v>641</v>
      </c>
    </row>
    <row r="2567" spans="18:18" x14ac:dyDescent="0.3">
      <c r="R2567" t="s">
        <v>2654</v>
      </c>
    </row>
    <row r="2568" spans="18:18" x14ac:dyDescent="0.3">
      <c r="R2568" t="s">
        <v>1736</v>
      </c>
    </row>
    <row r="2569" spans="18:18" x14ac:dyDescent="0.3">
      <c r="R2569" t="s">
        <v>2067</v>
      </c>
    </row>
    <row r="2570" spans="18:18" x14ac:dyDescent="0.3">
      <c r="R2570" t="s">
        <v>2655</v>
      </c>
    </row>
    <row r="2571" spans="18:18" x14ac:dyDescent="0.3">
      <c r="R2571" t="s">
        <v>2656</v>
      </c>
    </row>
    <row r="2572" spans="18:18" x14ac:dyDescent="0.3">
      <c r="R2572" t="s">
        <v>2657</v>
      </c>
    </row>
    <row r="2573" spans="18:18" x14ac:dyDescent="0.3">
      <c r="R2573" t="s">
        <v>2068</v>
      </c>
    </row>
    <row r="2574" spans="18:18" x14ac:dyDescent="0.3">
      <c r="R2574" t="s">
        <v>1417</v>
      </c>
    </row>
    <row r="2575" spans="18:18" x14ac:dyDescent="0.3">
      <c r="R2575" t="s">
        <v>3531</v>
      </c>
    </row>
    <row r="2576" spans="18:18" x14ac:dyDescent="0.3">
      <c r="R2576" t="s">
        <v>3130</v>
      </c>
    </row>
    <row r="2577" spans="18:18" x14ac:dyDescent="0.3">
      <c r="R2577" t="s">
        <v>865</v>
      </c>
    </row>
    <row r="2578" spans="18:18" x14ac:dyDescent="0.3">
      <c r="R2578" t="s">
        <v>2658</v>
      </c>
    </row>
    <row r="2579" spans="18:18" x14ac:dyDescent="0.3">
      <c r="R2579" t="s">
        <v>4032</v>
      </c>
    </row>
    <row r="2580" spans="18:18" x14ac:dyDescent="0.3">
      <c r="R2580" t="s">
        <v>5290</v>
      </c>
    </row>
    <row r="2581" spans="18:18" x14ac:dyDescent="0.3">
      <c r="R2581" t="s">
        <v>1081</v>
      </c>
    </row>
    <row r="2582" spans="18:18" x14ac:dyDescent="0.3">
      <c r="R2582" t="s">
        <v>111</v>
      </c>
    </row>
    <row r="2583" spans="18:18" x14ac:dyDescent="0.3">
      <c r="R2583" t="s">
        <v>2069</v>
      </c>
    </row>
    <row r="2584" spans="18:18" x14ac:dyDescent="0.3">
      <c r="R2584" t="s">
        <v>2070</v>
      </c>
    </row>
    <row r="2585" spans="18:18" x14ac:dyDescent="0.3">
      <c r="R2585" t="s">
        <v>4358</v>
      </c>
    </row>
    <row r="2586" spans="18:18" x14ac:dyDescent="0.3">
      <c r="R2586" t="s">
        <v>2659</v>
      </c>
    </row>
    <row r="2587" spans="18:18" x14ac:dyDescent="0.3">
      <c r="R2587" t="s">
        <v>2660</v>
      </c>
    </row>
    <row r="2588" spans="18:18" x14ac:dyDescent="0.3">
      <c r="R2588" t="s">
        <v>3532</v>
      </c>
    </row>
    <row r="2589" spans="18:18" x14ac:dyDescent="0.3">
      <c r="R2589" t="s">
        <v>1616</v>
      </c>
    </row>
    <row r="2590" spans="18:18" x14ac:dyDescent="0.3">
      <c r="R2590" t="s">
        <v>1228</v>
      </c>
    </row>
    <row r="2591" spans="18:18" x14ac:dyDescent="0.3">
      <c r="R2591" t="s">
        <v>866</v>
      </c>
    </row>
    <row r="2592" spans="18:18" x14ac:dyDescent="0.3">
      <c r="R2592" t="s">
        <v>1229</v>
      </c>
    </row>
    <row r="2593" spans="18:18" x14ac:dyDescent="0.3">
      <c r="R2593" t="s">
        <v>2071</v>
      </c>
    </row>
    <row r="2594" spans="18:18" x14ac:dyDescent="0.3">
      <c r="R2594" t="s">
        <v>642</v>
      </c>
    </row>
    <row r="2595" spans="18:18" x14ac:dyDescent="0.3">
      <c r="R2595" t="s">
        <v>2661</v>
      </c>
    </row>
    <row r="2596" spans="18:18" x14ac:dyDescent="0.3">
      <c r="R2596" t="s">
        <v>3131</v>
      </c>
    </row>
    <row r="2597" spans="18:18" x14ac:dyDescent="0.3">
      <c r="R2597" t="s">
        <v>1418</v>
      </c>
    </row>
    <row r="2598" spans="18:18" x14ac:dyDescent="0.3">
      <c r="R2598" t="s">
        <v>2662</v>
      </c>
    </row>
    <row r="2599" spans="18:18" x14ac:dyDescent="0.3">
      <c r="R2599" t="s">
        <v>3533</v>
      </c>
    </row>
    <row r="2600" spans="18:18" x14ac:dyDescent="0.3">
      <c r="R2600" t="s">
        <v>2663</v>
      </c>
    </row>
    <row r="2601" spans="18:18" x14ac:dyDescent="0.3">
      <c r="R2601" t="s">
        <v>1737</v>
      </c>
    </row>
    <row r="2602" spans="18:18" x14ac:dyDescent="0.3">
      <c r="R2602" t="s">
        <v>1617</v>
      </c>
    </row>
    <row r="2603" spans="18:18" x14ac:dyDescent="0.3">
      <c r="R2603" t="s">
        <v>867</v>
      </c>
    </row>
    <row r="2604" spans="18:18" x14ac:dyDescent="0.3">
      <c r="R2604" t="s">
        <v>4033</v>
      </c>
    </row>
    <row r="2605" spans="18:18" x14ac:dyDescent="0.3">
      <c r="R2605" t="s">
        <v>1486</v>
      </c>
    </row>
    <row r="2606" spans="18:18" x14ac:dyDescent="0.3">
      <c r="R2606" t="s">
        <v>868</v>
      </c>
    </row>
    <row r="2607" spans="18:18" x14ac:dyDescent="0.3">
      <c r="R2607" t="s">
        <v>4708</v>
      </c>
    </row>
    <row r="2608" spans="18:18" x14ac:dyDescent="0.3">
      <c r="R2608" t="s">
        <v>4359</v>
      </c>
    </row>
    <row r="2609" spans="18:18" x14ac:dyDescent="0.3">
      <c r="R2609" t="s">
        <v>2664</v>
      </c>
    </row>
    <row r="2610" spans="18:18" x14ac:dyDescent="0.3">
      <c r="R2610" t="s">
        <v>160</v>
      </c>
    </row>
    <row r="2611" spans="18:18" x14ac:dyDescent="0.3">
      <c r="R2611" t="s">
        <v>4360</v>
      </c>
    </row>
    <row r="2612" spans="18:18" x14ac:dyDescent="0.3">
      <c r="R2612" t="s">
        <v>3534</v>
      </c>
    </row>
    <row r="2613" spans="18:18" x14ac:dyDescent="0.3">
      <c r="R2613" t="s">
        <v>1230</v>
      </c>
    </row>
    <row r="2614" spans="18:18" x14ac:dyDescent="0.3">
      <c r="R2614" t="s">
        <v>869</v>
      </c>
    </row>
    <row r="2615" spans="18:18" x14ac:dyDescent="0.3">
      <c r="R2615" t="s">
        <v>2665</v>
      </c>
    </row>
    <row r="2616" spans="18:18" x14ac:dyDescent="0.3">
      <c r="R2616" t="s">
        <v>2666</v>
      </c>
    </row>
    <row r="2617" spans="18:18" x14ac:dyDescent="0.3">
      <c r="R2617" t="s">
        <v>643</v>
      </c>
    </row>
    <row r="2618" spans="18:18" x14ac:dyDescent="0.3">
      <c r="R2618" t="s">
        <v>2667</v>
      </c>
    </row>
    <row r="2619" spans="18:18" x14ac:dyDescent="0.3">
      <c r="R2619" t="s">
        <v>5291</v>
      </c>
    </row>
    <row r="2620" spans="18:18" x14ac:dyDescent="0.3">
      <c r="R2620" t="s">
        <v>5090</v>
      </c>
    </row>
    <row r="2621" spans="18:18" x14ac:dyDescent="0.3">
      <c r="R2621" t="s">
        <v>1419</v>
      </c>
    </row>
    <row r="2622" spans="18:18" x14ac:dyDescent="0.3">
      <c r="R2622" t="s">
        <v>474</v>
      </c>
    </row>
    <row r="2623" spans="18:18" x14ac:dyDescent="0.3">
      <c r="R2623" t="s">
        <v>2668</v>
      </c>
    </row>
    <row r="2624" spans="18:18" x14ac:dyDescent="0.3">
      <c r="R2624" t="s">
        <v>1420</v>
      </c>
    </row>
    <row r="2625" spans="18:18" x14ac:dyDescent="0.3">
      <c r="R2625" t="s">
        <v>2072</v>
      </c>
    </row>
    <row r="2626" spans="18:18" x14ac:dyDescent="0.3">
      <c r="R2626" t="s">
        <v>1082</v>
      </c>
    </row>
    <row r="2627" spans="18:18" x14ac:dyDescent="0.3">
      <c r="R2627" t="s">
        <v>870</v>
      </c>
    </row>
    <row r="2628" spans="18:18" x14ac:dyDescent="0.3">
      <c r="R2628" t="s">
        <v>1083</v>
      </c>
    </row>
    <row r="2629" spans="18:18" x14ac:dyDescent="0.3">
      <c r="R2629" t="s">
        <v>1618</v>
      </c>
    </row>
    <row r="2630" spans="18:18" x14ac:dyDescent="0.3">
      <c r="R2630" t="s">
        <v>2073</v>
      </c>
    </row>
    <row r="2631" spans="18:18" x14ac:dyDescent="0.3">
      <c r="R2631" t="s">
        <v>1231</v>
      </c>
    </row>
    <row r="2632" spans="18:18" x14ac:dyDescent="0.3">
      <c r="R2632" t="s">
        <v>5091</v>
      </c>
    </row>
    <row r="2633" spans="18:18" x14ac:dyDescent="0.3">
      <c r="R2633" t="s">
        <v>2669</v>
      </c>
    </row>
    <row r="2634" spans="18:18" x14ac:dyDescent="0.3">
      <c r="R2634" t="s">
        <v>871</v>
      </c>
    </row>
    <row r="2635" spans="18:18" x14ac:dyDescent="0.3">
      <c r="R2635" t="s">
        <v>4709</v>
      </c>
    </row>
    <row r="2636" spans="18:18" x14ac:dyDescent="0.3">
      <c r="R2636" t="s">
        <v>3535</v>
      </c>
    </row>
    <row r="2637" spans="18:18" x14ac:dyDescent="0.3">
      <c r="R2637" t="s">
        <v>3536</v>
      </c>
    </row>
    <row r="2638" spans="18:18" x14ac:dyDescent="0.3">
      <c r="R2638" t="s">
        <v>644</v>
      </c>
    </row>
    <row r="2639" spans="18:18" x14ac:dyDescent="0.3">
      <c r="R2639" t="s">
        <v>1421</v>
      </c>
    </row>
    <row r="2640" spans="18:18" x14ac:dyDescent="0.3">
      <c r="R2640" t="s">
        <v>1232</v>
      </c>
    </row>
    <row r="2641" spans="18:18" x14ac:dyDescent="0.3">
      <c r="R2641" t="s">
        <v>1232</v>
      </c>
    </row>
    <row r="2642" spans="18:18" x14ac:dyDescent="0.3">
      <c r="R2642" t="s">
        <v>3537</v>
      </c>
    </row>
    <row r="2643" spans="18:18" x14ac:dyDescent="0.3">
      <c r="R2643" t="s">
        <v>4034</v>
      </c>
    </row>
    <row r="2644" spans="18:18" x14ac:dyDescent="0.3">
      <c r="R2644" t="s">
        <v>1738</v>
      </c>
    </row>
    <row r="2645" spans="18:18" x14ac:dyDescent="0.3">
      <c r="R2645" t="s">
        <v>3538</v>
      </c>
    </row>
    <row r="2646" spans="18:18" x14ac:dyDescent="0.3">
      <c r="R2646" t="s">
        <v>1619</v>
      </c>
    </row>
    <row r="2647" spans="18:18" x14ac:dyDescent="0.3">
      <c r="R2647" t="s">
        <v>4361</v>
      </c>
    </row>
    <row r="2648" spans="18:18" x14ac:dyDescent="0.3">
      <c r="R2648" t="s">
        <v>3539</v>
      </c>
    </row>
    <row r="2649" spans="18:18" x14ac:dyDescent="0.3">
      <c r="R2649" t="s">
        <v>3540</v>
      </c>
    </row>
    <row r="2650" spans="18:18" x14ac:dyDescent="0.3">
      <c r="R2650" t="s">
        <v>2670</v>
      </c>
    </row>
    <row r="2651" spans="18:18" x14ac:dyDescent="0.3">
      <c r="R2651" t="s">
        <v>4035</v>
      </c>
    </row>
    <row r="2652" spans="18:18" x14ac:dyDescent="0.3">
      <c r="R2652" t="s">
        <v>872</v>
      </c>
    </row>
    <row r="2653" spans="18:18" x14ac:dyDescent="0.3">
      <c r="R2653" t="s">
        <v>872</v>
      </c>
    </row>
    <row r="2654" spans="18:18" x14ac:dyDescent="0.3">
      <c r="R2654" t="s">
        <v>1422</v>
      </c>
    </row>
    <row r="2655" spans="18:18" x14ac:dyDescent="0.3">
      <c r="R2655" t="s">
        <v>1423</v>
      </c>
    </row>
    <row r="2656" spans="18:18" x14ac:dyDescent="0.3">
      <c r="R2656" t="s">
        <v>206</v>
      </c>
    </row>
    <row r="2657" spans="18:18" x14ac:dyDescent="0.3">
      <c r="R2657" t="s">
        <v>2671</v>
      </c>
    </row>
    <row r="2658" spans="18:18" x14ac:dyDescent="0.3">
      <c r="R2658" t="s">
        <v>5092</v>
      </c>
    </row>
    <row r="2659" spans="18:18" x14ac:dyDescent="0.3">
      <c r="R2659" t="s">
        <v>312</v>
      </c>
    </row>
    <row r="2660" spans="18:18" x14ac:dyDescent="0.3">
      <c r="R2660" t="s">
        <v>5093</v>
      </c>
    </row>
    <row r="2661" spans="18:18" x14ac:dyDescent="0.3">
      <c r="R2661" t="s">
        <v>2074</v>
      </c>
    </row>
    <row r="2662" spans="18:18" x14ac:dyDescent="0.3">
      <c r="R2662" t="s">
        <v>2074</v>
      </c>
    </row>
    <row r="2663" spans="18:18" x14ac:dyDescent="0.3">
      <c r="R2663" t="s">
        <v>2074</v>
      </c>
    </row>
    <row r="2664" spans="18:18" x14ac:dyDescent="0.3">
      <c r="R2664" t="s">
        <v>2075</v>
      </c>
    </row>
    <row r="2665" spans="18:18" x14ac:dyDescent="0.3">
      <c r="R2665" t="s">
        <v>2076</v>
      </c>
    </row>
    <row r="2666" spans="18:18" x14ac:dyDescent="0.3">
      <c r="R2666" t="s">
        <v>207</v>
      </c>
    </row>
    <row r="2667" spans="18:18" x14ac:dyDescent="0.3">
      <c r="R2667" t="s">
        <v>5005</v>
      </c>
    </row>
    <row r="2668" spans="18:18" x14ac:dyDescent="0.3">
      <c r="R2668" t="s">
        <v>2672</v>
      </c>
    </row>
    <row r="2669" spans="18:18" x14ac:dyDescent="0.3">
      <c r="R2669" t="s">
        <v>4036</v>
      </c>
    </row>
    <row r="2670" spans="18:18" x14ac:dyDescent="0.3">
      <c r="R2670" t="s">
        <v>208</v>
      </c>
    </row>
    <row r="2671" spans="18:18" x14ac:dyDescent="0.3">
      <c r="R2671" t="s">
        <v>4362</v>
      </c>
    </row>
    <row r="2672" spans="18:18" x14ac:dyDescent="0.3">
      <c r="R2672" t="s">
        <v>2673</v>
      </c>
    </row>
    <row r="2673" spans="18:18" x14ac:dyDescent="0.3">
      <c r="R2673" t="s">
        <v>5006</v>
      </c>
    </row>
    <row r="2674" spans="18:18" x14ac:dyDescent="0.3">
      <c r="R2674" t="s">
        <v>2077</v>
      </c>
    </row>
    <row r="2675" spans="18:18" x14ac:dyDescent="0.3">
      <c r="R2675" t="s">
        <v>2674</v>
      </c>
    </row>
    <row r="2676" spans="18:18" x14ac:dyDescent="0.3">
      <c r="R2676" t="s">
        <v>1822</v>
      </c>
    </row>
    <row r="2677" spans="18:18" x14ac:dyDescent="0.3">
      <c r="R2677" t="s">
        <v>4363</v>
      </c>
    </row>
    <row r="2678" spans="18:18" x14ac:dyDescent="0.3">
      <c r="R2678" t="s">
        <v>645</v>
      </c>
    </row>
    <row r="2679" spans="18:18" x14ac:dyDescent="0.3">
      <c r="R2679" t="s">
        <v>646</v>
      </c>
    </row>
    <row r="2680" spans="18:18" x14ac:dyDescent="0.3">
      <c r="R2680" t="s">
        <v>649</v>
      </c>
    </row>
    <row r="2681" spans="18:18" x14ac:dyDescent="0.3">
      <c r="R2681" t="s">
        <v>647</v>
      </c>
    </row>
    <row r="2682" spans="18:18" x14ac:dyDescent="0.3">
      <c r="R2682" t="s">
        <v>1424</v>
      </c>
    </row>
    <row r="2683" spans="18:18" x14ac:dyDescent="0.3">
      <c r="R2683" t="s">
        <v>874</v>
      </c>
    </row>
    <row r="2684" spans="18:18" x14ac:dyDescent="0.3">
      <c r="R2684" t="s">
        <v>4710</v>
      </c>
    </row>
    <row r="2685" spans="18:18" x14ac:dyDescent="0.3">
      <c r="R2685" t="s">
        <v>1739</v>
      </c>
    </row>
    <row r="2686" spans="18:18" x14ac:dyDescent="0.3">
      <c r="R2686" t="s">
        <v>475</v>
      </c>
    </row>
    <row r="2687" spans="18:18" x14ac:dyDescent="0.3">
      <c r="R2687" t="s">
        <v>2675</v>
      </c>
    </row>
    <row r="2688" spans="18:18" x14ac:dyDescent="0.3">
      <c r="R2688" t="s">
        <v>1233</v>
      </c>
    </row>
    <row r="2689" spans="18:18" x14ac:dyDescent="0.3">
      <c r="R2689" t="s">
        <v>1425</v>
      </c>
    </row>
    <row r="2690" spans="18:18" x14ac:dyDescent="0.3">
      <c r="R2690" t="s">
        <v>1621</v>
      </c>
    </row>
    <row r="2691" spans="18:18" x14ac:dyDescent="0.3">
      <c r="R2691" t="s">
        <v>1234</v>
      </c>
    </row>
    <row r="2692" spans="18:18" x14ac:dyDescent="0.3">
      <c r="R2692" t="s">
        <v>876</v>
      </c>
    </row>
    <row r="2693" spans="18:18" x14ac:dyDescent="0.3">
      <c r="R2693" t="s">
        <v>1235</v>
      </c>
    </row>
    <row r="2694" spans="18:18" x14ac:dyDescent="0.3">
      <c r="R2694" t="s">
        <v>875</v>
      </c>
    </row>
    <row r="2695" spans="18:18" x14ac:dyDescent="0.3">
      <c r="R2695" t="s">
        <v>1620</v>
      </c>
    </row>
    <row r="2696" spans="18:18" x14ac:dyDescent="0.3">
      <c r="R2696" t="s">
        <v>648</v>
      </c>
    </row>
    <row r="2697" spans="18:18" x14ac:dyDescent="0.3">
      <c r="R2697" t="s">
        <v>1622</v>
      </c>
    </row>
    <row r="2698" spans="18:18" x14ac:dyDescent="0.3">
      <c r="R2698" t="s">
        <v>877</v>
      </c>
    </row>
    <row r="2699" spans="18:18" x14ac:dyDescent="0.3">
      <c r="R2699" t="s">
        <v>878</v>
      </c>
    </row>
    <row r="2700" spans="18:18" x14ac:dyDescent="0.3">
      <c r="R2700" t="s">
        <v>476</v>
      </c>
    </row>
    <row r="2701" spans="18:18" x14ac:dyDescent="0.3">
      <c r="R2701" t="s">
        <v>1623</v>
      </c>
    </row>
    <row r="2702" spans="18:18" x14ac:dyDescent="0.3">
      <c r="R2702" t="s">
        <v>2676</v>
      </c>
    </row>
    <row r="2703" spans="18:18" x14ac:dyDescent="0.3">
      <c r="R2703" t="s">
        <v>4712</v>
      </c>
    </row>
    <row r="2704" spans="18:18" x14ac:dyDescent="0.3">
      <c r="R2704" t="s">
        <v>2677</v>
      </c>
    </row>
    <row r="2705" spans="18:18" x14ac:dyDescent="0.3">
      <c r="R2705" t="s">
        <v>2678</v>
      </c>
    </row>
    <row r="2706" spans="18:18" x14ac:dyDescent="0.3">
      <c r="R2706" t="s">
        <v>1624</v>
      </c>
    </row>
    <row r="2707" spans="18:18" x14ac:dyDescent="0.3">
      <c r="R2707" t="s">
        <v>1624</v>
      </c>
    </row>
    <row r="2708" spans="18:18" x14ac:dyDescent="0.3">
      <c r="R2708" t="s">
        <v>650</v>
      </c>
    </row>
    <row r="2709" spans="18:18" x14ac:dyDescent="0.3">
      <c r="R2709" t="s">
        <v>1236</v>
      </c>
    </row>
    <row r="2710" spans="18:18" x14ac:dyDescent="0.3">
      <c r="R2710" t="s">
        <v>2078</v>
      </c>
    </row>
    <row r="2711" spans="18:18" x14ac:dyDescent="0.3">
      <c r="R2711" t="s">
        <v>1237</v>
      </c>
    </row>
    <row r="2712" spans="18:18" x14ac:dyDescent="0.3">
      <c r="R2712" t="s">
        <v>2679</v>
      </c>
    </row>
    <row r="2713" spans="18:18" x14ac:dyDescent="0.3">
      <c r="R2713" t="s">
        <v>2679</v>
      </c>
    </row>
    <row r="2714" spans="18:18" x14ac:dyDescent="0.3">
      <c r="R2714" t="s">
        <v>1426</v>
      </c>
    </row>
    <row r="2715" spans="18:18" x14ac:dyDescent="0.3">
      <c r="R2715" t="s">
        <v>4713</v>
      </c>
    </row>
    <row r="2716" spans="18:18" x14ac:dyDescent="0.3">
      <c r="R2716" t="s">
        <v>4711</v>
      </c>
    </row>
    <row r="2717" spans="18:18" x14ac:dyDescent="0.3">
      <c r="R2717" t="s">
        <v>3541</v>
      </c>
    </row>
    <row r="2718" spans="18:18" x14ac:dyDescent="0.3">
      <c r="R2718" t="s">
        <v>873</v>
      </c>
    </row>
    <row r="2719" spans="18:18" x14ac:dyDescent="0.3">
      <c r="R2719" t="s">
        <v>4364</v>
      </c>
    </row>
    <row r="2720" spans="18:18" x14ac:dyDescent="0.3">
      <c r="R2720" t="s">
        <v>5007</v>
      </c>
    </row>
    <row r="2721" spans="18:18" x14ac:dyDescent="0.3">
      <c r="R2721" t="s">
        <v>2079</v>
      </c>
    </row>
    <row r="2722" spans="18:18" x14ac:dyDescent="0.3">
      <c r="R2722" t="s">
        <v>3200</v>
      </c>
    </row>
    <row r="2723" spans="18:18" x14ac:dyDescent="0.3">
      <c r="R2723" t="s">
        <v>477</v>
      </c>
    </row>
    <row r="2724" spans="18:18" x14ac:dyDescent="0.3">
      <c r="R2724" t="s">
        <v>477</v>
      </c>
    </row>
    <row r="2725" spans="18:18" x14ac:dyDescent="0.3">
      <c r="R2725" t="s">
        <v>4714</v>
      </c>
    </row>
    <row r="2726" spans="18:18" x14ac:dyDescent="0.3">
      <c r="R2726" t="s">
        <v>4365</v>
      </c>
    </row>
    <row r="2727" spans="18:18" x14ac:dyDescent="0.3">
      <c r="R2727" t="s">
        <v>651</v>
      </c>
    </row>
    <row r="2728" spans="18:18" x14ac:dyDescent="0.3">
      <c r="R2728" t="s">
        <v>2080</v>
      </c>
    </row>
    <row r="2729" spans="18:18" x14ac:dyDescent="0.3">
      <c r="R2729" t="s">
        <v>2081</v>
      </c>
    </row>
    <row r="2730" spans="18:18" x14ac:dyDescent="0.3">
      <c r="R2730" t="s">
        <v>1625</v>
      </c>
    </row>
    <row r="2731" spans="18:18" x14ac:dyDescent="0.3">
      <c r="R2731" t="s">
        <v>2082</v>
      </c>
    </row>
    <row r="2732" spans="18:18" x14ac:dyDescent="0.3">
      <c r="R2732" t="s">
        <v>1238</v>
      </c>
    </row>
    <row r="2733" spans="18:18" x14ac:dyDescent="0.3">
      <c r="R2733" t="s">
        <v>1239</v>
      </c>
    </row>
    <row r="2734" spans="18:18" x14ac:dyDescent="0.3">
      <c r="R2734" t="s">
        <v>2680</v>
      </c>
    </row>
    <row r="2735" spans="18:18" x14ac:dyDescent="0.3">
      <c r="R2735" t="s">
        <v>2083</v>
      </c>
    </row>
    <row r="2736" spans="18:18" x14ac:dyDescent="0.3">
      <c r="R2736" t="s">
        <v>2681</v>
      </c>
    </row>
    <row r="2737" spans="18:18" x14ac:dyDescent="0.3">
      <c r="R2737" t="s">
        <v>5094</v>
      </c>
    </row>
    <row r="2738" spans="18:18" x14ac:dyDescent="0.3">
      <c r="R2738" t="s">
        <v>2682</v>
      </c>
    </row>
    <row r="2739" spans="18:18" x14ac:dyDescent="0.3">
      <c r="R2739" t="s">
        <v>879</v>
      </c>
    </row>
    <row r="2740" spans="18:18" x14ac:dyDescent="0.3">
      <c r="R2740" t="s">
        <v>4037</v>
      </c>
    </row>
    <row r="2741" spans="18:18" x14ac:dyDescent="0.3">
      <c r="R2741" t="s">
        <v>2084</v>
      </c>
    </row>
    <row r="2742" spans="18:18" x14ac:dyDescent="0.3">
      <c r="R2742" t="s">
        <v>3132</v>
      </c>
    </row>
    <row r="2743" spans="18:18" x14ac:dyDescent="0.3">
      <c r="R2743" t="s">
        <v>2683</v>
      </c>
    </row>
    <row r="2744" spans="18:18" x14ac:dyDescent="0.3">
      <c r="R2744" t="s">
        <v>2683</v>
      </c>
    </row>
    <row r="2745" spans="18:18" x14ac:dyDescent="0.3">
      <c r="R2745" t="s">
        <v>402</v>
      </c>
    </row>
    <row r="2746" spans="18:18" x14ac:dyDescent="0.3">
      <c r="R2746" t="s">
        <v>3542</v>
      </c>
    </row>
    <row r="2747" spans="18:18" x14ac:dyDescent="0.3">
      <c r="R2747" t="s">
        <v>1823</v>
      </c>
    </row>
    <row r="2748" spans="18:18" x14ac:dyDescent="0.3">
      <c r="R2748" t="s">
        <v>4038</v>
      </c>
    </row>
    <row r="2749" spans="18:18" x14ac:dyDescent="0.3">
      <c r="R2749" t="s">
        <v>2684</v>
      </c>
    </row>
    <row r="2750" spans="18:18" x14ac:dyDescent="0.3">
      <c r="R2750" t="s">
        <v>1427</v>
      </c>
    </row>
    <row r="2751" spans="18:18" x14ac:dyDescent="0.3">
      <c r="R2751" t="s">
        <v>4366</v>
      </c>
    </row>
    <row r="2752" spans="18:18" x14ac:dyDescent="0.3">
      <c r="R2752" t="s">
        <v>2085</v>
      </c>
    </row>
    <row r="2753" spans="18:18" x14ac:dyDescent="0.3">
      <c r="R2753" t="s">
        <v>4367</v>
      </c>
    </row>
    <row r="2754" spans="18:18" x14ac:dyDescent="0.3">
      <c r="R2754" t="s">
        <v>478</v>
      </c>
    </row>
    <row r="2755" spans="18:18" x14ac:dyDescent="0.3">
      <c r="R2755" t="s">
        <v>3543</v>
      </c>
    </row>
    <row r="2756" spans="18:18" x14ac:dyDescent="0.3">
      <c r="R2756" t="s">
        <v>2685</v>
      </c>
    </row>
    <row r="2757" spans="18:18" x14ac:dyDescent="0.3">
      <c r="R2757" t="s">
        <v>1084</v>
      </c>
    </row>
    <row r="2758" spans="18:18" x14ac:dyDescent="0.3">
      <c r="R2758" t="s">
        <v>4715</v>
      </c>
    </row>
    <row r="2759" spans="18:18" x14ac:dyDescent="0.3">
      <c r="R2759" t="s">
        <v>3544</v>
      </c>
    </row>
    <row r="2760" spans="18:18" x14ac:dyDescent="0.3">
      <c r="R2760" t="s">
        <v>2686</v>
      </c>
    </row>
    <row r="2761" spans="18:18" x14ac:dyDescent="0.3">
      <c r="R2761" t="s">
        <v>4368</v>
      </c>
    </row>
    <row r="2762" spans="18:18" x14ac:dyDescent="0.3">
      <c r="R2762" t="s">
        <v>3545</v>
      </c>
    </row>
    <row r="2763" spans="18:18" x14ac:dyDescent="0.3">
      <c r="R2763" t="s">
        <v>2687</v>
      </c>
    </row>
    <row r="2764" spans="18:18" x14ac:dyDescent="0.3">
      <c r="R2764" t="s">
        <v>2086</v>
      </c>
    </row>
    <row r="2765" spans="18:18" x14ac:dyDescent="0.3">
      <c r="R2765" t="s">
        <v>3546</v>
      </c>
    </row>
    <row r="2766" spans="18:18" x14ac:dyDescent="0.3">
      <c r="R2766" t="s">
        <v>4369</v>
      </c>
    </row>
    <row r="2767" spans="18:18" x14ac:dyDescent="0.3">
      <c r="R2767" t="s">
        <v>2688</v>
      </c>
    </row>
    <row r="2768" spans="18:18" x14ac:dyDescent="0.3">
      <c r="R2768" t="s">
        <v>5292</v>
      </c>
    </row>
    <row r="2769" spans="18:18" x14ac:dyDescent="0.3">
      <c r="R2769" t="s">
        <v>4039</v>
      </c>
    </row>
    <row r="2770" spans="18:18" x14ac:dyDescent="0.3">
      <c r="R2770" t="s">
        <v>4716</v>
      </c>
    </row>
    <row r="2771" spans="18:18" x14ac:dyDescent="0.3">
      <c r="R2771" t="s">
        <v>2689</v>
      </c>
    </row>
    <row r="2772" spans="18:18" x14ac:dyDescent="0.3">
      <c r="R2772" t="s">
        <v>2087</v>
      </c>
    </row>
    <row r="2773" spans="18:18" x14ac:dyDescent="0.3">
      <c r="R2773" t="s">
        <v>4040</v>
      </c>
    </row>
    <row r="2774" spans="18:18" x14ac:dyDescent="0.3">
      <c r="R2774" t="s">
        <v>652</v>
      </c>
    </row>
    <row r="2775" spans="18:18" x14ac:dyDescent="0.3">
      <c r="R2775" t="s">
        <v>2690</v>
      </c>
    </row>
    <row r="2776" spans="18:18" x14ac:dyDescent="0.3">
      <c r="R2776" t="s">
        <v>3547</v>
      </c>
    </row>
    <row r="2777" spans="18:18" x14ac:dyDescent="0.3">
      <c r="R2777" t="s">
        <v>2691</v>
      </c>
    </row>
    <row r="2778" spans="18:18" x14ac:dyDescent="0.3">
      <c r="R2778" t="s">
        <v>1626</v>
      </c>
    </row>
    <row r="2779" spans="18:18" x14ac:dyDescent="0.3">
      <c r="R2779" t="s">
        <v>1740</v>
      </c>
    </row>
    <row r="2780" spans="18:18" x14ac:dyDescent="0.3">
      <c r="R2780" t="s">
        <v>313</v>
      </c>
    </row>
    <row r="2781" spans="18:18" x14ac:dyDescent="0.3">
      <c r="R2781" t="s">
        <v>1085</v>
      </c>
    </row>
    <row r="2782" spans="18:18" x14ac:dyDescent="0.3">
      <c r="R2782" t="s">
        <v>4041</v>
      </c>
    </row>
    <row r="2783" spans="18:18" x14ac:dyDescent="0.3">
      <c r="R2783" t="s">
        <v>3548</v>
      </c>
    </row>
    <row r="2784" spans="18:18" x14ac:dyDescent="0.3">
      <c r="R2784" t="s">
        <v>4370</v>
      </c>
    </row>
    <row r="2785" spans="18:18" x14ac:dyDescent="0.3">
      <c r="R2785" t="s">
        <v>4717</v>
      </c>
    </row>
    <row r="2786" spans="18:18" x14ac:dyDescent="0.3">
      <c r="R2786" t="s">
        <v>4718</v>
      </c>
    </row>
    <row r="2787" spans="18:18" x14ac:dyDescent="0.3">
      <c r="R2787" t="s">
        <v>3133</v>
      </c>
    </row>
    <row r="2788" spans="18:18" x14ac:dyDescent="0.3">
      <c r="R2788" t="s">
        <v>3549</v>
      </c>
    </row>
    <row r="2789" spans="18:18" x14ac:dyDescent="0.3">
      <c r="R2789" t="s">
        <v>1428</v>
      </c>
    </row>
    <row r="2790" spans="18:18" x14ac:dyDescent="0.3">
      <c r="R2790" t="s">
        <v>2088</v>
      </c>
    </row>
    <row r="2791" spans="18:18" x14ac:dyDescent="0.3">
      <c r="R2791" t="s">
        <v>479</v>
      </c>
    </row>
    <row r="2792" spans="18:18" x14ac:dyDescent="0.3">
      <c r="R2792" t="s">
        <v>4042</v>
      </c>
    </row>
    <row r="2793" spans="18:18" x14ac:dyDescent="0.3">
      <c r="R2793" t="s">
        <v>4043</v>
      </c>
    </row>
    <row r="2794" spans="18:18" x14ac:dyDescent="0.3">
      <c r="R2794" t="s">
        <v>1429</v>
      </c>
    </row>
    <row r="2795" spans="18:18" x14ac:dyDescent="0.3">
      <c r="R2795" t="s">
        <v>4044</v>
      </c>
    </row>
    <row r="2796" spans="18:18" x14ac:dyDescent="0.3">
      <c r="R2796" t="s">
        <v>2692</v>
      </c>
    </row>
    <row r="2797" spans="18:18" x14ac:dyDescent="0.3">
      <c r="R2797" t="s">
        <v>4371</v>
      </c>
    </row>
    <row r="2798" spans="18:18" x14ac:dyDescent="0.3">
      <c r="R2798" t="s">
        <v>3550</v>
      </c>
    </row>
    <row r="2799" spans="18:18" x14ac:dyDescent="0.3">
      <c r="R2799" t="s">
        <v>653</v>
      </c>
    </row>
    <row r="2800" spans="18:18" x14ac:dyDescent="0.3">
      <c r="R2800" t="s">
        <v>3551</v>
      </c>
    </row>
    <row r="2801" spans="18:18" x14ac:dyDescent="0.3">
      <c r="R2801" t="s">
        <v>3552</v>
      </c>
    </row>
    <row r="2802" spans="18:18" x14ac:dyDescent="0.3">
      <c r="R2802" t="s">
        <v>5095</v>
      </c>
    </row>
    <row r="2803" spans="18:18" x14ac:dyDescent="0.3">
      <c r="R2803" t="s">
        <v>3553</v>
      </c>
    </row>
    <row r="2804" spans="18:18" x14ac:dyDescent="0.3">
      <c r="R2804" t="s">
        <v>1430</v>
      </c>
    </row>
    <row r="2805" spans="18:18" x14ac:dyDescent="0.3">
      <c r="R2805" t="s">
        <v>3554</v>
      </c>
    </row>
    <row r="2806" spans="18:18" x14ac:dyDescent="0.3">
      <c r="R2806" t="s">
        <v>5096</v>
      </c>
    </row>
    <row r="2807" spans="18:18" x14ac:dyDescent="0.3">
      <c r="R2807" t="s">
        <v>1240</v>
      </c>
    </row>
    <row r="2808" spans="18:18" x14ac:dyDescent="0.3">
      <c r="R2808" t="s">
        <v>3555</v>
      </c>
    </row>
    <row r="2809" spans="18:18" x14ac:dyDescent="0.3">
      <c r="R2809" t="s">
        <v>880</v>
      </c>
    </row>
    <row r="2810" spans="18:18" x14ac:dyDescent="0.3">
      <c r="R2810" t="s">
        <v>654</v>
      </c>
    </row>
    <row r="2811" spans="18:18" x14ac:dyDescent="0.3">
      <c r="R2811" t="s">
        <v>2089</v>
      </c>
    </row>
    <row r="2812" spans="18:18" x14ac:dyDescent="0.3">
      <c r="R2812" t="s">
        <v>1241</v>
      </c>
    </row>
    <row r="2813" spans="18:18" x14ac:dyDescent="0.3">
      <c r="R2813" t="s">
        <v>2693</v>
      </c>
    </row>
    <row r="2814" spans="18:18" x14ac:dyDescent="0.3">
      <c r="R2814" t="s">
        <v>2694</v>
      </c>
    </row>
    <row r="2815" spans="18:18" x14ac:dyDescent="0.3">
      <c r="R2815" t="s">
        <v>4372</v>
      </c>
    </row>
    <row r="2816" spans="18:18" x14ac:dyDescent="0.3">
      <c r="R2816" t="s">
        <v>4045</v>
      </c>
    </row>
    <row r="2817" spans="18:18" x14ac:dyDescent="0.3">
      <c r="R2817" t="s">
        <v>3556</v>
      </c>
    </row>
    <row r="2818" spans="18:18" x14ac:dyDescent="0.3">
      <c r="R2818" t="s">
        <v>2695</v>
      </c>
    </row>
    <row r="2819" spans="18:18" x14ac:dyDescent="0.3">
      <c r="R2819" t="s">
        <v>4046</v>
      </c>
    </row>
    <row r="2820" spans="18:18" x14ac:dyDescent="0.3">
      <c r="R2820" t="s">
        <v>3557</v>
      </c>
    </row>
    <row r="2821" spans="18:18" x14ac:dyDescent="0.3">
      <c r="R2821" t="s">
        <v>4047</v>
      </c>
    </row>
    <row r="2822" spans="18:18" x14ac:dyDescent="0.3">
      <c r="R2822" t="s">
        <v>3558</v>
      </c>
    </row>
    <row r="2823" spans="18:18" x14ac:dyDescent="0.3">
      <c r="R2823" t="s">
        <v>2696</v>
      </c>
    </row>
    <row r="2824" spans="18:18" x14ac:dyDescent="0.3">
      <c r="R2824" t="s">
        <v>4373</v>
      </c>
    </row>
    <row r="2825" spans="18:18" x14ac:dyDescent="0.3">
      <c r="R2825" t="s">
        <v>5293</v>
      </c>
    </row>
    <row r="2826" spans="18:18" x14ac:dyDescent="0.3">
      <c r="R2826" t="s">
        <v>881</v>
      </c>
    </row>
    <row r="2827" spans="18:18" x14ac:dyDescent="0.3">
      <c r="R2827" t="s">
        <v>480</v>
      </c>
    </row>
    <row r="2828" spans="18:18" x14ac:dyDescent="0.3">
      <c r="R2828" t="s">
        <v>3201</v>
      </c>
    </row>
    <row r="2829" spans="18:18" x14ac:dyDescent="0.3">
      <c r="R2829" t="s">
        <v>1242</v>
      </c>
    </row>
    <row r="2830" spans="18:18" x14ac:dyDescent="0.3">
      <c r="R2830" t="s">
        <v>2090</v>
      </c>
    </row>
    <row r="2831" spans="18:18" x14ac:dyDescent="0.3">
      <c r="R2831" t="s">
        <v>4720</v>
      </c>
    </row>
    <row r="2832" spans="18:18" x14ac:dyDescent="0.3">
      <c r="R2832" t="s">
        <v>1824</v>
      </c>
    </row>
    <row r="2833" spans="18:18" x14ac:dyDescent="0.3">
      <c r="R2833" t="s">
        <v>403</v>
      </c>
    </row>
    <row r="2834" spans="18:18" x14ac:dyDescent="0.3">
      <c r="R2834" t="s">
        <v>1627</v>
      </c>
    </row>
    <row r="2835" spans="18:18" x14ac:dyDescent="0.3">
      <c r="R2835" t="s">
        <v>2091</v>
      </c>
    </row>
    <row r="2836" spans="18:18" x14ac:dyDescent="0.3">
      <c r="R2836" t="s">
        <v>3559</v>
      </c>
    </row>
    <row r="2837" spans="18:18" x14ac:dyDescent="0.3">
      <c r="R2837" t="s">
        <v>1243</v>
      </c>
    </row>
    <row r="2838" spans="18:18" x14ac:dyDescent="0.3">
      <c r="R2838" t="s">
        <v>3560</v>
      </c>
    </row>
    <row r="2839" spans="18:18" x14ac:dyDescent="0.3">
      <c r="R2839" t="s">
        <v>2092</v>
      </c>
    </row>
    <row r="2840" spans="18:18" x14ac:dyDescent="0.3">
      <c r="R2840" t="s">
        <v>3561</v>
      </c>
    </row>
    <row r="2841" spans="18:18" x14ac:dyDescent="0.3">
      <c r="R2841" t="s">
        <v>1741</v>
      </c>
    </row>
    <row r="2842" spans="18:18" x14ac:dyDescent="0.3">
      <c r="R2842" t="s">
        <v>2697</v>
      </c>
    </row>
    <row r="2843" spans="18:18" x14ac:dyDescent="0.3">
      <c r="R2843" t="s">
        <v>4719</v>
      </c>
    </row>
    <row r="2844" spans="18:18" x14ac:dyDescent="0.3">
      <c r="R2844" t="s">
        <v>112</v>
      </c>
    </row>
    <row r="2845" spans="18:18" x14ac:dyDescent="0.3">
      <c r="R2845" t="s">
        <v>2698</v>
      </c>
    </row>
    <row r="2846" spans="18:18" x14ac:dyDescent="0.3">
      <c r="R2846" t="s">
        <v>1628</v>
      </c>
    </row>
    <row r="2847" spans="18:18" x14ac:dyDescent="0.3">
      <c r="R2847" t="s">
        <v>4374</v>
      </c>
    </row>
    <row r="2848" spans="18:18" x14ac:dyDescent="0.3">
      <c r="R2848" t="s">
        <v>3202</v>
      </c>
    </row>
    <row r="2849" spans="18:18" x14ac:dyDescent="0.3">
      <c r="R2849" t="s">
        <v>2093</v>
      </c>
    </row>
    <row r="2850" spans="18:18" x14ac:dyDescent="0.3">
      <c r="R2850" t="s">
        <v>1086</v>
      </c>
    </row>
    <row r="2851" spans="18:18" x14ac:dyDescent="0.3">
      <c r="R2851" t="s">
        <v>882</v>
      </c>
    </row>
    <row r="2852" spans="18:18" x14ac:dyDescent="0.3">
      <c r="R2852" t="s">
        <v>2094</v>
      </c>
    </row>
    <row r="2853" spans="18:18" x14ac:dyDescent="0.3">
      <c r="R2853" t="s">
        <v>2699</v>
      </c>
    </row>
    <row r="2854" spans="18:18" x14ac:dyDescent="0.3">
      <c r="R2854" t="s">
        <v>1431</v>
      </c>
    </row>
    <row r="2855" spans="18:18" x14ac:dyDescent="0.3">
      <c r="R2855" t="s">
        <v>314</v>
      </c>
    </row>
    <row r="2856" spans="18:18" x14ac:dyDescent="0.3">
      <c r="R2856" t="s">
        <v>2095</v>
      </c>
    </row>
    <row r="2857" spans="18:18" x14ac:dyDescent="0.3">
      <c r="R2857" t="s">
        <v>4375</v>
      </c>
    </row>
    <row r="2858" spans="18:18" x14ac:dyDescent="0.3">
      <c r="R2858" t="s">
        <v>315</v>
      </c>
    </row>
    <row r="2859" spans="18:18" x14ac:dyDescent="0.3">
      <c r="R2859" t="s">
        <v>655</v>
      </c>
    </row>
    <row r="2860" spans="18:18" x14ac:dyDescent="0.3">
      <c r="R2860" t="s">
        <v>3562</v>
      </c>
    </row>
    <row r="2861" spans="18:18" x14ac:dyDescent="0.3">
      <c r="R2861" t="s">
        <v>3203</v>
      </c>
    </row>
    <row r="2862" spans="18:18" x14ac:dyDescent="0.3">
      <c r="R2862" t="s">
        <v>2096</v>
      </c>
    </row>
    <row r="2863" spans="18:18" x14ac:dyDescent="0.3">
      <c r="R2863" t="s">
        <v>2097</v>
      </c>
    </row>
    <row r="2864" spans="18:18" x14ac:dyDescent="0.3">
      <c r="R2864" t="s">
        <v>3563</v>
      </c>
    </row>
    <row r="2865" spans="18:18" x14ac:dyDescent="0.3">
      <c r="R2865" t="s">
        <v>3564</v>
      </c>
    </row>
    <row r="2866" spans="18:18" x14ac:dyDescent="0.3">
      <c r="R2866" t="s">
        <v>5294</v>
      </c>
    </row>
    <row r="2867" spans="18:18" x14ac:dyDescent="0.3">
      <c r="R2867" t="s">
        <v>4376</v>
      </c>
    </row>
    <row r="2868" spans="18:18" x14ac:dyDescent="0.3">
      <c r="R2868" t="s">
        <v>1742</v>
      </c>
    </row>
    <row r="2869" spans="18:18" x14ac:dyDescent="0.3">
      <c r="R2869" t="s">
        <v>1244</v>
      </c>
    </row>
    <row r="2870" spans="18:18" x14ac:dyDescent="0.3">
      <c r="R2870" t="s">
        <v>4377</v>
      </c>
    </row>
    <row r="2871" spans="18:18" x14ac:dyDescent="0.3">
      <c r="R2871" t="s">
        <v>2700</v>
      </c>
    </row>
    <row r="2872" spans="18:18" x14ac:dyDescent="0.3">
      <c r="R2872" t="s">
        <v>2098</v>
      </c>
    </row>
    <row r="2873" spans="18:18" x14ac:dyDescent="0.3">
      <c r="R2873" t="s">
        <v>2099</v>
      </c>
    </row>
    <row r="2874" spans="18:18" x14ac:dyDescent="0.3">
      <c r="R2874" t="s">
        <v>1825</v>
      </c>
    </row>
    <row r="2875" spans="18:18" x14ac:dyDescent="0.3">
      <c r="R2875" t="s">
        <v>1826</v>
      </c>
    </row>
    <row r="2876" spans="18:18" x14ac:dyDescent="0.3">
      <c r="R2876" t="s">
        <v>4048</v>
      </c>
    </row>
    <row r="2877" spans="18:18" x14ac:dyDescent="0.3">
      <c r="R2877" t="s">
        <v>1432</v>
      </c>
    </row>
    <row r="2878" spans="18:18" x14ac:dyDescent="0.3">
      <c r="R2878" t="s">
        <v>1433</v>
      </c>
    </row>
    <row r="2879" spans="18:18" x14ac:dyDescent="0.3">
      <c r="R2879" t="s">
        <v>5295</v>
      </c>
    </row>
    <row r="2880" spans="18:18" x14ac:dyDescent="0.3">
      <c r="R2880" t="s">
        <v>4049</v>
      </c>
    </row>
    <row r="2881" spans="18:18" x14ac:dyDescent="0.3">
      <c r="R2881" t="s">
        <v>2701</v>
      </c>
    </row>
    <row r="2882" spans="18:18" x14ac:dyDescent="0.3">
      <c r="R2882" t="s">
        <v>4721</v>
      </c>
    </row>
    <row r="2883" spans="18:18" x14ac:dyDescent="0.3">
      <c r="R2883" t="s">
        <v>209</v>
      </c>
    </row>
    <row r="2884" spans="18:18" x14ac:dyDescent="0.3">
      <c r="R2884" t="s">
        <v>1434</v>
      </c>
    </row>
    <row r="2885" spans="18:18" x14ac:dyDescent="0.3">
      <c r="R2885" t="s">
        <v>210</v>
      </c>
    </row>
    <row r="2886" spans="18:18" x14ac:dyDescent="0.3">
      <c r="R2886" t="s">
        <v>1629</v>
      </c>
    </row>
    <row r="2887" spans="18:18" x14ac:dyDescent="0.3">
      <c r="R2887" t="s">
        <v>211</v>
      </c>
    </row>
    <row r="2888" spans="18:18" x14ac:dyDescent="0.3">
      <c r="R2888" t="s">
        <v>161</v>
      </c>
    </row>
    <row r="2889" spans="18:18" x14ac:dyDescent="0.3">
      <c r="R2889" t="s">
        <v>4050</v>
      </c>
    </row>
    <row r="2890" spans="18:18" x14ac:dyDescent="0.3">
      <c r="R2890" t="s">
        <v>4051</v>
      </c>
    </row>
    <row r="2891" spans="18:18" x14ac:dyDescent="0.3">
      <c r="R2891" t="s">
        <v>4052</v>
      </c>
    </row>
    <row r="2892" spans="18:18" x14ac:dyDescent="0.3">
      <c r="R2892" t="s">
        <v>3565</v>
      </c>
    </row>
    <row r="2893" spans="18:18" x14ac:dyDescent="0.3">
      <c r="R2893" t="s">
        <v>4053</v>
      </c>
    </row>
    <row r="2894" spans="18:18" x14ac:dyDescent="0.3">
      <c r="R2894" t="s">
        <v>2702</v>
      </c>
    </row>
    <row r="2895" spans="18:18" x14ac:dyDescent="0.3">
      <c r="R2895" t="s">
        <v>3204</v>
      </c>
    </row>
    <row r="2896" spans="18:18" x14ac:dyDescent="0.3">
      <c r="R2896" t="s">
        <v>4054</v>
      </c>
    </row>
    <row r="2897" spans="18:18" x14ac:dyDescent="0.3">
      <c r="R2897" t="s">
        <v>2703</v>
      </c>
    </row>
    <row r="2898" spans="18:18" x14ac:dyDescent="0.3">
      <c r="R2898" t="s">
        <v>2704</v>
      </c>
    </row>
    <row r="2899" spans="18:18" x14ac:dyDescent="0.3">
      <c r="R2899" t="s">
        <v>212</v>
      </c>
    </row>
    <row r="2900" spans="18:18" x14ac:dyDescent="0.3">
      <c r="R2900" t="s">
        <v>883</v>
      </c>
    </row>
    <row r="2901" spans="18:18" x14ac:dyDescent="0.3">
      <c r="R2901" t="s">
        <v>4055</v>
      </c>
    </row>
    <row r="2902" spans="18:18" x14ac:dyDescent="0.3">
      <c r="R2902" t="s">
        <v>162</v>
      </c>
    </row>
    <row r="2903" spans="18:18" x14ac:dyDescent="0.3">
      <c r="R2903" t="s">
        <v>4722</v>
      </c>
    </row>
    <row r="2904" spans="18:18" x14ac:dyDescent="0.3">
      <c r="R2904" t="s">
        <v>2100</v>
      </c>
    </row>
    <row r="2905" spans="18:18" x14ac:dyDescent="0.3">
      <c r="R2905" t="s">
        <v>2101</v>
      </c>
    </row>
    <row r="2906" spans="18:18" x14ac:dyDescent="0.3">
      <c r="R2906" t="s">
        <v>2705</v>
      </c>
    </row>
    <row r="2907" spans="18:18" x14ac:dyDescent="0.3">
      <c r="R2907" t="s">
        <v>3134</v>
      </c>
    </row>
    <row r="2908" spans="18:18" x14ac:dyDescent="0.3">
      <c r="R2908" t="s">
        <v>4723</v>
      </c>
    </row>
    <row r="2909" spans="18:18" x14ac:dyDescent="0.3">
      <c r="R2909" t="s">
        <v>2707</v>
      </c>
    </row>
    <row r="2910" spans="18:18" x14ac:dyDescent="0.3">
      <c r="R2910" t="s">
        <v>1747</v>
      </c>
    </row>
    <row r="2911" spans="18:18" x14ac:dyDescent="0.3">
      <c r="R2911" t="s">
        <v>5296</v>
      </c>
    </row>
    <row r="2912" spans="18:18" x14ac:dyDescent="0.3">
      <c r="R2912" t="s">
        <v>213</v>
      </c>
    </row>
    <row r="2913" spans="18:18" x14ac:dyDescent="0.3">
      <c r="R2913" t="s">
        <v>316</v>
      </c>
    </row>
    <row r="2914" spans="18:18" x14ac:dyDescent="0.3">
      <c r="R2914" t="s">
        <v>3566</v>
      </c>
    </row>
    <row r="2915" spans="18:18" x14ac:dyDescent="0.3">
      <c r="R2915" t="s">
        <v>656</v>
      </c>
    </row>
    <row r="2916" spans="18:18" x14ac:dyDescent="0.3">
      <c r="R2916" t="s">
        <v>3567</v>
      </c>
    </row>
    <row r="2917" spans="18:18" x14ac:dyDescent="0.3">
      <c r="R2917" t="s">
        <v>4378</v>
      </c>
    </row>
    <row r="2918" spans="18:18" x14ac:dyDescent="0.3">
      <c r="R2918" t="s">
        <v>5008</v>
      </c>
    </row>
    <row r="2919" spans="18:18" x14ac:dyDescent="0.3">
      <c r="R2919" t="s">
        <v>317</v>
      </c>
    </row>
    <row r="2920" spans="18:18" x14ac:dyDescent="0.3">
      <c r="R2920" t="s">
        <v>1087</v>
      </c>
    </row>
    <row r="2921" spans="18:18" x14ac:dyDescent="0.3">
      <c r="R2921" t="s">
        <v>2102</v>
      </c>
    </row>
    <row r="2922" spans="18:18" x14ac:dyDescent="0.3">
      <c r="R2922" t="s">
        <v>1743</v>
      </c>
    </row>
    <row r="2923" spans="18:18" x14ac:dyDescent="0.3">
      <c r="R2923" t="s">
        <v>2103</v>
      </c>
    </row>
    <row r="2924" spans="18:18" x14ac:dyDescent="0.3">
      <c r="R2924" t="s">
        <v>1630</v>
      </c>
    </row>
    <row r="2925" spans="18:18" x14ac:dyDescent="0.3">
      <c r="R2925" t="s">
        <v>657</v>
      </c>
    </row>
    <row r="2926" spans="18:18" x14ac:dyDescent="0.3">
      <c r="R2926" t="s">
        <v>1088</v>
      </c>
    </row>
    <row r="2927" spans="18:18" x14ac:dyDescent="0.3">
      <c r="R2927" t="s">
        <v>658</v>
      </c>
    </row>
    <row r="2928" spans="18:18" x14ac:dyDescent="0.3">
      <c r="R2928" t="s">
        <v>318</v>
      </c>
    </row>
    <row r="2929" spans="18:18" x14ac:dyDescent="0.3">
      <c r="R2929" t="s">
        <v>3568</v>
      </c>
    </row>
    <row r="2930" spans="18:18" x14ac:dyDescent="0.3">
      <c r="R2930" t="s">
        <v>4724</v>
      </c>
    </row>
    <row r="2931" spans="18:18" x14ac:dyDescent="0.3">
      <c r="R2931" t="s">
        <v>3135</v>
      </c>
    </row>
    <row r="2932" spans="18:18" x14ac:dyDescent="0.3">
      <c r="R2932" t="s">
        <v>4725</v>
      </c>
    </row>
    <row r="2933" spans="18:18" x14ac:dyDescent="0.3">
      <c r="R2933" t="s">
        <v>2104</v>
      </c>
    </row>
    <row r="2934" spans="18:18" x14ac:dyDescent="0.3">
      <c r="R2934" t="s">
        <v>1744</v>
      </c>
    </row>
    <row r="2935" spans="18:18" x14ac:dyDescent="0.3">
      <c r="R2935" t="s">
        <v>1744</v>
      </c>
    </row>
    <row r="2936" spans="18:18" x14ac:dyDescent="0.3">
      <c r="R2936" t="s">
        <v>2706</v>
      </c>
    </row>
    <row r="2937" spans="18:18" x14ac:dyDescent="0.3">
      <c r="R2937" t="s">
        <v>1435</v>
      </c>
    </row>
    <row r="2938" spans="18:18" x14ac:dyDescent="0.3">
      <c r="R2938" t="s">
        <v>5098</v>
      </c>
    </row>
    <row r="2939" spans="18:18" x14ac:dyDescent="0.3">
      <c r="R2939" t="s">
        <v>4726</v>
      </c>
    </row>
    <row r="2940" spans="18:18" x14ac:dyDescent="0.3">
      <c r="R2940" t="s">
        <v>1245</v>
      </c>
    </row>
    <row r="2941" spans="18:18" x14ac:dyDescent="0.3">
      <c r="R2941" t="s">
        <v>2105</v>
      </c>
    </row>
    <row r="2942" spans="18:18" x14ac:dyDescent="0.3">
      <c r="R2942" t="s">
        <v>1089</v>
      </c>
    </row>
    <row r="2943" spans="18:18" x14ac:dyDescent="0.3">
      <c r="R2943" t="s">
        <v>884</v>
      </c>
    </row>
    <row r="2944" spans="18:18" x14ac:dyDescent="0.3">
      <c r="R2944" t="s">
        <v>885</v>
      </c>
    </row>
    <row r="2945" spans="18:18" x14ac:dyDescent="0.3">
      <c r="R2945" t="s">
        <v>4056</v>
      </c>
    </row>
    <row r="2946" spans="18:18" x14ac:dyDescent="0.3">
      <c r="R2946" t="s">
        <v>1745</v>
      </c>
    </row>
    <row r="2947" spans="18:18" x14ac:dyDescent="0.3">
      <c r="R2947" t="s">
        <v>3136</v>
      </c>
    </row>
    <row r="2948" spans="18:18" x14ac:dyDescent="0.3">
      <c r="R2948" t="s">
        <v>163</v>
      </c>
    </row>
    <row r="2949" spans="18:18" x14ac:dyDescent="0.3">
      <c r="R2949" t="s">
        <v>4379</v>
      </c>
    </row>
    <row r="2950" spans="18:18" x14ac:dyDescent="0.3">
      <c r="R2950" t="s">
        <v>1436</v>
      </c>
    </row>
    <row r="2951" spans="18:18" x14ac:dyDescent="0.3">
      <c r="R2951" t="s">
        <v>2708</v>
      </c>
    </row>
    <row r="2952" spans="18:18" x14ac:dyDescent="0.3">
      <c r="R2952" t="s">
        <v>4057</v>
      </c>
    </row>
    <row r="2953" spans="18:18" x14ac:dyDescent="0.3">
      <c r="R2953" t="s">
        <v>4058</v>
      </c>
    </row>
    <row r="2954" spans="18:18" x14ac:dyDescent="0.3">
      <c r="R2954" t="s">
        <v>2709</v>
      </c>
    </row>
    <row r="2955" spans="18:18" x14ac:dyDescent="0.3">
      <c r="R2955" t="s">
        <v>4727</v>
      </c>
    </row>
    <row r="2956" spans="18:18" x14ac:dyDescent="0.3">
      <c r="R2956" t="s">
        <v>4728</v>
      </c>
    </row>
    <row r="2957" spans="18:18" x14ac:dyDescent="0.3">
      <c r="R2957" t="s">
        <v>481</v>
      </c>
    </row>
    <row r="2958" spans="18:18" x14ac:dyDescent="0.3">
      <c r="R2958" t="s">
        <v>3569</v>
      </c>
    </row>
    <row r="2959" spans="18:18" x14ac:dyDescent="0.3">
      <c r="R2959" t="s">
        <v>1746</v>
      </c>
    </row>
    <row r="2960" spans="18:18" x14ac:dyDescent="0.3">
      <c r="R2960" t="s">
        <v>3205</v>
      </c>
    </row>
    <row r="2961" spans="18:18" x14ac:dyDescent="0.3">
      <c r="R2961" t="s">
        <v>2710</v>
      </c>
    </row>
    <row r="2962" spans="18:18" x14ac:dyDescent="0.3">
      <c r="R2962" t="s">
        <v>3137</v>
      </c>
    </row>
    <row r="2963" spans="18:18" x14ac:dyDescent="0.3">
      <c r="R2963" t="s">
        <v>4059</v>
      </c>
    </row>
    <row r="2964" spans="18:18" x14ac:dyDescent="0.3">
      <c r="R2964" t="s">
        <v>4060</v>
      </c>
    </row>
    <row r="2965" spans="18:18" x14ac:dyDescent="0.3">
      <c r="R2965" t="s">
        <v>3570</v>
      </c>
    </row>
    <row r="2966" spans="18:18" x14ac:dyDescent="0.3">
      <c r="R2966" t="s">
        <v>4061</v>
      </c>
    </row>
    <row r="2967" spans="18:18" x14ac:dyDescent="0.3">
      <c r="R2967" t="s">
        <v>4062</v>
      </c>
    </row>
    <row r="2968" spans="18:18" x14ac:dyDescent="0.3">
      <c r="R2968" t="s">
        <v>3571</v>
      </c>
    </row>
    <row r="2969" spans="18:18" x14ac:dyDescent="0.3">
      <c r="R2969" t="s">
        <v>2711</v>
      </c>
    </row>
    <row r="2970" spans="18:18" x14ac:dyDescent="0.3">
      <c r="R2970" t="s">
        <v>4063</v>
      </c>
    </row>
    <row r="2971" spans="18:18" x14ac:dyDescent="0.3">
      <c r="R2971" t="s">
        <v>4064</v>
      </c>
    </row>
    <row r="2972" spans="18:18" x14ac:dyDescent="0.3">
      <c r="R2972" t="s">
        <v>2712</v>
      </c>
    </row>
    <row r="2973" spans="18:18" x14ac:dyDescent="0.3">
      <c r="R2973" t="s">
        <v>319</v>
      </c>
    </row>
    <row r="2974" spans="18:18" x14ac:dyDescent="0.3">
      <c r="R2974" t="s">
        <v>1437</v>
      </c>
    </row>
    <row r="2975" spans="18:18" x14ac:dyDescent="0.3">
      <c r="R2975" t="s">
        <v>2713</v>
      </c>
    </row>
    <row r="2976" spans="18:18" x14ac:dyDescent="0.3">
      <c r="R2976" t="s">
        <v>4065</v>
      </c>
    </row>
    <row r="2977" spans="18:18" x14ac:dyDescent="0.3">
      <c r="R2977" t="s">
        <v>2714</v>
      </c>
    </row>
    <row r="2978" spans="18:18" x14ac:dyDescent="0.3">
      <c r="R2978" t="s">
        <v>4729</v>
      </c>
    </row>
    <row r="2979" spans="18:18" x14ac:dyDescent="0.3">
      <c r="R2979" t="s">
        <v>4066</v>
      </c>
    </row>
    <row r="2980" spans="18:18" x14ac:dyDescent="0.3">
      <c r="R2980" t="s">
        <v>2715</v>
      </c>
    </row>
    <row r="2981" spans="18:18" x14ac:dyDescent="0.3">
      <c r="R2981" t="s">
        <v>1090</v>
      </c>
    </row>
    <row r="2982" spans="18:18" x14ac:dyDescent="0.3">
      <c r="R2982" t="s">
        <v>3572</v>
      </c>
    </row>
    <row r="2983" spans="18:18" x14ac:dyDescent="0.3">
      <c r="R2983" t="s">
        <v>1246</v>
      </c>
    </row>
    <row r="2984" spans="18:18" x14ac:dyDescent="0.3">
      <c r="R2984" t="s">
        <v>2716</v>
      </c>
    </row>
    <row r="2985" spans="18:18" x14ac:dyDescent="0.3">
      <c r="R2985" t="s">
        <v>1827</v>
      </c>
    </row>
    <row r="2986" spans="18:18" x14ac:dyDescent="0.3">
      <c r="R2986" t="s">
        <v>4067</v>
      </c>
    </row>
    <row r="2987" spans="18:18" x14ac:dyDescent="0.3">
      <c r="R2987" t="s">
        <v>5297</v>
      </c>
    </row>
    <row r="2988" spans="18:18" x14ac:dyDescent="0.3">
      <c r="R2988" t="s">
        <v>2106</v>
      </c>
    </row>
    <row r="2989" spans="18:18" x14ac:dyDescent="0.3">
      <c r="R2989" t="s">
        <v>1091</v>
      </c>
    </row>
    <row r="2990" spans="18:18" x14ac:dyDescent="0.3">
      <c r="R2990" t="s">
        <v>886</v>
      </c>
    </row>
    <row r="2991" spans="18:18" x14ac:dyDescent="0.3">
      <c r="R2991" t="s">
        <v>1438</v>
      </c>
    </row>
    <row r="2992" spans="18:18" x14ac:dyDescent="0.3">
      <c r="R2992" t="s">
        <v>1438</v>
      </c>
    </row>
    <row r="2993" spans="18:18" x14ac:dyDescent="0.3">
      <c r="R2993" t="s">
        <v>4730</v>
      </c>
    </row>
    <row r="2994" spans="18:18" x14ac:dyDescent="0.3">
      <c r="R2994" t="s">
        <v>2107</v>
      </c>
    </row>
    <row r="2995" spans="18:18" x14ac:dyDescent="0.3">
      <c r="R2995" t="s">
        <v>1748</v>
      </c>
    </row>
    <row r="2996" spans="18:18" x14ac:dyDescent="0.3">
      <c r="R2996" t="s">
        <v>659</v>
      </c>
    </row>
    <row r="2997" spans="18:18" x14ac:dyDescent="0.3">
      <c r="R2997" t="s">
        <v>2717</v>
      </c>
    </row>
    <row r="2998" spans="18:18" x14ac:dyDescent="0.3">
      <c r="R2998" t="s">
        <v>3573</v>
      </c>
    </row>
    <row r="2999" spans="18:18" x14ac:dyDescent="0.3">
      <c r="R2999" t="s">
        <v>1439</v>
      </c>
    </row>
    <row r="3000" spans="18:18" x14ac:dyDescent="0.3">
      <c r="R3000" t="s">
        <v>482</v>
      </c>
    </row>
    <row r="3001" spans="18:18" x14ac:dyDescent="0.3">
      <c r="R3001" t="s">
        <v>4068</v>
      </c>
    </row>
    <row r="3002" spans="18:18" x14ac:dyDescent="0.3">
      <c r="R3002" t="s">
        <v>2718</v>
      </c>
    </row>
    <row r="3003" spans="18:18" x14ac:dyDescent="0.3">
      <c r="R3003" t="s">
        <v>2719</v>
      </c>
    </row>
    <row r="3004" spans="18:18" x14ac:dyDescent="0.3">
      <c r="R3004" t="s">
        <v>3084</v>
      </c>
    </row>
    <row r="3005" spans="18:18" x14ac:dyDescent="0.3">
      <c r="R3005" t="s">
        <v>2720</v>
      </c>
    </row>
    <row r="3006" spans="18:18" x14ac:dyDescent="0.3">
      <c r="R3006" t="s">
        <v>2721</v>
      </c>
    </row>
    <row r="3007" spans="18:18" x14ac:dyDescent="0.3">
      <c r="R3007" t="s">
        <v>887</v>
      </c>
    </row>
    <row r="3008" spans="18:18" x14ac:dyDescent="0.3">
      <c r="R3008" t="s">
        <v>2108</v>
      </c>
    </row>
    <row r="3009" spans="18:18" x14ac:dyDescent="0.3">
      <c r="R3009" t="s">
        <v>660</v>
      </c>
    </row>
    <row r="3010" spans="18:18" x14ac:dyDescent="0.3">
      <c r="R3010" t="s">
        <v>1440</v>
      </c>
    </row>
    <row r="3011" spans="18:18" x14ac:dyDescent="0.3">
      <c r="R3011" t="s">
        <v>4069</v>
      </c>
    </row>
    <row r="3012" spans="18:18" x14ac:dyDescent="0.3">
      <c r="R3012" t="s">
        <v>2722</v>
      </c>
    </row>
    <row r="3013" spans="18:18" x14ac:dyDescent="0.3">
      <c r="R3013" t="s">
        <v>4731</v>
      </c>
    </row>
    <row r="3014" spans="18:18" x14ac:dyDescent="0.3">
      <c r="R3014" t="s">
        <v>1441</v>
      </c>
    </row>
    <row r="3015" spans="18:18" x14ac:dyDescent="0.3">
      <c r="R3015" t="s">
        <v>4732</v>
      </c>
    </row>
    <row r="3016" spans="18:18" x14ac:dyDescent="0.3">
      <c r="R3016" t="s">
        <v>4733</v>
      </c>
    </row>
    <row r="3017" spans="18:18" x14ac:dyDescent="0.3">
      <c r="R3017" t="s">
        <v>4070</v>
      </c>
    </row>
    <row r="3018" spans="18:18" x14ac:dyDescent="0.3">
      <c r="R3018" t="s">
        <v>2723</v>
      </c>
    </row>
    <row r="3019" spans="18:18" x14ac:dyDescent="0.3">
      <c r="R3019" t="s">
        <v>661</v>
      </c>
    </row>
    <row r="3020" spans="18:18" x14ac:dyDescent="0.3">
      <c r="R3020" t="s">
        <v>662</v>
      </c>
    </row>
    <row r="3021" spans="18:18" x14ac:dyDescent="0.3">
      <c r="R3021" t="s">
        <v>4380</v>
      </c>
    </row>
    <row r="3022" spans="18:18" x14ac:dyDescent="0.3">
      <c r="R3022" t="s">
        <v>2724</v>
      </c>
    </row>
    <row r="3023" spans="18:18" x14ac:dyDescent="0.3">
      <c r="R3023" t="s">
        <v>5298</v>
      </c>
    </row>
    <row r="3024" spans="18:18" x14ac:dyDescent="0.3">
      <c r="R3024" t="s">
        <v>1749</v>
      </c>
    </row>
    <row r="3025" spans="18:18" x14ac:dyDescent="0.3">
      <c r="R3025" t="s">
        <v>5099</v>
      </c>
    </row>
    <row r="3026" spans="18:18" x14ac:dyDescent="0.3">
      <c r="R3026" t="s">
        <v>1442</v>
      </c>
    </row>
    <row r="3027" spans="18:18" x14ac:dyDescent="0.3">
      <c r="R3027" t="s">
        <v>2725</v>
      </c>
    </row>
    <row r="3028" spans="18:18" x14ac:dyDescent="0.3">
      <c r="R3028" t="s">
        <v>3574</v>
      </c>
    </row>
    <row r="3029" spans="18:18" x14ac:dyDescent="0.3">
      <c r="R3029" t="s">
        <v>4071</v>
      </c>
    </row>
    <row r="3030" spans="18:18" x14ac:dyDescent="0.3">
      <c r="R3030" t="s">
        <v>214</v>
      </c>
    </row>
    <row r="3031" spans="18:18" x14ac:dyDescent="0.3">
      <c r="R3031" t="s">
        <v>5299</v>
      </c>
    </row>
    <row r="3032" spans="18:18" x14ac:dyDescent="0.3">
      <c r="R3032" t="s">
        <v>483</v>
      </c>
    </row>
    <row r="3033" spans="18:18" x14ac:dyDescent="0.3">
      <c r="R3033" t="s">
        <v>1092</v>
      </c>
    </row>
    <row r="3034" spans="18:18" x14ac:dyDescent="0.3">
      <c r="R3034" t="s">
        <v>1247</v>
      </c>
    </row>
    <row r="3035" spans="18:18" x14ac:dyDescent="0.3">
      <c r="R3035" t="s">
        <v>4734</v>
      </c>
    </row>
    <row r="3036" spans="18:18" x14ac:dyDescent="0.3">
      <c r="R3036" t="s">
        <v>404</v>
      </c>
    </row>
    <row r="3037" spans="18:18" x14ac:dyDescent="0.3">
      <c r="R3037" t="s">
        <v>2726</v>
      </c>
    </row>
    <row r="3038" spans="18:18" x14ac:dyDescent="0.3">
      <c r="R3038" t="s">
        <v>2109</v>
      </c>
    </row>
    <row r="3039" spans="18:18" x14ac:dyDescent="0.3">
      <c r="R3039" t="s">
        <v>4072</v>
      </c>
    </row>
    <row r="3040" spans="18:18" x14ac:dyDescent="0.3">
      <c r="R3040" t="s">
        <v>320</v>
      </c>
    </row>
    <row r="3041" spans="18:18" x14ac:dyDescent="0.3">
      <c r="R3041" t="s">
        <v>2727</v>
      </c>
    </row>
    <row r="3042" spans="18:18" x14ac:dyDescent="0.3">
      <c r="R3042" t="s">
        <v>4381</v>
      </c>
    </row>
    <row r="3043" spans="18:18" x14ac:dyDescent="0.3">
      <c r="R3043" t="s">
        <v>321</v>
      </c>
    </row>
    <row r="3044" spans="18:18" x14ac:dyDescent="0.3">
      <c r="R3044" t="s">
        <v>3206</v>
      </c>
    </row>
    <row r="3045" spans="18:18" x14ac:dyDescent="0.3">
      <c r="R3045" t="s">
        <v>2728</v>
      </c>
    </row>
    <row r="3046" spans="18:18" x14ac:dyDescent="0.3">
      <c r="R3046" t="s">
        <v>3575</v>
      </c>
    </row>
    <row r="3047" spans="18:18" x14ac:dyDescent="0.3">
      <c r="R3047" t="s">
        <v>4073</v>
      </c>
    </row>
    <row r="3048" spans="18:18" x14ac:dyDescent="0.3">
      <c r="R3048" t="s">
        <v>2729</v>
      </c>
    </row>
    <row r="3049" spans="18:18" x14ac:dyDescent="0.3">
      <c r="R3049" t="s">
        <v>3576</v>
      </c>
    </row>
    <row r="3050" spans="18:18" x14ac:dyDescent="0.3">
      <c r="R3050" t="s">
        <v>1093</v>
      </c>
    </row>
    <row r="3051" spans="18:18" x14ac:dyDescent="0.3">
      <c r="R3051" t="s">
        <v>3577</v>
      </c>
    </row>
    <row r="3052" spans="18:18" x14ac:dyDescent="0.3">
      <c r="R3052" t="s">
        <v>2730</v>
      </c>
    </row>
    <row r="3053" spans="18:18" x14ac:dyDescent="0.3">
      <c r="R3053" t="s">
        <v>2730</v>
      </c>
    </row>
    <row r="3054" spans="18:18" x14ac:dyDescent="0.3">
      <c r="R3054" t="s">
        <v>1750</v>
      </c>
    </row>
    <row r="3055" spans="18:18" x14ac:dyDescent="0.3">
      <c r="R3055" t="s">
        <v>1248</v>
      </c>
    </row>
    <row r="3056" spans="18:18" x14ac:dyDescent="0.3">
      <c r="R3056" t="s">
        <v>888</v>
      </c>
    </row>
    <row r="3057" spans="18:18" x14ac:dyDescent="0.3">
      <c r="R3057" t="s">
        <v>2110</v>
      </c>
    </row>
    <row r="3058" spans="18:18" x14ac:dyDescent="0.3">
      <c r="R3058" t="s">
        <v>889</v>
      </c>
    </row>
    <row r="3059" spans="18:18" x14ac:dyDescent="0.3">
      <c r="R3059" t="s">
        <v>3207</v>
      </c>
    </row>
    <row r="3060" spans="18:18" x14ac:dyDescent="0.3">
      <c r="R3060" t="s">
        <v>3578</v>
      </c>
    </row>
    <row r="3061" spans="18:18" x14ac:dyDescent="0.3">
      <c r="R3061" t="s">
        <v>1094</v>
      </c>
    </row>
    <row r="3062" spans="18:18" x14ac:dyDescent="0.3">
      <c r="R3062" t="s">
        <v>1094</v>
      </c>
    </row>
    <row r="3063" spans="18:18" x14ac:dyDescent="0.3">
      <c r="R3063" t="s">
        <v>663</v>
      </c>
    </row>
    <row r="3064" spans="18:18" x14ac:dyDescent="0.3">
      <c r="R3064" t="s">
        <v>1095</v>
      </c>
    </row>
    <row r="3065" spans="18:18" x14ac:dyDescent="0.3">
      <c r="R3065" t="s">
        <v>890</v>
      </c>
    </row>
    <row r="3066" spans="18:18" x14ac:dyDescent="0.3">
      <c r="R3066" t="s">
        <v>5300</v>
      </c>
    </row>
    <row r="3067" spans="18:18" x14ac:dyDescent="0.3">
      <c r="R3067" t="s">
        <v>3138</v>
      </c>
    </row>
    <row r="3068" spans="18:18" x14ac:dyDescent="0.3">
      <c r="R3068" t="s">
        <v>5301</v>
      </c>
    </row>
    <row r="3069" spans="18:18" x14ac:dyDescent="0.3">
      <c r="R3069" t="s">
        <v>1751</v>
      </c>
    </row>
    <row r="3070" spans="18:18" x14ac:dyDescent="0.3">
      <c r="R3070" t="s">
        <v>4735</v>
      </c>
    </row>
    <row r="3071" spans="18:18" x14ac:dyDescent="0.3">
      <c r="R3071" t="s">
        <v>2731</v>
      </c>
    </row>
    <row r="3072" spans="18:18" x14ac:dyDescent="0.3">
      <c r="R3072" t="s">
        <v>2732</v>
      </c>
    </row>
    <row r="3073" spans="18:18" x14ac:dyDescent="0.3">
      <c r="R3073" t="s">
        <v>5302</v>
      </c>
    </row>
    <row r="3074" spans="18:18" x14ac:dyDescent="0.3">
      <c r="R3074" t="s">
        <v>3579</v>
      </c>
    </row>
    <row r="3075" spans="18:18" x14ac:dyDescent="0.3">
      <c r="R3075" t="s">
        <v>137</v>
      </c>
    </row>
    <row r="3076" spans="18:18" x14ac:dyDescent="0.3">
      <c r="R3076" t="s">
        <v>3581</v>
      </c>
    </row>
    <row r="3077" spans="18:18" x14ac:dyDescent="0.3">
      <c r="R3077" t="s">
        <v>2733</v>
      </c>
    </row>
    <row r="3078" spans="18:18" x14ac:dyDescent="0.3">
      <c r="R3078" t="s">
        <v>3580</v>
      </c>
    </row>
    <row r="3079" spans="18:18" x14ac:dyDescent="0.3">
      <c r="R3079" t="s">
        <v>3208</v>
      </c>
    </row>
    <row r="3080" spans="18:18" x14ac:dyDescent="0.3">
      <c r="R3080" t="s">
        <v>484</v>
      </c>
    </row>
    <row r="3081" spans="18:18" x14ac:dyDescent="0.3">
      <c r="R3081" t="s">
        <v>664</v>
      </c>
    </row>
    <row r="3082" spans="18:18" x14ac:dyDescent="0.3">
      <c r="R3082" t="s">
        <v>664</v>
      </c>
    </row>
    <row r="3083" spans="18:18" x14ac:dyDescent="0.3">
      <c r="R3083" t="s">
        <v>2734</v>
      </c>
    </row>
    <row r="3084" spans="18:18" x14ac:dyDescent="0.3">
      <c r="R3084" t="s">
        <v>4736</v>
      </c>
    </row>
    <row r="3085" spans="18:18" x14ac:dyDescent="0.3">
      <c r="R3085" t="s">
        <v>2735</v>
      </c>
    </row>
    <row r="3086" spans="18:18" x14ac:dyDescent="0.3">
      <c r="R3086" t="s">
        <v>1096</v>
      </c>
    </row>
    <row r="3087" spans="18:18" x14ac:dyDescent="0.3">
      <c r="R3087" t="s">
        <v>5009</v>
      </c>
    </row>
    <row r="3088" spans="18:18" x14ac:dyDescent="0.3">
      <c r="R3088" t="s">
        <v>665</v>
      </c>
    </row>
    <row r="3089" spans="18:18" x14ac:dyDescent="0.3">
      <c r="R3089" t="s">
        <v>1631</v>
      </c>
    </row>
    <row r="3090" spans="18:18" x14ac:dyDescent="0.3">
      <c r="R3090" t="s">
        <v>3582</v>
      </c>
    </row>
    <row r="3091" spans="18:18" x14ac:dyDescent="0.3">
      <c r="R3091" t="s">
        <v>2111</v>
      </c>
    </row>
    <row r="3092" spans="18:18" x14ac:dyDescent="0.3">
      <c r="R3092" t="s">
        <v>485</v>
      </c>
    </row>
    <row r="3093" spans="18:18" x14ac:dyDescent="0.3">
      <c r="R3093" t="s">
        <v>2112</v>
      </c>
    </row>
    <row r="3094" spans="18:18" x14ac:dyDescent="0.3">
      <c r="R3094" t="s">
        <v>138</v>
      </c>
    </row>
    <row r="3095" spans="18:18" x14ac:dyDescent="0.3">
      <c r="R3095" t="s">
        <v>3583</v>
      </c>
    </row>
    <row r="3096" spans="18:18" x14ac:dyDescent="0.3">
      <c r="R3096" t="s">
        <v>4074</v>
      </c>
    </row>
    <row r="3097" spans="18:18" x14ac:dyDescent="0.3">
      <c r="R3097" t="s">
        <v>3584</v>
      </c>
    </row>
    <row r="3098" spans="18:18" x14ac:dyDescent="0.3">
      <c r="R3098" t="s">
        <v>5100</v>
      </c>
    </row>
    <row r="3099" spans="18:18" x14ac:dyDescent="0.3">
      <c r="R3099" t="s">
        <v>3585</v>
      </c>
    </row>
    <row r="3100" spans="18:18" x14ac:dyDescent="0.3">
      <c r="R3100" t="s">
        <v>2736</v>
      </c>
    </row>
    <row r="3101" spans="18:18" x14ac:dyDescent="0.3">
      <c r="R3101" t="s">
        <v>4382</v>
      </c>
    </row>
    <row r="3102" spans="18:18" x14ac:dyDescent="0.3">
      <c r="R3102" t="s">
        <v>666</v>
      </c>
    </row>
    <row r="3103" spans="18:18" x14ac:dyDescent="0.3">
      <c r="R3103" t="s">
        <v>4075</v>
      </c>
    </row>
    <row r="3104" spans="18:18" x14ac:dyDescent="0.3">
      <c r="R3104" t="s">
        <v>1097</v>
      </c>
    </row>
    <row r="3105" spans="18:18" x14ac:dyDescent="0.3">
      <c r="R3105" t="s">
        <v>322</v>
      </c>
    </row>
    <row r="3106" spans="18:18" x14ac:dyDescent="0.3">
      <c r="R3106" t="s">
        <v>3586</v>
      </c>
    </row>
    <row r="3107" spans="18:18" x14ac:dyDescent="0.3">
      <c r="R3107" t="s">
        <v>4383</v>
      </c>
    </row>
    <row r="3108" spans="18:18" x14ac:dyDescent="0.3">
      <c r="R3108" t="s">
        <v>2737</v>
      </c>
    </row>
    <row r="3109" spans="18:18" x14ac:dyDescent="0.3">
      <c r="R3109" t="s">
        <v>2738</v>
      </c>
    </row>
    <row r="3110" spans="18:18" x14ac:dyDescent="0.3">
      <c r="R3110" t="s">
        <v>1443</v>
      </c>
    </row>
    <row r="3111" spans="18:18" x14ac:dyDescent="0.3">
      <c r="R3111" t="s">
        <v>3587</v>
      </c>
    </row>
    <row r="3112" spans="18:18" x14ac:dyDescent="0.3">
      <c r="R3112" t="s">
        <v>3588</v>
      </c>
    </row>
    <row r="3113" spans="18:18" x14ac:dyDescent="0.3">
      <c r="R3113" t="s">
        <v>3589</v>
      </c>
    </row>
    <row r="3114" spans="18:18" x14ac:dyDescent="0.3">
      <c r="R3114" t="s">
        <v>5303</v>
      </c>
    </row>
    <row r="3115" spans="18:18" x14ac:dyDescent="0.3">
      <c r="R3115" t="s">
        <v>1828</v>
      </c>
    </row>
    <row r="3116" spans="18:18" x14ac:dyDescent="0.3">
      <c r="R3116" t="s">
        <v>323</v>
      </c>
    </row>
    <row r="3117" spans="18:18" x14ac:dyDescent="0.3">
      <c r="R3117" t="s">
        <v>324</v>
      </c>
    </row>
    <row r="3118" spans="18:18" x14ac:dyDescent="0.3">
      <c r="R3118" t="s">
        <v>1098</v>
      </c>
    </row>
    <row r="3119" spans="18:18" x14ac:dyDescent="0.3">
      <c r="R3119" t="s">
        <v>3590</v>
      </c>
    </row>
    <row r="3120" spans="18:18" x14ac:dyDescent="0.3">
      <c r="R3120" t="s">
        <v>667</v>
      </c>
    </row>
    <row r="3121" spans="18:18" x14ac:dyDescent="0.3">
      <c r="R3121" t="s">
        <v>3591</v>
      </c>
    </row>
    <row r="3122" spans="18:18" x14ac:dyDescent="0.3">
      <c r="R3122" t="s">
        <v>4384</v>
      </c>
    </row>
    <row r="3123" spans="18:18" x14ac:dyDescent="0.3">
      <c r="R3123" t="s">
        <v>3592</v>
      </c>
    </row>
    <row r="3124" spans="18:18" x14ac:dyDescent="0.3">
      <c r="R3124" t="s">
        <v>2739</v>
      </c>
    </row>
    <row r="3125" spans="18:18" x14ac:dyDescent="0.3">
      <c r="R3125" t="s">
        <v>891</v>
      </c>
    </row>
    <row r="3126" spans="18:18" x14ac:dyDescent="0.3">
      <c r="R3126" t="s">
        <v>892</v>
      </c>
    </row>
    <row r="3127" spans="18:18" x14ac:dyDescent="0.3">
      <c r="R3127" t="s">
        <v>2740</v>
      </c>
    </row>
    <row r="3128" spans="18:18" x14ac:dyDescent="0.3">
      <c r="R3128" t="s">
        <v>1099</v>
      </c>
    </row>
    <row r="3129" spans="18:18" x14ac:dyDescent="0.3">
      <c r="R3129" t="s">
        <v>1444</v>
      </c>
    </row>
    <row r="3130" spans="18:18" x14ac:dyDescent="0.3">
      <c r="R3130" t="s">
        <v>2741</v>
      </c>
    </row>
    <row r="3131" spans="18:18" x14ac:dyDescent="0.3">
      <c r="R3131" t="s">
        <v>3139</v>
      </c>
    </row>
    <row r="3132" spans="18:18" x14ac:dyDescent="0.3">
      <c r="R3132" t="s">
        <v>1249</v>
      </c>
    </row>
    <row r="3133" spans="18:18" x14ac:dyDescent="0.3">
      <c r="R3133" t="s">
        <v>4737</v>
      </c>
    </row>
    <row r="3134" spans="18:18" x14ac:dyDescent="0.3">
      <c r="R3134" t="s">
        <v>325</v>
      </c>
    </row>
    <row r="3135" spans="18:18" x14ac:dyDescent="0.3">
      <c r="R3135" t="s">
        <v>325</v>
      </c>
    </row>
    <row r="3136" spans="18:18" x14ac:dyDescent="0.3">
      <c r="R3136" t="s">
        <v>5304</v>
      </c>
    </row>
    <row r="3137" spans="18:18" x14ac:dyDescent="0.3">
      <c r="R3137" t="s">
        <v>2742</v>
      </c>
    </row>
    <row r="3138" spans="18:18" x14ac:dyDescent="0.3">
      <c r="R3138" t="s">
        <v>1829</v>
      </c>
    </row>
    <row r="3139" spans="18:18" x14ac:dyDescent="0.3">
      <c r="R3139" t="s">
        <v>893</v>
      </c>
    </row>
    <row r="3140" spans="18:18" x14ac:dyDescent="0.3">
      <c r="R3140" t="s">
        <v>3593</v>
      </c>
    </row>
    <row r="3141" spans="18:18" x14ac:dyDescent="0.3">
      <c r="R3141" t="s">
        <v>4738</v>
      </c>
    </row>
    <row r="3142" spans="18:18" x14ac:dyDescent="0.3">
      <c r="R3142" t="s">
        <v>3594</v>
      </c>
    </row>
    <row r="3143" spans="18:18" x14ac:dyDescent="0.3">
      <c r="R3143" t="s">
        <v>3595</v>
      </c>
    </row>
    <row r="3144" spans="18:18" x14ac:dyDescent="0.3">
      <c r="R3144" t="s">
        <v>2743</v>
      </c>
    </row>
    <row r="3145" spans="18:18" x14ac:dyDescent="0.3">
      <c r="R3145" t="s">
        <v>3596</v>
      </c>
    </row>
    <row r="3146" spans="18:18" x14ac:dyDescent="0.3">
      <c r="R3146" t="s">
        <v>2744</v>
      </c>
    </row>
    <row r="3147" spans="18:18" x14ac:dyDescent="0.3">
      <c r="R3147" t="s">
        <v>4739</v>
      </c>
    </row>
    <row r="3148" spans="18:18" x14ac:dyDescent="0.3">
      <c r="R3148" t="s">
        <v>4385</v>
      </c>
    </row>
    <row r="3149" spans="18:18" x14ac:dyDescent="0.3">
      <c r="R3149" t="s">
        <v>2745</v>
      </c>
    </row>
    <row r="3150" spans="18:18" x14ac:dyDescent="0.3">
      <c r="R3150" t="s">
        <v>3597</v>
      </c>
    </row>
    <row r="3151" spans="18:18" x14ac:dyDescent="0.3">
      <c r="R3151" t="s">
        <v>3597</v>
      </c>
    </row>
    <row r="3152" spans="18:18" x14ac:dyDescent="0.3">
      <c r="R3152" t="s">
        <v>1250</v>
      </c>
    </row>
    <row r="3153" spans="18:18" x14ac:dyDescent="0.3">
      <c r="R3153" t="s">
        <v>486</v>
      </c>
    </row>
    <row r="3154" spans="18:18" x14ac:dyDescent="0.3">
      <c r="R3154" t="s">
        <v>2746</v>
      </c>
    </row>
    <row r="3155" spans="18:18" x14ac:dyDescent="0.3">
      <c r="R3155" t="s">
        <v>1445</v>
      </c>
    </row>
    <row r="3156" spans="18:18" x14ac:dyDescent="0.3">
      <c r="R3156" t="s">
        <v>3599</v>
      </c>
    </row>
    <row r="3157" spans="18:18" x14ac:dyDescent="0.3">
      <c r="R3157" t="s">
        <v>139</v>
      </c>
    </row>
    <row r="3158" spans="18:18" x14ac:dyDescent="0.3">
      <c r="R3158" t="s">
        <v>2113</v>
      </c>
    </row>
    <row r="3159" spans="18:18" x14ac:dyDescent="0.3">
      <c r="R3159" t="s">
        <v>2747</v>
      </c>
    </row>
    <row r="3160" spans="18:18" x14ac:dyDescent="0.3">
      <c r="R3160" t="s">
        <v>487</v>
      </c>
    </row>
    <row r="3161" spans="18:18" x14ac:dyDescent="0.3">
      <c r="R3161" t="s">
        <v>2749</v>
      </c>
    </row>
    <row r="3162" spans="18:18" x14ac:dyDescent="0.3">
      <c r="R3162" t="s">
        <v>1446</v>
      </c>
    </row>
    <row r="3163" spans="18:18" x14ac:dyDescent="0.3">
      <c r="R3163" t="s">
        <v>3598</v>
      </c>
    </row>
    <row r="3164" spans="18:18" x14ac:dyDescent="0.3">
      <c r="R3164" t="s">
        <v>1752</v>
      </c>
    </row>
    <row r="3165" spans="18:18" x14ac:dyDescent="0.3">
      <c r="R3165" t="s">
        <v>4740</v>
      </c>
    </row>
    <row r="3166" spans="18:18" x14ac:dyDescent="0.3">
      <c r="R3166" t="s">
        <v>668</v>
      </c>
    </row>
    <row r="3167" spans="18:18" x14ac:dyDescent="0.3">
      <c r="R3167" t="s">
        <v>2748</v>
      </c>
    </row>
    <row r="3168" spans="18:18" x14ac:dyDescent="0.3">
      <c r="R3168" t="s">
        <v>5305</v>
      </c>
    </row>
    <row r="3169" spans="18:18" x14ac:dyDescent="0.3">
      <c r="R3169" t="s">
        <v>2750</v>
      </c>
    </row>
    <row r="3170" spans="18:18" x14ac:dyDescent="0.3">
      <c r="R3170" t="s">
        <v>5306</v>
      </c>
    </row>
    <row r="3171" spans="18:18" x14ac:dyDescent="0.3">
      <c r="R3171" t="s">
        <v>5307</v>
      </c>
    </row>
    <row r="3172" spans="18:18" x14ac:dyDescent="0.3">
      <c r="R3172" t="s">
        <v>1100</v>
      </c>
    </row>
    <row r="3173" spans="18:18" x14ac:dyDescent="0.3">
      <c r="R3173" t="s">
        <v>2751</v>
      </c>
    </row>
    <row r="3174" spans="18:18" x14ac:dyDescent="0.3">
      <c r="R3174" t="s">
        <v>1101</v>
      </c>
    </row>
    <row r="3175" spans="18:18" x14ac:dyDescent="0.3">
      <c r="R3175" t="s">
        <v>1677</v>
      </c>
    </row>
    <row r="3176" spans="18:18" x14ac:dyDescent="0.3">
      <c r="R3176" t="s">
        <v>4076</v>
      </c>
    </row>
    <row r="3177" spans="18:18" x14ac:dyDescent="0.3">
      <c r="R3177" t="s">
        <v>1632</v>
      </c>
    </row>
    <row r="3178" spans="18:18" x14ac:dyDescent="0.3">
      <c r="R3178" t="s">
        <v>4741</v>
      </c>
    </row>
    <row r="3179" spans="18:18" x14ac:dyDescent="0.3">
      <c r="R3179" t="s">
        <v>2114</v>
      </c>
    </row>
    <row r="3180" spans="18:18" x14ac:dyDescent="0.3">
      <c r="R3180" t="s">
        <v>4077</v>
      </c>
    </row>
    <row r="3181" spans="18:18" x14ac:dyDescent="0.3">
      <c r="R3181" t="s">
        <v>1102</v>
      </c>
    </row>
    <row r="3182" spans="18:18" x14ac:dyDescent="0.3">
      <c r="R3182" t="s">
        <v>1102</v>
      </c>
    </row>
    <row r="3183" spans="18:18" x14ac:dyDescent="0.3">
      <c r="R3183" t="s">
        <v>4742</v>
      </c>
    </row>
    <row r="3184" spans="18:18" x14ac:dyDescent="0.3">
      <c r="R3184" t="s">
        <v>3600</v>
      </c>
    </row>
    <row r="3185" spans="18:18" x14ac:dyDescent="0.3">
      <c r="R3185" t="s">
        <v>5308</v>
      </c>
    </row>
    <row r="3186" spans="18:18" x14ac:dyDescent="0.3">
      <c r="R3186" t="s">
        <v>894</v>
      </c>
    </row>
    <row r="3187" spans="18:18" x14ac:dyDescent="0.3">
      <c r="R3187" t="s">
        <v>4386</v>
      </c>
    </row>
    <row r="3188" spans="18:18" x14ac:dyDescent="0.3">
      <c r="R3188" t="s">
        <v>2752</v>
      </c>
    </row>
    <row r="3189" spans="18:18" x14ac:dyDescent="0.3">
      <c r="R3189" t="s">
        <v>2115</v>
      </c>
    </row>
    <row r="3190" spans="18:18" x14ac:dyDescent="0.3">
      <c r="R3190" t="s">
        <v>895</v>
      </c>
    </row>
    <row r="3191" spans="18:18" x14ac:dyDescent="0.3">
      <c r="R3191" t="s">
        <v>2753</v>
      </c>
    </row>
    <row r="3192" spans="18:18" x14ac:dyDescent="0.3">
      <c r="R3192" t="s">
        <v>4387</v>
      </c>
    </row>
    <row r="3193" spans="18:18" x14ac:dyDescent="0.3">
      <c r="R3193" t="s">
        <v>4743</v>
      </c>
    </row>
    <row r="3194" spans="18:18" x14ac:dyDescent="0.3">
      <c r="R3194" t="s">
        <v>4744</v>
      </c>
    </row>
    <row r="3195" spans="18:18" x14ac:dyDescent="0.3">
      <c r="R3195" t="s">
        <v>669</v>
      </c>
    </row>
    <row r="3196" spans="18:18" x14ac:dyDescent="0.3">
      <c r="R3196" t="s">
        <v>2116</v>
      </c>
    </row>
    <row r="3197" spans="18:18" x14ac:dyDescent="0.3">
      <c r="R3197" t="s">
        <v>3601</v>
      </c>
    </row>
    <row r="3198" spans="18:18" x14ac:dyDescent="0.3">
      <c r="R3198" t="s">
        <v>5309</v>
      </c>
    </row>
    <row r="3199" spans="18:18" x14ac:dyDescent="0.3">
      <c r="R3199" t="s">
        <v>1251</v>
      </c>
    </row>
    <row r="3200" spans="18:18" x14ac:dyDescent="0.3">
      <c r="R3200" t="s">
        <v>4745</v>
      </c>
    </row>
    <row r="3201" spans="18:18" x14ac:dyDescent="0.3">
      <c r="R3201" t="s">
        <v>3602</v>
      </c>
    </row>
    <row r="3202" spans="18:18" x14ac:dyDescent="0.3">
      <c r="R3202" t="s">
        <v>5310</v>
      </c>
    </row>
    <row r="3203" spans="18:18" x14ac:dyDescent="0.3">
      <c r="R3203" t="s">
        <v>326</v>
      </c>
    </row>
    <row r="3204" spans="18:18" x14ac:dyDescent="0.3">
      <c r="R3204" t="s">
        <v>244</v>
      </c>
    </row>
    <row r="3205" spans="18:18" x14ac:dyDescent="0.3">
      <c r="R3205" t="s">
        <v>1103</v>
      </c>
    </row>
    <row r="3206" spans="18:18" x14ac:dyDescent="0.3">
      <c r="R3206" t="s">
        <v>2117</v>
      </c>
    </row>
    <row r="3207" spans="18:18" x14ac:dyDescent="0.3">
      <c r="R3207" t="s">
        <v>4746</v>
      </c>
    </row>
    <row r="3208" spans="18:18" x14ac:dyDescent="0.3">
      <c r="R3208" t="s">
        <v>2118</v>
      </c>
    </row>
    <row r="3209" spans="18:18" x14ac:dyDescent="0.3">
      <c r="R3209" t="s">
        <v>3140</v>
      </c>
    </row>
    <row r="3210" spans="18:18" x14ac:dyDescent="0.3">
      <c r="R3210" t="s">
        <v>4747</v>
      </c>
    </row>
    <row r="3211" spans="18:18" x14ac:dyDescent="0.3">
      <c r="R3211" t="s">
        <v>4748</v>
      </c>
    </row>
    <row r="3212" spans="18:18" x14ac:dyDescent="0.3">
      <c r="R3212" t="s">
        <v>1104</v>
      </c>
    </row>
    <row r="3213" spans="18:18" x14ac:dyDescent="0.3">
      <c r="R3213" t="s">
        <v>1104</v>
      </c>
    </row>
    <row r="3214" spans="18:18" x14ac:dyDescent="0.3">
      <c r="R3214" t="s">
        <v>2119</v>
      </c>
    </row>
    <row r="3215" spans="18:18" x14ac:dyDescent="0.3">
      <c r="R3215" t="s">
        <v>2120</v>
      </c>
    </row>
    <row r="3216" spans="18:18" x14ac:dyDescent="0.3">
      <c r="R3216" t="s">
        <v>2120</v>
      </c>
    </row>
    <row r="3217" spans="18:18" x14ac:dyDescent="0.3">
      <c r="R3217" t="s">
        <v>2120</v>
      </c>
    </row>
    <row r="3218" spans="18:18" x14ac:dyDescent="0.3">
      <c r="R3218" t="s">
        <v>2754</v>
      </c>
    </row>
    <row r="3219" spans="18:18" x14ac:dyDescent="0.3">
      <c r="R3219" t="s">
        <v>4078</v>
      </c>
    </row>
    <row r="3220" spans="18:18" x14ac:dyDescent="0.3">
      <c r="R3220" t="s">
        <v>2121</v>
      </c>
    </row>
    <row r="3221" spans="18:18" x14ac:dyDescent="0.3">
      <c r="R3221" t="s">
        <v>3141</v>
      </c>
    </row>
    <row r="3222" spans="18:18" x14ac:dyDescent="0.3">
      <c r="R3222" t="s">
        <v>2122</v>
      </c>
    </row>
    <row r="3223" spans="18:18" x14ac:dyDescent="0.3">
      <c r="R3223" t="s">
        <v>3142</v>
      </c>
    </row>
    <row r="3224" spans="18:18" x14ac:dyDescent="0.3">
      <c r="R3224" t="s">
        <v>2755</v>
      </c>
    </row>
    <row r="3225" spans="18:18" x14ac:dyDescent="0.3">
      <c r="R3225" t="s">
        <v>1830</v>
      </c>
    </row>
    <row r="3226" spans="18:18" x14ac:dyDescent="0.3">
      <c r="R3226" t="s">
        <v>1753</v>
      </c>
    </row>
    <row r="3227" spans="18:18" x14ac:dyDescent="0.3">
      <c r="R3227" t="s">
        <v>896</v>
      </c>
    </row>
    <row r="3228" spans="18:18" x14ac:dyDescent="0.3">
      <c r="R3228" t="s">
        <v>489</v>
      </c>
    </row>
    <row r="3229" spans="18:18" x14ac:dyDescent="0.3">
      <c r="R3229" t="s">
        <v>2123</v>
      </c>
    </row>
    <row r="3230" spans="18:18" x14ac:dyDescent="0.3">
      <c r="R3230" t="s">
        <v>3603</v>
      </c>
    </row>
    <row r="3231" spans="18:18" x14ac:dyDescent="0.3">
      <c r="R3231" t="s">
        <v>2124</v>
      </c>
    </row>
    <row r="3232" spans="18:18" x14ac:dyDescent="0.3">
      <c r="R3232" t="s">
        <v>2756</v>
      </c>
    </row>
    <row r="3233" spans="18:18" x14ac:dyDescent="0.3">
      <c r="R3233" t="s">
        <v>5311</v>
      </c>
    </row>
    <row r="3234" spans="18:18" x14ac:dyDescent="0.3">
      <c r="R3234" t="s">
        <v>2757</v>
      </c>
    </row>
    <row r="3235" spans="18:18" x14ac:dyDescent="0.3">
      <c r="R3235" t="s">
        <v>2758</v>
      </c>
    </row>
    <row r="3236" spans="18:18" x14ac:dyDescent="0.3">
      <c r="R3236" t="s">
        <v>3604</v>
      </c>
    </row>
    <row r="3237" spans="18:18" x14ac:dyDescent="0.3">
      <c r="R3237" t="s">
        <v>2759</v>
      </c>
    </row>
    <row r="3238" spans="18:18" x14ac:dyDescent="0.3">
      <c r="R3238" t="s">
        <v>4749</v>
      </c>
    </row>
    <row r="3239" spans="18:18" x14ac:dyDescent="0.3">
      <c r="R3239" t="s">
        <v>2760</v>
      </c>
    </row>
    <row r="3240" spans="18:18" x14ac:dyDescent="0.3">
      <c r="R3240" t="s">
        <v>3605</v>
      </c>
    </row>
    <row r="3241" spans="18:18" x14ac:dyDescent="0.3">
      <c r="R3241" t="s">
        <v>1252</v>
      </c>
    </row>
    <row r="3242" spans="18:18" x14ac:dyDescent="0.3">
      <c r="R3242" t="s">
        <v>2761</v>
      </c>
    </row>
    <row r="3243" spans="18:18" x14ac:dyDescent="0.3">
      <c r="R3243" t="s">
        <v>2762</v>
      </c>
    </row>
    <row r="3244" spans="18:18" x14ac:dyDescent="0.3">
      <c r="R3244" t="s">
        <v>490</v>
      </c>
    </row>
    <row r="3245" spans="18:18" x14ac:dyDescent="0.3">
      <c r="R3245" t="s">
        <v>490</v>
      </c>
    </row>
    <row r="3246" spans="18:18" x14ac:dyDescent="0.3">
      <c r="R3246" t="s">
        <v>3606</v>
      </c>
    </row>
    <row r="3247" spans="18:18" x14ac:dyDescent="0.3">
      <c r="R3247" t="s">
        <v>1447</v>
      </c>
    </row>
    <row r="3248" spans="18:18" x14ac:dyDescent="0.3">
      <c r="R3248" t="s">
        <v>4388</v>
      </c>
    </row>
    <row r="3249" spans="18:18" x14ac:dyDescent="0.3">
      <c r="R3249" t="s">
        <v>5010</v>
      </c>
    </row>
    <row r="3250" spans="18:18" x14ac:dyDescent="0.3">
      <c r="R3250" t="s">
        <v>491</v>
      </c>
    </row>
    <row r="3251" spans="18:18" x14ac:dyDescent="0.3">
      <c r="R3251" t="s">
        <v>491</v>
      </c>
    </row>
    <row r="3252" spans="18:18" x14ac:dyDescent="0.3">
      <c r="R3252" t="s">
        <v>1633</v>
      </c>
    </row>
    <row r="3253" spans="18:18" x14ac:dyDescent="0.3">
      <c r="R3253" t="s">
        <v>897</v>
      </c>
    </row>
    <row r="3254" spans="18:18" x14ac:dyDescent="0.3">
      <c r="R3254" t="s">
        <v>3607</v>
      </c>
    </row>
    <row r="3255" spans="18:18" x14ac:dyDescent="0.3">
      <c r="R3255" t="s">
        <v>2763</v>
      </c>
    </row>
    <row r="3256" spans="18:18" x14ac:dyDescent="0.3">
      <c r="R3256" t="s">
        <v>1448</v>
      </c>
    </row>
    <row r="3257" spans="18:18" x14ac:dyDescent="0.3">
      <c r="R3257" t="s">
        <v>898</v>
      </c>
    </row>
    <row r="3258" spans="18:18" x14ac:dyDescent="0.3">
      <c r="R3258" t="s">
        <v>5312</v>
      </c>
    </row>
    <row r="3259" spans="18:18" x14ac:dyDescent="0.3">
      <c r="R3259" t="s">
        <v>1831</v>
      </c>
    </row>
    <row r="3260" spans="18:18" x14ac:dyDescent="0.3">
      <c r="R3260" t="s">
        <v>2764</v>
      </c>
    </row>
    <row r="3261" spans="18:18" x14ac:dyDescent="0.3">
      <c r="R3261" t="s">
        <v>5313</v>
      </c>
    </row>
    <row r="3262" spans="18:18" x14ac:dyDescent="0.3">
      <c r="R3262" t="s">
        <v>3608</v>
      </c>
    </row>
    <row r="3263" spans="18:18" x14ac:dyDescent="0.3">
      <c r="R3263" t="s">
        <v>215</v>
      </c>
    </row>
    <row r="3264" spans="18:18" x14ac:dyDescent="0.3">
      <c r="R3264" t="s">
        <v>3609</v>
      </c>
    </row>
    <row r="3265" spans="18:18" x14ac:dyDescent="0.3">
      <c r="R3265" t="s">
        <v>4750</v>
      </c>
    </row>
    <row r="3266" spans="18:18" x14ac:dyDescent="0.3">
      <c r="R3266" t="s">
        <v>2125</v>
      </c>
    </row>
    <row r="3267" spans="18:18" x14ac:dyDescent="0.3">
      <c r="R3267" t="s">
        <v>3209</v>
      </c>
    </row>
    <row r="3268" spans="18:18" x14ac:dyDescent="0.3">
      <c r="R3268" t="s">
        <v>670</v>
      </c>
    </row>
    <row r="3269" spans="18:18" x14ac:dyDescent="0.3">
      <c r="R3269" t="s">
        <v>2765</v>
      </c>
    </row>
    <row r="3270" spans="18:18" x14ac:dyDescent="0.3">
      <c r="R3270" t="s">
        <v>5011</v>
      </c>
    </row>
    <row r="3271" spans="18:18" x14ac:dyDescent="0.3">
      <c r="R3271" t="s">
        <v>3610</v>
      </c>
    </row>
    <row r="3272" spans="18:18" x14ac:dyDescent="0.3">
      <c r="R3272" t="s">
        <v>5314</v>
      </c>
    </row>
    <row r="3273" spans="18:18" x14ac:dyDescent="0.3">
      <c r="R3273" t="s">
        <v>1253</v>
      </c>
    </row>
    <row r="3274" spans="18:18" x14ac:dyDescent="0.3">
      <c r="R3274" t="s">
        <v>3210</v>
      </c>
    </row>
    <row r="3275" spans="18:18" x14ac:dyDescent="0.3">
      <c r="R3275" t="s">
        <v>5101</v>
      </c>
    </row>
    <row r="3276" spans="18:18" x14ac:dyDescent="0.3">
      <c r="R3276" t="s">
        <v>4751</v>
      </c>
    </row>
    <row r="3277" spans="18:18" x14ac:dyDescent="0.3">
      <c r="R3277" t="s">
        <v>2126</v>
      </c>
    </row>
    <row r="3278" spans="18:18" x14ac:dyDescent="0.3">
      <c r="R3278" t="s">
        <v>245</v>
      </c>
    </row>
    <row r="3279" spans="18:18" x14ac:dyDescent="0.3">
      <c r="R3279" t="s">
        <v>5102</v>
      </c>
    </row>
    <row r="3280" spans="18:18" x14ac:dyDescent="0.3">
      <c r="R3280" t="s">
        <v>1832</v>
      </c>
    </row>
    <row r="3281" spans="18:18" x14ac:dyDescent="0.3">
      <c r="R3281" t="s">
        <v>1833</v>
      </c>
    </row>
    <row r="3282" spans="18:18" x14ac:dyDescent="0.3">
      <c r="R3282" t="s">
        <v>1834</v>
      </c>
    </row>
    <row r="3283" spans="18:18" x14ac:dyDescent="0.3">
      <c r="R3283" t="s">
        <v>4079</v>
      </c>
    </row>
    <row r="3284" spans="18:18" x14ac:dyDescent="0.3">
      <c r="R3284" t="s">
        <v>1835</v>
      </c>
    </row>
    <row r="3285" spans="18:18" x14ac:dyDescent="0.3">
      <c r="R3285" t="s">
        <v>899</v>
      </c>
    </row>
    <row r="3286" spans="18:18" x14ac:dyDescent="0.3">
      <c r="R3286" t="s">
        <v>5103</v>
      </c>
    </row>
    <row r="3287" spans="18:18" x14ac:dyDescent="0.3">
      <c r="R3287" t="s">
        <v>1836</v>
      </c>
    </row>
    <row r="3288" spans="18:18" x14ac:dyDescent="0.3">
      <c r="R3288" t="s">
        <v>900</v>
      </c>
    </row>
    <row r="3289" spans="18:18" x14ac:dyDescent="0.3">
      <c r="R3289" t="s">
        <v>3611</v>
      </c>
    </row>
    <row r="3290" spans="18:18" x14ac:dyDescent="0.3">
      <c r="R3290" t="s">
        <v>4080</v>
      </c>
    </row>
    <row r="3291" spans="18:18" x14ac:dyDescent="0.3">
      <c r="R3291" t="s">
        <v>4752</v>
      </c>
    </row>
    <row r="3292" spans="18:18" x14ac:dyDescent="0.3">
      <c r="R3292" t="s">
        <v>5012</v>
      </c>
    </row>
    <row r="3293" spans="18:18" x14ac:dyDescent="0.3">
      <c r="R3293" t="s">
        <v>5315</v>
      </c>
    </row>
    <row r="3294" spans="18:18" x14ac:dyDescent="0.3">
      <c r="R3294" t="s">
        <v>4081</v>
      </c>
    </row>
    <row r="3295" spans="18:18" x14ac:dyDescent="0.3">
      <c r="R3295" t="s">
        <v>5013</v>
      </c>
    </row>
    <row r="3296" spans="18:18" x14ac:dyDescent="0.3">
      <c r="R3296" t="s">
        <v>4753</v>
      </c>
    </row>
    <row r="3297" spans="18:18" x14ac:dyDescent="0.3">
      <c r="R3297" t="s">
        <v>4082</v>
      </c>
    </row>
    <row r="3298" spans="18:18" x14ac:dyDescent="0.3">
      <c r="R3298" t="s">
        <v>4082</v>
      </c>
    </row>
    <row r="3299" spans="18:18" x14ac:dyDescent="0.3">
      <c r="R3299" t="s">
        <v>5104</v>
      </c>
    </row>
    <row r="3300" spans="18:18" x14ac:dyDescent="0.3">
      <c r="R3300" t="s">
        <v>4754</v>
      </c>
    </row>
    <row r="3301" spans="18:18" x14ac:dyDescent="0.3">
      <c r="R3301" t="s">
        <v>2766</v>
      </c>
    </row>
    <row r="3302" spans="18:18" x14ac:dyDescent="0.3">
      <c r="R3302" t="s">
        <v>4755</v>
      </c>
    </row>
    <row r="3303" spans="18:18" x14ac:dyDescent="0.3">
      <c r="R3303" t="s">
        <v>5108</v>
      </c>
    </row>
    <row r="3304" spans="18:18" x14ac:dyDescent="0.3">
      <c r="R3304" t="s">
        <v>113</v>
      </c>
    </row>
    <row r="3305" spans="18:18" x14ac:dyDescent="0.3">
      <c r="R3305" t="s">
        <v>4756</v>
      </c>
    </row>
    <row r="3306" spans="18:18" x14ac:dyDescent="0.3">
      <c r="R3306" t="s">
        <v>3612</v>
      </c>
    </row>
    <row r="3307" spans="18:18" x14ac:dyDescent="0.3">
      <c r="R3307" t="s">
        <v>2127</v>
      </c>
    </row>
    <row r="3308" spans="18:18" x14ac:dyDescent="0.3">
      <c r="R3308" t="s">
        <v>5109</v>
      </c>
    </row>
    <row r="3309" spans="18:18" x14ac:dyDescent="0.3">
      <c r="R3309" t="s">
        <v>3613</v>
      </c>
    </row>
    <row r="3310" spans="18:18" x14ac:dyDescent="0.3">
      <c r="R3310" t="s">
        <v>4757</v>
      </c>
    </row>
    <row r="3311" spans="18:18" x14ac:dyDescent="0.3">
      <c r="R3311" t="s">
        <v>4083</v>
      </c>
    </row>
    <row r="3312" spans="18:18" x14ac:dyDescent="0.3">
      <c r="R3312" t="s">
        <v>3614</v>
      </c>
    </row>
    <row r="3313" spans="18:18" x14ac:dyDescent="0.3">
      <c r="R3313" t="s">
        <v>671</v>
      </c>
    </row>
    <row r="3314" spans="18:18" x14ac:dyDescent="0.3">
      <c r="R3314" t="s">
        <v>5316</v>
      </c>
    </row>
    <row r="3315" spans="18:18" x14ac:dyDescent="0.3">
      <c r="R3315" t="s">
        <v>1254</v>
      </c>
    </row>
    <row r="3316" spans="18:18" x14ac:dyDescent="0.3">
      <c r="R3316" t="s">
        <v>2767</v>
      </c>
    </row>
    <row r="3317" spans="18:18" x14ac:dyDescent="0.3">
      <c r="R3317" t="s">
        <v>4389</v>
      </c>
    </row>
    <row r="3318" spans="18:18" x14ac:dyDescent="0.3">
      <c r="R3318" t="s">
        <v>4084</v>
      </c>
    </row>
    <row r="3319" spans="18:18" x14ac:dyDescent="0.3">
      <c r="R3319" t="s">
        <v>327</v>
      </c>
    </row>
    <row r="3320" spans="18:18" x14ac:dyDescent="0.3">
      <c r="R3320" t="s">
        <v>4085</v>
      </c>
    </row>
    <row r="3321" spans="18:18" x14ac:dyDescent="0.3">
      <c r="R3321" t="s">
        <v>4758</v>
      </c>
    </row>
    <row r="3322" spans="18:18" x14ac:dyDescent="0.3">
      <c r="R3322" t="s">
        <v>3615</v>
      </c>
    </row>
    <row r="3323" spans="18:18" x14ac:dyDescent="0.3">
      <c r="R3323" t="s">
        <v>2128</v>
      </c>
    </row>
    <row r="3324" spans="18:18" x14ac:dyDescent="0.3">
      <c r="R3324" t="s">
        <v>2128</v>
      </c>
    </row>
    <row r="3325" spans="18:18" x14ac:dyDescent="0.3">
      <c r="R3325" t="s">
        <v>1449</v>
      </c>
    </row>
    <row r="3326" spans="18:18" x14ac:dyDescent="0.3">
      <c r="R3326" t="s">
        <v>3211</v>
      </c>
    </row>
    <row r="3327" spans="18:18" x14ac:dyDescent="0.3">
      <c r="R3327" t="s">
        <v>5317</v>
      </c>
    </row>
    <row r="3328" spans="18:18" x14ac:dyDescent="0.3">
      <c r="R3328" t="s">
        <v>3616</v>
      </c>
    </row>
    <row r="3329" spans="18:18" x14ac:dyDescent="0.3">
      <c r="R3329" t="s">
        <v>5164</v>
      </c>
    </row>
    <row r="3330" spans="18:18" x14ac:dyDescent="0.3">
      <c r="R3330" t="s">
        <v>3617</v>
      </c>
    </row>
    <row r="3331" spans="18:18" x14ac:dyDescent="0.3">
      <c r="R3331" t="s">
        <v>4759</v>
      </c>
    </row>
    <row r="3332" spans="18:18" x14ac:dyDescent="0.3">
      <c r="R3332" t="s">
        <v>2129</v>
      </c>
    </row>
    <row r="3333" spans="18:18" x14ac:dyDescent="0.3">
      <c r="R3333" t="s">
        <v>3212</v>
      </c>
    </row>
    <row r="3334" spans="18:18" x14ac:dyDescent="0.3">
      <c r="R3334" t="s">
        <v>5318</v>
      </c>
    </row>
    <row r="3335" spans="18:18" x14ac:dyDescent="0.3">
      <c r="R3335" t="s">
        <v>3618</v>
      </c>
    </row>
    <row r="3336" spans="18:18" x14ac:dyDescent="0.3">
      <c r="R3336" t="s">
        <v>672</v>
      </c>
    </row>
    <row r="3337" spans="18:18" x14ac:dyDescent="0.3">
      <c r="R3337" t="s">
        <v>328</v>
      </c>
    </row>
    <row r="3338" spans="18:18" x14ac:dyDescent="0.3">
      <c r="R3338" t="s">
        <v>4390</v>
      </c>
    </row>
    <row r="3339" spans="18:18" x14ac:dyDescent="0.3">
      <c r="R3339" t="s">
        <v>2130</v>
      </c>
    </row>
    <row r="3340" spans="18:18" x14ac:dyDescent="0.3">
      <c r="R3340" t="s">
        <v>5106</v>
      </c>
    </row>
    <row r="3341" spans="18:18" x14ac:dyDescent="0.3">
      <c r="R3341" t="s">
        <v>4086</v>
      </c>
    </row>
    <row r="3342" spans="18:18" x14ac:dyDescent="0.3">
      <c r="R3342" t="s">
        <v>2768</v>
      </c>
    </row>
    <row r="3343" spans="18:18" x14ac:dyDescent="0.3">
      <c r="R3343" t="s">
        <v>4087</v>
      </c>
    </row>
    <row r="3344" spans="18:18" x14ac:dyDescent="0.3">
      <c r="R3344" t="s">
        <v>3620</v>
      </c>
    </row>
    <row r="3345" spans="18:18" x14ac:dyDescent="0.3">
      <c r="R3345" t="s">
        <v>123</v>
      </c>
    </row>
    <row r="3346" spans="18:18" x14ac:dyDescent="0.3">
      <c r="R3346" t="s">
        <v>5165</v>
      </c>
    </row>
    <row r="3347" spans="18:18" x14ac:dyDescent="0.3">
      <c r="R3347" t="s">
        <v>5166</v>
      </c>
    </row>
    <row r="3348" spans="18:18" x14ac:dyDescent="0.3">
      <c r="R3348" t="s">
        <v>2769</v>
      </c>
    </row>
    <row r="3349" spans="18:18" x14ac:dyDescent="0.3">
      <c r="R3349" t="s">
        <v>5167</v>
      </c>
    </row>
    <row r="3350" spans="18:18" x14ac:dyDescent="0.3">
      <c r="R3350" t="s">
        <v>5110</v>
      </c>
    </row>
    <row r="3351" spans="18:18" x14ac:dyDescent="0.3">
      <c r="R3351" t="s">
        <v>5105</v>
      </c>
    </row>
    <row r="3352" spans="18:18" x14ac:dyDescent="0.3">
      <c r="R3352" t="s">
        <v>3621</v>
      </c>
    </row>
    <row r="3353" spans="18:18" x14ac:dyDescent="0.3">
      <c r="R3353" t="s">
        <v>4088</v>
      </c>
    </row>
    <row r="3354" spans="18:18" x14ac:dyDescent="0.3">
      <c r="R3354" t="s">
        <v>4088</v>
      </c>
    </row>
    <row r="3355" spans="18:18" x14ac:dyDescent="0.3">
      <c r="R3355" t="s">
        <v>492</v>
      </c>
    </row>
    <row r="3356" spans="18:18" x14ac:dyDescent="0.3">
      <c r="R3356" t="s">
        <v>492</v>
      </c>
    </row>
    <row r="3357" spans="18:18" x14ac:dyDescent="0.3">
      <c r="R3357" t="s">
        <v>492</v>
      </c>
    </row>
    <row r="3358" spans="18:18" x14ac:dyDescent="0.3">
      <c r="R3358" t="s">
        <v>673</v>
      </c>
    </row>
    <row r="3359" spans="18:18" x14ac:dyDescent="0.3">
      <c r="R3359" t="s">
        <v>216</v>
      </c>
    </row>
    <row r="3360" spans="18:18" x14ac:dyDescent="0.3">
      <c r="R3360" t="s">
        <v>4760</v>
      </c>
    </row>
    <row r="3361" spans="18:18" x14ac:dyDescent="0.3">
      <c r="R3361" t="s">
        <v>4761</v>
      </c>
    </row>
    <row r="3362" spans="18:18" x14ac:dyDescent="0.3">
      <c r="R3362" t="s">
        <v>1450</v>
      </c>
    </row>
    <row r="3363" spans="18:18" x14ac:dyDescent="0.3">
      <c r="R3363" t="s">
        <v>4762</v>
      </c>
    </row>
    <row r="3364" spans="18:18" x14ac:dyDescent="0.3">
      <c r="R3364" t="s">
        <v>2770</v>
      </c>
    </row>
    <row r="3365" spans="18:18" x14ac:dyDescent="0.3">
      <c r="R3365" t="s">
        <v>2771</v>
      </c>
    </row>
    <row r="3366" spans="18:18" x14ac:dyDescent="0.3">
      <c r="R3366" t="s">
        <v>4763</v>
      </c>
    </row>
    <row r="3367" spans="18:18" x14ac:dyDescent="0.3">
      <c r="R3367" t="s">
        <v>4091</v>
      </c>
    </row>
    <row r="3368" spans="18:18" x14ac:dyDescent="0.3">
      <c r="R3368" t="s">
        <v>4764</v>
      </c>
    </row>
    <row r="3369" spans="18:18" x14ac:dyDescent="0.3">
      <c r="R3369" t="s">
        <v>2131</v>
      </c>
    </row>
    <row r="3370" spans="18:18" x14ac:dyDescent="0.3">
      <c r="R3370" t="s">
        <v>2772</v>
      </c>
    </row>
    <row r="3371" spans="18:18" x14ac:dyDescent="0.3">
      <c r="R3371" t="s">
        <v>5319</v>
      </c>
    </row>
    <row r="3372" spans="18:18" x14ac:dyDescent="0.3">
      <c r="R3372" t="s">
        <v>4765</v>
      </c>
    </row>
    <row r="3373" spans="18:18" x14ac:dyDescent="0.3">
      <c r="R3373" t="s">
        <v>493</v>
      </c>
    </row>
    <row r="3374" spans="18:18" x14ac:dyDescent="0.3">
      <c r="R3374" t="s">
        <v>1105</v>
      </c>
    </row>
    <row r="3375" spans="18:18" x14ac:dyDescent="0.3">
      <c r="R3375" t="s">
        <v>4089</v>
      </c>
    </row>
    <row r="3376" spans="18:18" x14ac:dyDescent="0.3">
      <c r="R3376" t="s">
        <v>5107</v>
      </c>
    </row>
    <row r="3377" spans="18:18" x14ac:dyDescent="0.3">
      <c r="R3377" t="s">
        <v>920</v>
      </c>
    </row>
    <row r="3378" spans="18:18" x14ac:dyDescent="0.3">
      <c r="R3378" t="s">
        <v>920</v>
      </c>
    </row>
    <row r="3379" spans="18:18" x14ac:dyDescent="0.3">
      <c r="R3379" t="s">
        <v>4090</v>
      </c>
    </row>
    <row r="3380" spans="18:18" x14ac:dyDescent="0.3">
      <c r="R3380" t="s">
        <v>2773</v>
      </c>
    </row>
    <row r="3381" spans="18:18" x14ac:dyDescent="0.3">
      <c r="R3381" t="s">
        <v>2132</v>
      </c>
    </row>
    <row r="3382" spans="18:18" x14ac:dyDescent="0.3">
      <c r="R3382" t="s">
        <v>4092</v>
      </c>
    </row>
    <row r="3383" spans="18:18" x14ac:dyDescent="0.3">
      <c r="R3383" t="s">
        <v>329</v>
      </c>
    </row>
    <row r="3384" spans="18:18" x14ac:dyDescent="0.3">
      <c r="R3384" t="s">
        <v>4391</v>
      </c>
    </row>
    <row r="3385" spans="18:18" x14ac:dyDescent="0.3">
      <c r="R3385" t="s">
        <v>5111</v>
      </c>
    </row>
    <row r="3386" spans="18:18" x14ac:dyDescent="0.3">
      <c r="R3386" t="s">
        <v>140</v>
      </c>
    </row>
    <row r="3387" spans="18:18" x14ac:dyDescent="0.3">
      <c r="R3387" t="s">
        <v>140</v>
      </c>
    </row>
    <row r="3388" spans="18:18" x14ac:dyDescent="0.3">
      <c r="R3388" t="s">
        <v>3143</v>
      </c>
    </row>
    <row r="3389" spans="18:18" x14ac:dyDescent="0.3">
      <c r="R3389" t="s">
        <v>4392</v>
      </c>
    </row>
    <row r="3390" spans="18:18" x14ac:dyDescent="0.3">
      <c r="R3390" t="s">
        <v>4392</v>
      </c>
    </row>
    <row r="3391" spans="18:18" x14ac:dyDescent="0.3">
      <c r="R3391" t="s">
        <v>2133</v>
      </c>
    </row>
    <row r="3392" spans="18:18" x14ac:dyDescent="0.3">
      <c r="R3392" t="s">
        <v>5112</v>
      </c>
    </row>
    <row r="3393" spans="18:18" x14ac:dyDescent="0.3">
      <c r="R3393" t="s">
        <v>3619</v>
      </c>
    </row>
    <row r="3394" spans="18:18" x14ac:dyDescent="0.3">
      <c r="R3394" t="s">
        <v>494</v>
      </c>
    </row>
    <row r="3395" spans="18:18" x14ac:dyDescent="0.3">
      <c r="R3395" t="s">
        <v>217</v>
      </c>
    </row>
    <row r="3396" spans="18:18" x14ac:dyDescent="0.3">
      <c r="R3396" t="s">
        <v>495</v>
      </c>
    </row>
    <row r="3397" spans="18:18" x14ac:dyDescent="0.3">
      <c r="R3397" t="s">
        <v>218</v>
      </c>
    </row>
    <row r="3398" spans="18:18" x14ac:dyDescent="0.3">
      <c r="R3398" t="s">
        <v>4771</v>
      </c>
    </row>
    <row r="3399" spans="18:18" x14ac:dyDescent="0.3">
      <c r="R3399" t="s">
        <v>5320</v>
      </c>
    </row>
    <row r="3400" spans="18:18" x14ac:dyDescent="0.3">
      <c r="R3400" t="s">
        <v>4766</v>
      </c>
    </row>
    <row r="3401" spans="18:18" x14ac:dyDescent="0.3">
      <c r="R3401" t="s">
        <v>2774</v>
      </c>
    </row>
    <row r="3402" spans="18:18" x14ac:dyDescent="0.3">
      <c r="R3402" t="s">
        <v>5321</v>
      </c>
    </row>
    <row r="3403" spans="18:18" x14ac:dyDescent="0.3">
      <c r="R3403" t="s">
        <v>4767</v>
      </c>
    </row>
    <row r="3404" spans="18:18" x14ac:dyDescent="0.3">
      <c r="R3404" t="s">
        <v>2134</v>
      </c>
    </row>
    <row r="3405" spans="18:18" x14ac:dyDescent="0.3">
      <c r="R3405" t="s">
        <v>2134</v>
      </c>
    </row>
    <row r="3406" spans="18:18" x14ac:dyDescent="0.3">
      <c r="R3406" t="s">
        <v>2134</v>
      </c>
    </row>
    <row r="3407" spans="18:18" x14ac:dyDescent="0.3">
      <c r="R3407" t="s">
        <v>5114</v>
      </c>
    </row>
    <row r="3408" spans="18:18" x14ac:dyDescent="0.3">
      <c r="R3408" t="s">
        <v>128</v>
      </c>
    </row>
    <row r="3409" spans="18:18" x14ac:dyDescent="0.3">
      <c r="R3409" t="s">
        <v>5014</v>
      </c>
    </row>
    <row r="3410" spans="18:18" x14ac:dyDescent="0.3">
      <c r="R3410" t="s">
        <v>4093</v>
      </c>
    </row>
    <row r="3411" spans="18:18" x14ac:dyDescent="0.3">
      <c r="R3411" t="s">
        <v>496</v>
      </c>
    </row>
    <row r="3412" spans="18:18" x14ac:dyDescent="0.3">
      <c r="R3412" t="s">
        <v>1754</v>
      </c>
    </row>
    <row r="3413" spans="18:18" x14ac:dyDescent="0.3">
      <c r="R3413" t="s">
        <v>4768</v>
      </c>
    </row>
    <row r="3414" spans="18:18" x14ac:dyDescent="0.3">
      <c r="R3414" t="s">
        <v>5113</v>
      </c>
    </row>
    <row r="3415" spans="18:18" x14ac:dyDescent="0.3">
      <c r="R3415" t="s">
        <v>1106</v>
      </c>
    </row>
    <row r="3416" spans="18:18" x14ac:dyDescent="0.3">
      <c r="R3416" t="s">
        <v>2775</v>
      </c>
    </row>
    <row r="3417" spans="18:18" x14ac:dyDescent="0.3">
      <c r="R3417" t="s">
        <v>901</v>
      </c>
    </row>
    <row r="3418" spans="18:18" x14ac:dyDescent="0.3">
      <c r="R3418" t="s">
        <v>5322</v>
      </c>
    </row>
    <row r="3419" spans="18:18" x14ac:dyDescent="0.3">
      <c r="R3419" t="s">
        <v>330</v>
      </c>
    </row>
    <row r="3420" spans="18:18" x14ac:dyDescent="0.3">
      <c r="R3420" t="s">
        <v>331</v>
      </c>
    </row>
    <row r="3421" spans="18:18" x14ac:dyDescent="0.3">
      <c r="R3421" t="s">
        <v>902</v>
      </c>
    </row>
    <row r="3422" spans="18:18" x14ac:dyDescent="0.3">
      <c r="R3422" t="s">
        <v>902</v>
      </c>
    </row>
    <row r="3423" spans="18:18" x14ac:dyDescent="0.3">
      <c r="R3423" t="s">
        <v>5115</v>
      </c>
    </row>
    <row r="3424" spans="18:18" x14ac:dyDescent="0.3">
      <c r="R3424" t="s">
        <v>4769</v>
      </c>
    </row>
    <row r="3425" spans="18:18" x14ac:dyDescent="0.3">
      <c r="R3425" t="s">
        <v>2135</v>
      </c>
    </row>
    <row r="3426" spans="18:18" x14ac:dyDescent="0.3">
      <c r="R3426" t="s">
        <v>4770</v>
      </c>
    </row>
    <row r="3427" spans="18:18" x14ac:dyDescent="0.3">
      <c r="R3427" t="s">
        <v>2776</v>
      </c>
    </row>
    <row r="3428" spans="18:18" x14ac:dyDescent="0.3">
      <c r="R3428" t="s">
        <v>3622</v>
      </c>
    </row>
    <row r="3429" spans="18:18" x14ac:dyDescent="0.3">
      <c r="R3429" t="s">
        <v>332</v>
      </c>
    </row>
    <row r="3430" spans="18:18" x14ac:dyDescent="0.3">
      <c r="R3430" t="s">
        <v>1107</v>
      </c>
    </row>
    <row r="3431" spans="18:18" x14ac:dyDescent="0.3">
      <c r="R3431" t="s">
        <v>3623</v>
      </c>
    </row>
    <row r="3432" spans="18:18" x14ac:dyDescent="0.3">
      <c r="R3432" t="s">
        <v>903</v>
      </c>
    </row>
    <row r="3433" spans="18:18" x14ac:dyDescent="0.3">
      <c r="R3433" t="s">
        <v>333</v>
      </c>
    </row>
    <row r="3434" spans="18:18" x14ac:dyDescent="0.3">
      <c r="R3434" t="s">
        <v>405</v>
      </c>
    </row>
    <row r="3435" spans="18:18" x14ac:dyDescent="0.3">
      <c r="R3435" t="s">
        <v>2777</v>
      </c>
    </row>
    <row r="3436" spans="18:18" x14ac:dyDescent="0.3">
      <c r="R3436" t="s">
        <v>3624</v>
      </c>
    </row>
    <row r="3437" spans="18:18" x14ac:dyDescent="0.3">
      <c r="R3437" t="s">
        <v>1451</v>
      </c>
    </row>
    <row r="3438" spans="18:18" x14ac:dyDescent="0.3">
      <c r="R3438" t="s">
        <v>674</v>
      </c>
    </row>
    <row r="3439" spans="18:18" x14ac:dyDescent="0.3">
      <c r="R3439" t="s">
        <v>1755</v>
      </c>
    </row>
    <row r="3440" spans="18:18" x14ac:dyDescent="0.3">
      <c r="R3440" t="s">
        <v>1756</v>
      </c>
    </row>
    <row r="3441" spans="18:18" x14ac:dyDescent="0.3">
      <c r="R3441" t="s">
        <v>904</v>
      </c>
    </row>
    <row r="3442" spans="18:18" x14ac:dyDescent="0.3">
      <c r="R3442" t="s">
        <v>1757</v>
      </c>
    </row>
    <row r="3443" spans="18:18" x14ac:dyDescent="0.3">
      <c r="R3443" t="s">
        <v>1255</v>
      </c>
    </row>
    <row r="3444" spans="18:18" x14ac:dyDescent="0.3">
      <c r="R3444" t="s">
        <v>2778</v>
      </c>
    </row>
    <row r="3445" spans="18:18" x14ac:dyDescent="0.3">
      <c r="R3445" t="s">
        <v>3625</v>
      </c>
    </row>
    <row r="3446" spans="18:18" x14ac:dyDescent="0.3">
      <c r="R3446" t="s">
        <v>2779</v>
      </c>
    </row>
    <row r="3447" spans="18:18" x14ac:dyDescent="0.3">
      <c r="R3447" t="s">
        <v>1634</v>
      </c>
    </row>
    <row r="3448" spans="18:18" x14ac:dyDescent="0.3">
      <c r="R3448" t="s">
        <v>675</v>
      </c>
    </row>
    <row r="3449" spans="18:18" x14ac:dyDescent="0.3">
      <c r="R3449" t="s">
        <v>2136</v>
      </c>
    </row>
    <row r="3450" spans="18:18" x14ac:dyDescent="0.3">
      <c r="R3450" t="s">
        <v>1452</v>
      </c>
    </row>
    <row r="3451" spans="18:18" x14ac:dyDescent="0.3">
      <c r="R3451" t="s">
        <v>2780</v>
      </c>
    </row>
    <row r="3452" spans="18:18" x14ac:dyDescent="0.3">
      <c r="R3452" t="s">
        <v>497</v>
      </c>
    </row>
    <row r="3453" spans="18:18" x14ac:dyDescent="0.3">
      <c r="R3453" t="s">
        <v>2137</v>
      </c>
    </row>
    <row r="3454" spans="18:18" x14ac:dyDescent="0.3">
      <c r="R3454" t="s">
        <v>2781</v>
      </c>
    </row>
    <row r="3455" spans="18:18" x14ac:dyDescent="0.3">
      <c r="R3455" t="s">
        <v>1758</v>
      </c>
    </row>
    <row r="3456" spans="18:18" x14ac:dyDescent="0.3">
      <c r="R3456" t="s">
        <v>2782</v>
      </c>
    </row>
    <row r="3457" spans="18:18" x14ac:dyDescent="0.3">
      <c r="R3457" t="s">
        <v>3626</v>
      </c>
    </row>
    <row r="3458" spans="18:18" x14ac:dyDescent="0.3">
      <c r="R3458" t="s">
        <v>2783</v>
      </c>
    </row>
    <row r="3459" spans="18:18" x14ac:dyDescent="0.3">
      <c r="R3459" t="s">
        <v>3627</v>
      </c>
    </row>
    <row r="3460" spans="18:18" x14ac:dyDescent="0.3">
      <c r="R3460" t="s">
        <v>3628</v>
      </c>
    </row>
    <row r="3461" spans="18:18" x14ac:dyDescent="0.3">
      <c r="R3461" t="s">
        <v>334</v>
      </c>
    </row>
    <row r="3462" spans="18:18" x14ac:dyDescent="0.3">
      <c r="R3462" t="s">
        <v>2784</v>
      </c>
    </row>
    <row r="3463" spans="18:18" x14ac:dyDescent="0.3">
      <c r="R3463" t="s">
        <v>5323</v>
      </c>
    </row>
    <row r="3464" spans="18:18" x14ac:dyDescent="0.3">
      <c r="R3464" t="s">
        <v>3629</v>
      </c>
    </row>
    <row r="3465" spans="18:18" x14ac:dyDescent="0.3">
      <c r="R3465" t="s">
        <v>4393</v>
      </c>
    </row>
    <row r="3466" spans="18:18" x14ac:dyDescent="0.3">
      <c r="R3466" t="s">
        <v>1635</v>
      </c>
    </row>
    <row r="3467" spans="18:18" x14ac:dyDescent="0.3">
      <c r="R3467" t="s">
        <v>1636</v>
      </c>
    </row>
    <row r="3468" spans="18:18" x14ac:dyDescent="0.3">
      <c r="R3468" t="s">
        <v>1108</v>
      </c>
    </row>
    <row r="3469" spans="18:18" x14ac:dyDescent="0.3">
      <c r="R3469" t="s">
        <v>4094</v>
      </c>
    </row>
    <row r="3470" spans="18:18" x14ac:dyDescent="0.3">
      <c r="R3470" t="s">
        <v>3630</v>
      </c>
    </row>
    <row r="3471" spans="18:18" x14ac:dyDescent="0.3">
      <c r="R3471" t="s">
        <v>3631</v>
      </c>
    </row>
    <row r="3472" spans="18:18" x14ac:dyDescent="0.3">
      <c r="R3472" t="s">
        <v>4772</v>
      </c>
    </row>
    <row r="3473" spans="18:18" x14ac:dyDescent="0.3">
      <c r="R3473" t="s">
        <v>3632</v>
      </c>
    </row>
    <row r="3474" spans="18:18" x14ac:dyDescent="0.3">
      <c r="R3474" t="s">
        <v>4394</v>
      </c>
    </row>
    <row r="3475" spans="18:18" x14ac:dyDescent="0.3">
      <c r="R3475" t="s">
        <v>335</v>
      </c>
    </row>
    <row r="3476" spans="18:18" x14ac:dyDescent="0.3">
      <c r="R3476" t="s">
        <v>2138</v>
      </c>
    </row>
    <row r="3477" spans="18:18" x14ac:dyDescent="0.3">
      <c r="R3477" t="s">
        <v>1637</v>
      </c>
    </row>
    <row r="3478" spans="18:18" x14ac:dyDescent="0.3">
      <c r="R3478" t="s">
        <v>336</v>
      </c>
    </row>
    <row r="3479" spans="18:18" x14ac:dyDescent="0.3">
      <c r="R3479" t="s">
        <v>3633</v>
      </c>
    </row>
    <row r="3480" spans="18:18" x14ac:dyDescent="0.3">
      <c r="R3480" t="s">
        <v>4095</v>
      </c>
    </row>
    <row r="3481" spans="18:18" x14ac:dyDescent="0.3">
      <c r="R3481" t="s">
        <v>4395</v>
      </c>
    </row>
    <row r="3482" spans="18:18" x14ac:dyDescent="0.3">
      <c r="R3482" t="s">
        <v>1256</v>
      </c>
    </row>
    <row r="3483" spans="18:18" x14ac:dyDescent="0.3">
      <c r="R3483" t="s">
        <v>1256</v>
      </c>
    </row>
    <row r="3484" spans="18:18" x14ac:dyDescent="0.3">
      <c r="R3484" t="s">
        <v>1256</v>
      </c>
    </row>
    <row r="3485" spans="18:18" x14ac:dyDescent="0.3">
      <c r="R3485" t="s">
        <v>2785</v>
      </c>
    </row>
    <row r="3486" spans="18:18" x14ac:dyDescent="0.3">
      <c r="R3486" t="s">
        <v>2786</v>
      </c>
    </row>
    <row r="3487" spans="18:18" x14ac:dyDescent="0.3">
      <c r="R3487" t="s">
        <v>114</v>
      </c>
    </row>
    <row r="3488" spans="18:18" x14ac:dyDescent="0.3">
      <c r="R3488" t="s">
        <v>1453</v>
      </c>
    </row>
    <row r="3489" spans="18:18" x14ac:dyDescent="0.3">
      <c r="R3489" t="s">
        <v>3635</v>
      </c>
    </row>
    <row r="3490" spans="18:18" x14ac:dyDescent="0.3">
      <c r="R3490" t="s">
        <v>3635</v>
      </c>
    </row>
    <row r="3491" spans="18:18" x14ac:dyDescent="0.3">
      <c r="R3491" t="s">
        <v>5324</v>
      </c>
    </row>
    <row r="3492" spans="18:18" x14ac:dyDescent="0.3">
      <c r="R3492" t="s">
        <v>2787</v>
      </c>
    </row>
    <row r="3493" spans="18:18" x14ac:dyDescent="0.3">
      <c r="R3493" t="s">
        <v>4096</v>
      </c>
    </row>
    <row r="3494" spans="18:18" x14ac:dyDescent="0.3">
      <c r="R3494" t="s">
        <v>3634</v>
      </c>
    </row>
    <row r="3495" spans="18:18" x14ac:dyDescent="0.3">
      <c r="R3495" t="s">
        <v>2139</v>
      </c>
    </row>
    <row r="3496" spans="18:18" x14ac:dyDescent="0.3">
      <c r="R3496" t="s">
        <v>5325</v>
      </c>
    </row>
    <row r="3497" spans="18:18" x14ac:dyDescent="0.3">
      <c r="R3497" t="s">
        <v>3636</v>
      </c>
    </row>
    <row r="3498" spans="18:18" x14ac:dyDescent="0.3">
      <c r="R3498" t="s">
        <v>337</v>
      </c>
    </row>
    <row r="3499" spans="18:18" x14ac:dyDescent="0.3">
      <c r="R3499" t="s">
        <v>1109</v>
      </c>
    </row>
    <row r="3500" spans="18:18" x14ac:dyDescent="0.3">
      <c r="R3500" t="s">
        <v>246</v>
      </c>
    </row>
    <row r="3501" spans="18:18" x14ac:dyDescent="0.3">
      <c r="R3501" t="s">
        <v>1110</v>
      </c>
    </row>
    <row r="3502" spans="18:18" x14ac:dyDescent="0.3">
      <c r="R3502" t="s">
        <v>1110</v>
      </c>
    </row>
    <row r="3503" spans="18:18" x14ac:dyDescent="0.3">
      <c r="R3503" t="s">
        <v>676</v>
      </c>
    </row>
    <row r="3504" spans="18:18" x14ac:dyDescent="0.3">
      <c r="R3504" t="s">
        <v>1111</v>
      </c>
    </row>
    <row r="3505" spans="18:18" x14ac:dyDescent="0.3">
      <c r="R3505" t="s">
        <v>1112</v>
      </c>
    </row>
    <row r="3506" spans="18:18" x14ac:dyDescent="0.3">
      <c r="R3506" t="s">
        <v>5326</v>
      </c>
    </row>
    <row r="3507" spans="18:18" x14ac:dyDescent="0.3">
      <c r="R3507" t="s">
        <v>2788</v>
      </c>
    </row>
    <row r="3508" spans="18:18" x14ac:dyDescent="0.3">
      <c r="R3508" t="s">
        <v>905</v>
      </c>
    </row>
    <row r="3509" spans="18:18" x14ac:dyDescent="0.3">
      <c r="R3509" t="s">
        <v>2789</v>
      </c>
    </row>
    <row r="3510" spans="18:18" x14ac:dyDescent="0.3">
      <c r="R3510" t="s">
        <v>906</v>
      </c>
    </row>
    <row r="3511" spans="18:18" x14ac:dyDescent="0.3">
      <c r="R3511" t="s">
        <v>2792</v>
      </c>
    </row>
    <row r="3512" spans="18:18" x14ac:dyDescent="0.3">
      <c r="R3512" t="s">
        <v>4396</v>
      </c>
    </row>
    <row r="3513" spans="18:18" x14ac:dyDescent="0.3">
      <c r="R3513" t="s">
        <v>4097</v>
      </c>
    </row>
    <row r="3514" spans="18:18" x14ac:dyDescent="0.3">
      <c r="R3514" t="s">
        <v>4773</v>
      </c>
    </row>
    <row r="3515" spans="18:18" x14ac:dyDescent="0.3">
      <c r="R3515" t="s">
        <v>2790</v>
      </c>
    </row>
    <row r="3516" spans="18:18" x14ac:dyDescent="0.3">
      <c r="R3516" t="s">
        <v>4397</v>
      </c>
    </row>
    <row r="3517" spans="18:18" x14ac:dyDescent="0.3">
      <c r="R3517" t="s">
        <v>2791</v>
      </c>
    </row>
    <row r="3518" spans="18:18" x14ac:dyDescent="0.3">
      <c r="R3518" t="s">
        <v>2793</v>
      </c>
    </row>
    <row r="3519" spans="18:18" x14ac:dyDescent="0.3">
      <c r="R3519" t="s">
        <v>907</v>
      </c>
    </row>
    <row r="3520" spans="18:18" x14ac:dyDescent="0.3">
      <c r="R3520" t="s">
        <v>1759</v>
      </c>
    </row>
    <row r="3521" spans="18:18" x14ac:dyDescent="0.3">
      <c r="R3521" t="s">
        <v>1759</v>
      </c>
    </row>
    <row r="3522" spans="18:18" x14ac:dyDescent="0.3">
      <c r="R3522" t="s">
        <v>5327</v>
      </c>
    </row>
    <row r="3523" spans="18:18" x14ac:dyDescent="0.3">
      <c r="R3523" t="s">
        <v>338</v>
      </c>
    </row>
    <row r="3524" spans="18:18" x14ac:dyDescent="0.3">
      <c r="R3524" t="s">
        <v>1113</v>
      </c>
    </row>
    <row r="3525" spans="18:18" x14ac:dyDescent="0.3">
      <c r="R3525" t="s">
        <v>4398</v>
      </c>
    </row>
    <row r="3526" spans="18:18" x14ac:dyDescent="0.3">
      <c r="R3526" t="s">
        <v>2794</v>
      </c>
    </row>
    <row r="3527" spans="18:18" x14ac:dyDescent="0.3">
      <c r="R3527" t="s">
        <v>4399</v>
      </c>
    </row>
    <row r="3528" spans="18:18" x14ac:dyDescent="0.3">
      <c r="R3528" t="s">
        <v>1114</v>
      </c>
    </row>
    <row r="3529" spans="18:18" x14ac:dyDescent="0.3">
      <c r="R3529" t="s">
        <v>1638</v>
      </c>
    </row>
    <row r="3530" spans="18:18" x14ac:dyDescent="0.3">
      <c r="R3530" t="s">
        <v>4774</v>
      </c>
    </row>
    <row r="3531" spans="18:18" x14ac:dyDescent="0.3">
      <c r="R3531" t="s">
        <v>3637</v>
      </c>
    </row>
    <row r="3532" spans="18:18" x14ac:dyDescent="0.3">
      <c r="R3532" t="s">
        <v>541</v>
      </c>
    </row>
    <row r="3533" spans="18:18" x14ac:dyDescent="0.3">
      <c r="R3533" t="s">
        <v>541</v>
      </c>
    </row>
    <row r="3534" spans="18:18" x14ac:dyDescent="0.3">
      <c r="R3534" t="s">
        <v>2140</v>
      </c>
    </row>
    <row r="3535" spans="18:18" x14ac:dyDescent="0.3">
      <c r="R3535" t="s">
        <v>4098</v>
      </c>
    </row>
    <row r="3536" spans="18:18" x14ac:dyDescent="0.3">
      <c r="R3536" t="s">
        <v>4098</v>
      </c>
    </row>
    <row r="3537" spans="18:18" x14ac:dyDescent="0.3">
      <c r="R3537" t="s">
        <v>4775</v>
      </c>
    </row>
    <row r="3538" spans="18:18" x14ac:dyDescent="0.3">
      <c r="R3538" t="s">
        <v>908</v>
      </c>
    </row>
    <row r="3539" spans="18:18" x14ac:dyDescent="0.3">
      <c r="R3539" t="s">
        <v>3638</v>
      </c>
    </row>
    <row r="3540" spans="18:18" x14ac:dyDescent="0.3">
      <c r="R3540" t="s">
        <v>1760</v>
      </c>
    </row>
    <row r="3541" spans="18:18" x14ac:dyDescent="0.3">
      <c r="R3541" t="s">
        <v>909</v>
      </c>
    </row>
    <row r="3542" spans="18:18" x14ac:dyDescent="0.3">
      <c r="R3542" t="s">
        <v>677</v>
      </c>
    </row>
    <row r="3543" spans="18:18" x14ac:dyDescent="0.3">
      <c r="R3543" t="s">
        <v>498</v>
      </c>
    </row>
    <row r="3544" spans="18:18" x14ac:dyDescent="0.3">
      <c r="R3544" t="s">
        <v>2141</v>
      </c>
    </row>
    <row r="3545" spans="18:18" x14ac:dyDescent="0.3">
      <c r="R3545" t="s">
        <v>5328</v>
      </c>
    </row>
    <row r="3546" spans="18:18" x14ac:dyDescent="0.3">
      <c r="R3546" t="s">
        <v>488</v>
      </c>
    </row>
    <row r="3547" spans="18:18" x14ac:dyDescent="0.3">
      <c r="R3547" t="s">
        <v>1639</v>
      </c>
    </row>
    <row r="3548" spans="18:18" x14ac:dyDescent="0.3">
      <c r="R3548" t="s">
        <v>499</v>
      </c>
    </row>
    <row r="3549" spans="18:18" x14ac:dyDescent="0.3">
      <c r="R3549" t="s">
        <v>5329</v>
      </c>
    </row>
    <row r="3550" spans="18:18" x14ac:dyDescent="0.3">
      <c r="R3550" t="s">
        <v>5330</v>
      </c>
    </row>
    <row r="3551" spans="18:18" x14ac:dyDescent="0.3">
      <c r="R3551" t="s">
        <v>3639</v>
      </c>
    </row>
    <row r="3552" spans="18:18" x14ac:dyDescent="0.3">
      <c r="R3552" t="s">
        <v>3639</v>
      </c>
    </row>
    <row r="3553" spans="18:18" x14ac:dyDescent="0.3">
      <c r="R3553" t="s">
        <v>4776</v>
      </c>
    </row>
    <row r="3554" spans="18:18" x14ac:dyDescent="0.3">
      <c r="R3554" t="s">
        <v>4400</v>
      </c>
    </row>
    <row r="3555" spans="18:18" x14ac:dyDescent="0.3">
      <c r="R3555" t="s">
        <v>2795</v>
      </c>
    </row>
    <row r="3556" spans="18:18" x14ac:dyDescent="0.3">
      <c r="R3556" t="s">
        <v>4099</v>
      </c>
    </row>
    <row r="3557" spans="18:18" x14ac:dyDescent="0.3">
      <c r="R3557" t="s">
        <v>5331</v>
      </c>
    </row>
    <row r="3558" spans="18:18" x14ac:dyDescent="0.3">
      <c r="R3558" t="s">
        <v>4777</v>
      </c>
    </row>
    <row r="3559" spans="18:18" x14ac:dyDescent="0.3">
      <c r="R3559" t="s">
        <v>3144</v>
      </c>
    </row>
    <row r="3560" spans="18:18" x14ac:dyDescent="0.3">
      <c r="R3560" t="s">
        <v>1640</v>
      </c>
    </row>
    <row r="3561" spans="18:18" x14ac:dyDescent="0.3">
      <c r="R3561" t="s">
        <v>3640</v>
      </c>
    </row>
    <row r="3562" spans="18:18" x14ac:dyDescent="0.3">
      <c r="R3562" t="s">
        <v>4778</v>
      </c>
    </row>
    <row r="3563" spans="18:18" x14ac:dyDescent="0.3">
      <c r="R3563" t="s">
        <v>1761</v>
      </c>
    </row>
    <row r="3564" spans="18:18" x14ac:dyDescent="0.3">
      <c r="R3564" t="s">
        <v>2796</v>
      </c>
    </row>
    <row r="3565" spans="18:18" x14ac:dyDescent="0.3">
      <c r="R3565" t="s">
        <v>4401</v>
      </c>
    </row>
    <row r="3566" spans="18:18" x14ac:dyDescent="0.3">
      <c r="R3566" t="s">
        <v>910</v>
      </c>
    </row>
    <row r="3567" spans="18:18" x14ac:dyDescent="0.3">
      <c r="R3567" t="s">
        <v>2798</v>
      </c>
    </row>
    <row r="3568" spans="18:18" x14ac:dyDescent="0.3">
      <c r="R3568" t="s">
        <v>3213</v>
      </c>
    </row>
    <row r="3569" spans="18:18" x14ac:dyDescent="0.3">
      <c r="R3569" t="s">
        <v>2797</v>
      </c>
    </row>
    <row r="3570" spans="18:18" x14ac:dyDescent="0.3">
      <c r="R3570" t="s">
        <v>1115</v>
      </c>
    </row>
    <row r="3571" spans="18:18" x14ac:dyDescent="0.3">
      <c r="R3571" t="s">
        <v>339</v>
      </c>
    </row>
    <row r="3572" spans="18:18" x14ac:dyDescent="0.3">
      <c r="R3572" t="s">
        <v>2799</v>
      </c>
    </row>
    <row r="3573" spans="18:18" x14ac:dyDescent="0.3">
      <c r="R3573" t="s">
        <v>3641</v>
      </c>
    </row>
    <row r="3574" spans="18:18" x14ac:dyDescent="0.3">
      <c r="R3574" t="s">
        <v>4779</v>
      </c>
    </row>
    <row r="3575" spans="18:18" x14ac:dyDescent="0.3">
      <c r="R3575" t="s">
        <v>3214</v>
      </c>
    </row>
    <row r="3576" spans="18:18" x14ac:dyDescent="0.3">
      <c r="R3576" t="s">
        <v>678</v>
      </c>
    </row>
    <row r="3577" spans="18:18" x14ac:dyDescent="0.3">
      <c r="R3577" t="s">
        <v>3642</v>
      </c>
    </row>
    <row r="3578" spans="18:18" x14ac:dyDescent="0.3">
      <c r="R3578" t="s">
        <v>1116</v>
      </c>
    </row>
    <row r="3579" spans="18:18" x14ac:dyDescent="0.3">
      <c r="R3579" t="s">
        <v>3643</v>
      </c>
    </row>
    <row r="3580" spans="18:18" x14ac:dyDescent="0.3">
      <c r="R3580" t="s">
        <v>3643</v>
      </c>
    </row>
    <row r="3581" spans="18:18" x14ac:dyDescent="0.3">
      <c r="R3581" t="s">
        <v>5015</v>
      </c>
    </row>
    <row r="3582" spans="18:18" x14ac:dyDescent="0.3">
      <c r="R3582" t="s">
        <v>4100</v>
      </c>
    </row>
    <row r="3583" spans="18:18" x14ac:dyDescent="0.3">
      <c r="R3583" t="s">
        <v>4780</v>
      </c>
    </row>
    <row r="3584" spans="18:18" x14ac:dyDescent="0.3">
      <c r="R3584" t="s">
        <v>500</v>
      </c>
    </row>
    <row r="3585" spans="18:18" x14ac:dyDescent="0.3">
      <c r="R3585" t="s">
        <v>2800</v>
      </c>
    </row>
    <row r="3586" spans="18:18" x14ac:dyDescent="0.3">
      <c r="R3586" t="s">
        <v>1117</v>
      </c>
    </row>
    <row r="3587" spans="18:18" x14ac:dyDescent="0.3">
      <c r="R3587" t="s">
        <v>2142</v>
      </c>
    </row>
    <row r="3588" spans="18:18" x14ac:dyDescent="0.3">
      <c r="R3588" t="s">
        <v>1118</v>
      </c>
    </row>
    <row r="3589" spans="18:18" x14ac:dyDescent="0.3">
      <c r="R3589" t="s">
        <v>1257</v>
      </c>
    </row>
    <row r="3590" spans="18:18" x14ac:dyDescent="0.3">
      <c r="R3590" t="s">
        <v>501</v>
      </c>
    </row>
    <row r="3591" spans="18:18" x14ac:dyDescent="0.3">
      <c r="R3591" t="s">
        <v>4101</v>
      </c>
    </row>
    <row r="3592" spans="18:18" x14ac:dyDescent="0.3">
      <c r="R3592" t="s">
        <v>4102</v>
      </c>
    </row>
    <row r="3593" spans="18:18" x14ac:dyDescent="0.3">
      <c r="R3593" t="s">
        <v>5016</v>
      </c>
    </row>
    <row r="3594" spans="18:18" x14ac:dyDescent="0.3">
      <c r="R3594" t="s">
        <v>5332</v>
      </c>
    </row>
    <row r="3595" spans="18:18" x14ac:dyDescent="0.3">
      <c r="R3595" t="s">
        <v>5116</v>
      </c>
    </row>
    <row r="3596" spans="18:18" x14ac:dyDescent="0.3">
      <c r="R3596" t="s">
        <v>3644</v>
      </c>
    </row>
    <row r="3597" spans="18:18" x14ac:dyDescent="0.3">
      <c r="R3597" t="s">
        <v>4103</v>
      </c>
    </row>
    <row r="3598" spans="18:18" x14ac:dyDescent="0.3">
      <c r="R3598" t="s">
        <v>3645</v>
      </c>
    </row>
    <row r="3599" spans="18:18" x14ac:dyDescent="0.3">
      <c r="R3599" t="s">
        <v>1641</v>
      </c>
    </row>
    <row r="3600" spans="18:18" x14ac:dyDescent="0.3">
      <c r="R3600" t="s">
        <v>5117</v>
      </c>
    </row>
    <row r="3601" spans="18:18" x14ac:dyDescent="0.3">
      <c r="R3601" t="s">
        <v>4104</v>
      </c>
    </row>
    <row r="3602" spans="18:18" x14ac:dyDescent="0.3">
      <c r="R3602" t="s">
        <v>5017</v>
      </c>
    </row>
    <row r="3603" spans="18:18" x14ac:dyDescent="0.3">
      <c r="R3603" t="s">
        <v>2801</v>
      </c>
    </row>
    <row r="3604" spans="18:18" x14ac:dyDescent="0.3">
      <c r="R3604" t="s">
        <v>3646</v>
      </c>
    </row>
    <row r="3605" spans="18:18" x14ac:dyDescent="0.3">
      <c r="R3605" t="s">
        <v>1454</v>
      </c>
    </row>
    <row r="3606" spans="18:18" x14ac:dyDescent="0.3">
      <c r="R3606" t="s">
        <v>2143</v>
      </c>
    </row>
    <row r="3607" spans="18:18" x14ac:dyDescent="0.3">
      <c r="R3607" t="s">
        <v>3215</v>
      </c>
    </row>
    <row r="3608" spans="18:18" x14ac:dyDescent="0.3">
      <c r="R3608" t="s">
        <v>1258</v>
      </c>
    </row>
    <row r="3609" spans="18:18" x14ac:dyDescent="0.3">
      <c r="R3609" t="s">
        <v>340</v>
      </c>
    </row>
    <row r="3610" spans="18:18" x14ac:dyDescent="0.3">
      <c r="R3610" t="s">
        <v>5333</v>
      </c>
    </row>
    <row r="3611" spans="18:18" x14ac:dyDescent="0.3">
      <c r="R3611" t="s">
        <v>1259</v>
      </c>
    </row>
    <row r="3612" spans="18:18" x14ac:dyDescent="0.3">
      <c r="R3612" t="s">
        <v>3647</v>
      </c>
    </row>
    <row r="3613" spans="18:18" x14ac:dyDescent="0.3">
      <c r="R3613" t="s">
        <v>4781</v>
      </c>
    </row>
    <row r="3614" spans="18:18" x14ac:dyDescent="0.3">
      <c r="R3614" t="s">
        <v>141</v>
      </c>
    </row>
    <row r="3615" spans="18:18" x14ac:dyDescent="0.3">
      <c r="R3615" t="s">
        <v>1260</v>
      </c>
    </row>
    <row r="3616" spans="18:18" x14ac:dyDescent="0.3">
      <c r="R3616" t="s">
        <v>1762</v>
      </c>
    </row>
    <row r="3617" spans="18:18" x14ac:dyDescent="0.3">
      <c r="R3617" t="s">
        <v>219</v>
      </c>
    </row>
    <row r="3618" spans="18:18" x14ac:dyDescent="0.3">
      <c r="R3618" t="s">
        <v>2144</v>
      </c>
    </row>
    <row r="3619" spans="18:18" x14ac:dyDescent="0.3">
      <c r="R3619" t="s">
        <v>1763</v>
      </c>
    </row>
    <row r="3620" spans="18:18" x14ac:dyDescent="0.3">
      <c r="R3620" t="s">
        <v>3648</v>
      </c>
    </row>
    <row r="3621" spans="18:18" x14ac:dyDescent="0.3">
      <c r="R3621" t="s">
        <v>3649</v>
      </c>
    </row>
    <row r="3622" spans="18:18" x14ac:dyDescent="0.3">
      <c r="R3622" t="s">
        <v>911</v>
      </c>
    </row>
    <row r="3623" spans="18:18" x14ac:dyDescent="0.3">
      <c r="R3623" t="s">
        <v>912</v>
      </c>
    </row>
    <row r="3624" spans="18:18" x14ac:dyDescent="0.3">
      <c r="R3624" t="s">
        <v>1200</v>
      </c>
    </row>
    <row r="3625" spans="18:18" x14ac:dyDescent="0.3">
      <c r="R3625" t="s">
        <v>1200</v>
      </c>
    </row>
    <row r="3626" spans="18:18" x14ac:dyDescent="0.3">
      <c r="R3626" t="s">
        <v>679</v>
      </c>
    </row>
    <row r="3627" spans="18:18" x14ac:dyDescent="0.3">
      <c r="R3627" t="s">
        <v>4782</v>
      </c>
    </row>
    <row r="3628" spans="18:18" x14ac:dyDescent="0.3">
      <c r="R3628" t="s">
        <v>1262</v>
      </c>
    </row>
    <row r="3629" spans="18:18" x14ac:dyDescent="0.3">
      <c r="R3629" t="s">
        <v>2803</v>
      </c>
    </row>
    <row r="3630" spans="18:18" x14ac:dyDescent="0.3">
      <c r="R3630" t="s">
        <v>4783</v>
      </c>
    </row>
    <row r="3631" spans="18:18" x14ac:dyDescent="0.3">
      <c r="R3631" t="s">
        <v>2804</v>
      </c>
    </row>
    <row r="3632" spans="18:18" x14ac:dyDescent="0.3">
      <c r="R3632" t="s">
        <v>2802</v>
      </c>
    </row>
    <row r="3633" spans="18:18" x14ac:dyDescent="0.3">
      <c r="R3633" t="s">
        <v>1263</v>
      </c>
    </row>
    <row r="3634" spans="18:18" x14ac:dyDescent="0.3">
      <c r="R3634" t="s">
        <v>1263</v>
      </c>
    </row>
    <row r="3635" spans="18:18" x14ac:dyDescent="0.3">
      <c r="R3635" t="s">
        <v>680</v>
      </c>
    </row>
    <row r="3636" spans="18:18" x14ac:dyDescent="0.3">
      <c r="R3636" t="s">
        <v>913</v>
      </c>
    </row>
    <row r="3637" spans="18:18" x14ac:dyDescent="0.3">
      <c r="R3637" t="s">
        <v>2805</v>
      </c>
    </row>
    <row r="3638" spans="18:18" x14ac:dyDescent="0.3">
      <c r="R3638" t="s">
        <v>1642</v>
      </c>
    </row>
    <row r="3639" spans="18:18" x14ac:dyDescent="0.3">
      <c r="R3639" t="s">
        <v>1764</v>
      </c>
    </row>
    <row r="3640" spans="18:18" x14ac:dyDescent="0.3">
      <c r="R3640" t="s">
        <v>4402</v>
      </c>
    </row>
    <row r="3641" spans="18:18" x14ac:dyDescent="0.3">
      <c r="R3641" t="s">
        <v>4784</v>
      </c>
    </row>
    <row r="3642" spans="18:18" x14ac:dyDescent="0.3">
      <c r="R3642" t="s">
        <v>4785</v>
      </c>
    </row>
    <row r="3643" spans="18:18" x14ac:dyDescent="0.3">
      <c r="R3643" t="s">
        <v>2806</v>
      </c>
    </row>
    <row r="3644" spans="18:18" x14ac:dyDescent="0.3">
      <c r="R3644" t="s">
        <v>4403</v>
      </c>
    </row>
    <row r="3645" spans="18:18" x14ac:dyDescent="0.3">
      <c r="R3645" t="s">
        <v>681</v>
      </c>
    </row>
    <row r="3646" spans="18:18" x14ac:dyDescent="0.3">
      <c r="R3646" t="s">
        <v>2807</v>
      </c>
    </row>
    <row r="3647" spans="18:18" x14ac:dyDescent="0.3">
      <c r="R3647" t="s">
        <v>4105</v>
      </c>
    </row>
    <row r="3648" spans="18:18" x14ac:dyDescent="0.3">
      <c r="R3648" t="s">
        <v>4106</v>
      </c>
    </row>
    <row r="3649" spans="18:18" x14ac:dyDescent="0.3">
      <c r="R3649" t="s">
        <v>1455</v>
      </c>
    </row>
    <row r="3650" spans="18:18" x14ac:dyDescent="0.3">
      <c r="R3650" t="s">
        <v>2808</v>
      </c>
    </row>
    <row r="3651" spans="18:18" x14ac:dyDescent="0.3">
      <c r="R3651" t="s">
        <v>914</v>
      </c>
    </row>
    <row r="3652" spans="18:18" x14ac:dyDescent="0.3">
      <c r="R3652" t="s">
        <v>2809</v>
      </c>
    </row>
    <row r="3653" spans="18:18" x14ac:dyDescent="0.3">
      <c r="R3653" t="s">
        <v>2810</v>
      </c>
    </row>
    <row r="3654" spans="18:18" x14ac:dyDescent="0.3">
      <c r="R3654" t="s">
        <v>3650</v>
      </c>
    </row>
    <row r="3655" spans="18:18" x14ac:dyDescent="0.3">
      <c r="R3655" t="s">
        <v>1264</v>
      </c>
    </row>
    <row r="3656" spans="18:18" x14ac:dyDescent="0.3">
      <c r="R3656" t="s">
        <v>3216</v>
      </c>
    </row>
    <row r="3657" spans="18:18" x14ac:dyDescent="0.3">
      <c r="R3657" t="s">
        <v>2145</v>
      </c>
    </row>
    <row r="3658" spans="18:18" x14ac:dyDescent="0.3">
      <c r="R3658" t="s">
        <v>341</v>
      </c>
    </row>
    <row r="3659" spans="18:18" x14ac:dyDescent="0.3">
      <c r="R3659" t="s">
        <v>341</v>
      </c>
    </row>
    <row r="3660" spans="18:18" x14ac:dyDescent="0.3">
      <c r="R3660" t="s">
        <v>915</v>
      </c>
    </row>
    <row r="3661" spans="18:18" x14ac:dyDescent="0.3">
      <c r="R3661" t="s">
        <v>1266</v>
      </c>
    </row>
    <row r="3662" spans="18:18" x14ac:dyDescent="0.3">
      <c r="R3662" t="s">
        <v>1643</v>
      </c>
    </row>
    <row r="3663" spans="18:18" x14ac:dyDescent="0.3">
      <c r="R3663" t="s">
        <v>220</v>
      </c>
    </row>
    <row r="3664" spans="18:18" x14ac:dyDescent="0.3">
      <c r="R3664" t="s">
        <v>2811</v>
      </c>
    </row>
    <row r="3665" spans="18:18" x14ac:dyDescent="0.3">
      <c r="R3665" t="s">
        <v>4107</v>
      </c>
    </row>
    <row r="3666" spans="18:18" x14ac:dyDescent="0.3">
      <c r="R3666" t="s">
        <v>3651</v>
      </c>
    </row>
    <row r="3667" spans="18:18" x14ac:dyDescent="0.3">
      <c r="R3667" t="s">
        <v>3652</v>
      </c>
    </row>
    <row r="3668" spans="18:18" x14ac:dyDescent="0.3">
      <c r="R3668" t="s">
        <v>682</v>
      </c>
    </row>
    <row r="3669" spans="18:18" x14ac:dyDescent="0.3">
      <c r="R3669" t="s">
        <v>1456</v>
      </c>
    </row>
    <row r="3670" spans="18:18" x14ac:dyDescent="0.3">
      <c r="R3670" t="s">
        <v>1456</v>
      </c>
    </row>
    <row r="3671" spans="18:18" x14ac:dyDescent="0.3">
      <c r="R3671" t="s">
        <v>916</v>
      </c>
    </row>
    <row r="3672" spans="18:18" x14ac:dyDescent="0.3">
      <c r="R3672" t="s">
        <v>3653</v>
      </c>
    </row>
    <row r="3673" spans="18:18" x14ac:dyDescent="0.3">
      <c r="R3673" t="s">
        <v>2812</v>
      </c>
    </row>
    <row r="3674" spans="18:18" x14ac:dyDescent="0.3">
      <c r="R3674" t="s">
        <v>2146</v>
      </c>
    </row>
    <row r="3675" spans="18:18" x14ac:dyDescent="0.3">
      <c r="R3675" t="s">
        <v>4786</v>
      </c>
    </row>
    <row r="3676" spans="18:18" x14ac:dyDescent="0.3">
      <c r="R3676" t="s">
        <v>3654</v>
      </c>
    </row>
    <row r="3677" spans="18:18" x14ac:dyDescent="0.3">
      <c r="R3677" t="s">
        <v>4108</v>
      </c>
    </row>
    <row r="3678" spans="18:18" x14ac:dyDescent="0.3">
      <c r="R3678" t="s">
        <v>1765</v>
      </c>
    </row>
    <row r="3679" spans="18:18" x14ac:dyDescent="0.3">
      <c r="R3679" t="s">
        <v>4404</v>
      </c>
    </row>
    <row r="3680" spans="18:18" x14ac:dyDescent="0.3">
      <c r="R3680" t="s">
        <v>683</v>
      </c>
    </row>
    <row r="3681" spans="18:18" x14ac:dyDescent="0.3">
      <c r="R3681" t="s">
        <v>2813</v>
      </c>
    </row>
    <row r="3682" spans="18:18" x14ac:dyDescent="0.3">
      <c r="R3682" t="s">
        <v>4787</v>
      </c>
    </row>
    <row r="3683" spans="18:18" x14ac:dyDescent="0.3">
      <c r="R3683" t="s">
        <v>917</v>
      </c>
    </row>
    <row r="3684" spans="18:18" x14ac:dyDescent="0.3">
      <c r="R3684" t="s">
        <v>2147</v>
      </c>
    </row>
    <row r="3685" spans="18:18" x14ac:dyDescent="0.3">
      <c r="R3685" t="s">
        <v>4109</v>
      </c>
    </row>
    <row r="3686" spans="18:18" x14ac:dyDescent="0.3">
      <c r="R3686" t="s">
        <v>2814</v>
      </c>
    </row>
    <row r="3687" spans="18:18" x14ac:dyDescent="0.3">
      <c r="R3687" t="s">
        <v>3655</v>
      </c>
    </row>
    <row r="3688" spans="18:18" x14ac:dyDescent="0.3">
      <c r="R3688" t="s">
        <v>1644</v>
      </c>
    </row>
    <row r="3689" spans="18:18" x14ac:dyDescent="0.3">
      <c r="R3689" t="s">
        <v>2815</v>
      </c>
    </row>
    <row r="3690" spans="18:18" x14ac:dyDescent="0.3">
      <c r="R3690" t="s">
        <v>3656</v>
      </c>
    </row>
    <row r="3691" spans="18:18" x14ac:dyDescent="0.3">
      <c r="R3691" t="s">
        <v>2816</v>
      </c>
    </row>
    <row r="3692" spans="18:18" x14ac:dyDescent="0.3">
      <c r="R3692" t="s">
        <v>1119</v>
      </c>
    </row>
    <row r="3693" spans="18:18" x14ac:dyDescent="0.3">
      <c r="R3693" t="s">
        <v>1119</v>
      </c>
    </row>
    <row r="3694" spans="18:18" x14ac:dyDescent="0.3">
      <c r="R3694" t="s">
        <v>397</v>
      </c>
    </row>
    <row r="3695" spans="18:18" x14ac:dyDescent="0.3">
      <c r="R3695" t="s">
        <v>2817</v>
      </c>
    </row>
    <row r="3696" spans="18:18" x14ac:dyDescent="0.3">
      <c r="R3696" t="s">
        <v>2818</v>
      </c>
    </row>
    <row r="3697" spans="18:18" x14ac:dyDescent="0.3">
      <c r="R3697" t="s">
        <v>2819</v>
      </c>
    </row>
    <row r="3698" spans="18:18" x14ac:dyDescent="0.3">
      <c r="R3698" t="s">
        <v>1267</v>
      </c>
    </row>
    <row r="3699" spans="18:18" x14ac:dyDescent="0.3">
      <c r="R3699" t="s">
        <v>1457</v>
      </c>
    </row>
    <row r="3700" spans="18:18" x14ac:dyDescent="0.3">
      <c r="R3700" t="s">
        <v>1837</v>
      </c>
    </row>
    <row r="3701" spans="18:18" x14ac:dyDescent="0.3">
      <c r="R3701" t="s">
        <v>1268</v>
      </c>
    </row>
    <row r="3702" spans="18:18" x14ac:dyDescent="0.3">
      <c r="R3702" t="s">
        <v>1268</v>
      </c>
    </row>
    <row r="3703" spans="18:18" x14ac:dyDescent="0.3">
      <c r="R3703" t="s">
        <v>2820</v>
      </c>
    </row>
    <row r="3704" spans="18:18" x14ac:dyDescent="0.3">
      <c r="R3704" t="s">
        <v>3657</v>
      </c>
    </row>
    <row r="3705" spans="18:18" x14ac:dyDescent="0.3">
      <c r="R3705" t="s">
        <v>2148</v>
      </c>
    </row>
    <row r="3706" spans="18:18" x14ac:dyDescent="0.3">
      <c r="R3706" t="s">
        <v>4788</v>
      </c>
    </row>
    <row r="3707" spans="18:18" x14ac:dyDescent="0.3">
      <c r="R3707" t="s">
        <v>1458</v>
      </c>
    </row>
    <row r="3708" spans="18:18" x14ac:dyDescent="0.3">
      <c r="R3708" t="s">
        <v>2821</v>
      </c>
    </row>
    <row r="3709" spans="18:18" x14ac:dyDescent="0.3">
      <c r="R3709" t="s">
        <v>4405</v>
      </c>
    </row>
    <row r="3710" spans="18:18" x14ac:dyDescent="0.3">
      <c r="R3710" t="s">
        <v>3658</v>
      </c>
    </row>
    <row r="3711" spans="18:18" x14ac:dyDescent="0.3">
      <c r="R3711" t="s">
        <v>3659</v>
      </c>
    </row>
    <row r="3712" spans="18:18" x14ac:dyDescent="0.3">
      <c r="R3712" t="s">
        <v>684</v>
      </c>
    </row>
    <row r="3713" spans="18:18" x14ac:dyDescent="0.3">
      <c r="R3713" t="s">
        <v>1838</v>
      </c>
    </row>
    <row r="3714" spans="18:18" x14ac:dyDescent="0.3">
      <c r="R3714" t="s">
        <v>3660</v>
      </c>
    </row>
    <row r="3715" spans="18:18" x14ac:dyDescent="0.3">
      <c r="R3715" t="s">
        <v>2822</v>
      </c>
    </row>
    <row r="3716" spans="18:18" x14ac:dyDescent="0.3">
      <c r="R3716" t="s">
        <v>502</v>
      </c>
    </row>
    <row r="3717" spans="18:18" x14ac:dyDescent="0.3">
      <c r="R3717" t="s">
        <v>2149</v>
      </c>
    </row>
    <row r="3718" spans="18:18" x14ac:dyDescent="0.3">
      <c r="R3718" t="s">
        <v>1269</v>
      </c>
    </row>
    <row r="3719" spans="18:18" x14ac:dyDescent="0.3">
      <c r="R3719" t="s">
        <v>3145</v>
      </c>
    </row>
    <row r="3720" spans="18:18" x14ac:dyDescent="0.3">
      <c r="R3720" t="s">
        <v>3661</v>
      </c>
    </row>
    <row r="3721" spans="18:18" x14ac:dyDescent="0.3">
      <c r="R3721" t="s">
        <v>685</v>
      </c>
    </row>
    <row r="3722" spans="18:18" x14ac:dyDescent="0.3">
      <c r="R3722" t="s">
        <v>5018</v>
      </c>
    </row>
    <row r="3723" spans="18:18" x14ac:dyDescent="0.3">
      <c r="R3723" t="s">
        <v>918</v>
      </c>
    </row>
    <row r="3724" spans="18:18" x14ac:dyDescent="0.3">
      <c r="R3724" t="s">
        <v>919</v>
      </c>
    </row>
    <row r="3725" spans="18:18" x14ac:dyDescent="0.3">
      <c r="R3725" t="s">
        <v>2823</v>
      </c>
    </row>
    <row r="3726" spans="18:18" x14ac:dyDescent="0.3">
      <c r="R3726" t="s">
        <v>4789</v>
      </c>
    </row>
    <row r="3727" spans="18:18" x14ac:dyDescent="0.3">
      <c r="R3727" t="s">
        <v>1475</v>
      </c>
    </row>
    <row r="3728" spans="18:18" x14ac:dyDescent="0.3">
      <c r="R3728" t="s">
        <v>2824</v>
      </c>
    </row>
    <row r="3729" spans="18:18" x14ac:dyDescent="0.3">
      <c r="R3729" t="s">
        <v>1270</v>
      </c>
    </row>
    <row r="3730" spans="18:18" x14ac:dyDescent="0.3">
      <c r="R3730" t="s">
        <v>503</v>
      </c>
    </row>
    <row r="3731" spans="18:18" x14ac:dyDescent="0.3">
      <c r="R3731" t="s">
        <v>342</v>
      </c>
    </row>
    <row r="3732" spans="18:18" x14ac:dyDescent="0.3">
      <c r="R3732" t="s">
        <v>5118</v>
      </c>
    </row>
    <row r="3733" spans="18:18" x14ac:dyDescent="0.3">
      <c r="R3733" t="s">
        <v>4790</v>
      </c>
    </row>
    <row r="3734" spans="18:18" x14ac:dyDescent="0.3">
      <c r="R3734" t="s">
        <v>4791</v>
      </c>
    </row>
    <row r="3735" spans="18:18" x14ac:dyDescent="0.3">
      <c r="R3735" t="s">
        <v>1120</v>
      </c>
    </row>
    <row r="3736" spans="18:18" x14ac:dyDescent="0.3">
      <c r="R3736" t="s">
        <v>686</v>
      </c>
    </row>
    <row r="3737" spans="18:18" x14ac:dyDescent="0.3">
      <c r="R3737" t="s">
        <v>3662</v>
      </c>
    </row>
    <row r="3738" spans="18:18" x14ac:dyDescent="0.3">
      <c r="R3738" t="s">
        <v>1271</v>
      </c>
    </row>
    <row r="3739" spans="18:18" x14ac:dyDescent="0.3">
      <c r="R3739" t="s">
        <v>1766</v>
      </c>
    </row>
    <row r="3740" spans="18:18" x14ac:dyDescent="0.3">
      <c r="R3740" t="s">
        <v>4406</v>
      </c>
    </row>
    <row r="3741" spans="18:18" x14ac:dyDescent="0.3">
      <c r="R3741" t="s">
        <v>1121</v>
      </c>
    </row>
    <row r="3742" spans="18:18" x14ac:dyDescent="0.3">
      <c r="R3742" t="s">
        <v>2825</v>
      </c>
    </row>
    <row r="3743" spans="18:18" x14ac:dyDescent="0.3">
      <c r="R3743" t="s">
        <v>2826</v>
      </c>
    </row>
    <row r="3744" spans="18:18" x14ac:dyDescent="0.3">
      <c r="R3744" t="s">
        <v>504</v>
      </c>
    </row>
    <row r="3745" spans="18:18" x14ac:dyDescent="0.3">
      <c r="R3745" t="s">
        <v>2827</v>
      </c>
    </row>
    <row r="3746" spans="18:18" x14ac:dyDescent="0.3">
      <c r="R3746" t="s">
        <v>2828</v>
      </c>
    </row>
    <row r="3747" spans="18:18" x14ac:dyDescent="0.3">
      <c r="R3747" t="s">
        <v>2829</v>
      </c>
    </row>
    <row r="3748" spans="18:18" x14ac:dyDescent="0.3">
      <c r="R3748" t="s">
        <v>3663</v>
      </c>
    </row>
    <row r="3749" spans="18:18" x14ac:dyDescent="0.3">
      <c r="R3749" t="s">
        <v>3664</v>
      </c>
    </row>
    <row r="3750" spans="18:18" x14ac:dyDescent="0.3">
      <c r="R3750" t="s">
        <v>1122</v>
      </c>
    </row>
    <row r="3751" spans="18:18" x14ac:dyDescent="0.3">
      <c r="R3751" t="s">
        <v>687</v>
      </c>
    </row>
    <row r="3752" spans="18:18" x14ac:dyDescent="0.3">
      <c r="R3752" t="s">
        <v>2830</v>
      </c>
    </row>
    <row r="3753" spans="18:18" x14ac:dyDescent="0.3">
      <c r="R3753" t="s">
        <v>4407</v>
      </c>
    </row>
    <row r="3754" spans="18:18" x14ac:dyDescent="0.3">
      <c r="R3754" t="s">
        <v>688</v>
      </c>
    </row>
    <row r="3755" spans="18:18" x14ac:dyDescent="0.3">
      <c r="R3755" t="s">
        <v>4110</v>
      </c>
    </row>
    <row r="3756" spans="18:18" x14ac:dyDescent="0.3">
      <c r="R3756" t="s">
        <v>4111</v>
      </c>
    </row>
    <row r="3757" spans="18:18" x14ac:dyDescent="0.3">
      <c r="R3757" t="s">
        <v>4112</v>
      </c>
    </row>
    <row r="3758" spans="18:18" x14ac:dyDescent="0.3">
      <c r="R3758" t="s">
        <v>5334</v>
      </c>
    </row>
    <row r="3759" spans="18:18" x14ac:dyDescent="0.3">
      <c r="R3759" t="s">
        <v>3665</v>
      </c>
    </row>
    <row r="3760" spans="18:18" x14ac:dyDescent="0.3">
      <c r="R3760" t="s">
        <v>2831</v>
      </c>
    </row>
    <row r="3761" spans="18:18" x14ac:dyDescent="0.3">
      <c r="R3761" t="s">
        <v>4408</v>
      </c>
    </row>
    <row r="3762" spans="18:18" x14ac:dyDescent="0.3">
      <c r="R3762" t="s">
        <v>1645</v>
      </c>
    </row>
    <row r="3763" spans="18:18" x14ac:dyDescent="0.3">
      <c r="R3763" t="s">
        <v>1646</v>
      </c>
    </row>
    <row r="3764" spans="18:18" x14ac:dyDescent="0.3">
      <c r="R3764" t="s">
        <v>1646</v>
      </c>
    </row>
    <row r="3765" spans="18:18" x14ac:dyDescent="0.3">
      <c r="R3765" t="s">
        <v>1647</v>
      </c>
    </row>
    <row r="3766" spans="18:18" x14ac:dyDescent="0.3">
      <c r="R3766" t="s">
        <v>5335</v>
      </c>
    </row>
    <row r="3767" spans="18:18" x14ac:dyDescent="0.3">
      <c r="R3767" t="s">
        <v>3217</v>
      </c>
    </row>
    <row r="3768" spans="18:18" x14ac:dyDescent="0.3">
      <c r="R3768" t="s">
        <v>1767</v>
      </c>
    </row>
    <row r="3769" spans="18:18" x14ac:dyDescent="0.3">
      <c r="R3769" t="s">
        <v>3666</v>
      </c>
    </row>
    <row r="3770" spans="18:18" x14ac:dyDescent="0.3">
      <c r="R3770" t="s">
        <v>1459</v>
      </c>
    </row>
    <row r="3771" spans="18:18" x14ac:dyDescent="0.3">
      <c r="R3771" t="s">
        <v>2150</v>
      </c>
    </row>
    <row r="3772" spans="18:18" x14ac:dyDescent="0.3">
      <c r="R3772" t="s">
        <v>2832</v>
      </c>
    </row>
    <row r="3773" spans="18:18" x14ac:dyDescent="0.3">
      <c r="R3773" t="s">
        <v>4792</v>
      </c>
    </row>
    <row r="3774" spans="18:18" x14ac:dyDescent="0.3">
      <c r="R3774" t="s">
        <v>343</v>
      </c>
    </row>
    <row r="3775" spans="18:18" x14ac:dyDescent="0.3">
      <c r="R3775" t="s">
        <v>921</v>
      </c>
    </row>
    <row r="3776" spans="18:18" x14ac:dyDescent="0.3">
      <c r="R3776" t="s">
        <v>1460</v>
      </c>
    </row>
    <row r="3777" spans="18:18" x14ac:dyDescent="0.3">
      <c r="R3777" t="s">
        <v>3667</v>
      </c>
    </row>
    <row r="3778" spans="18:18" x14ac:dyDescent="0.3">
      <c r="R3778" t="s">
        <v>2833</v>
      </c>
    </row>
    <row r="3779" spans="18:18" x14ac:dyDescent="0.3">
      <c r="R3779" t="s">
        <v>2834</v>
      </c>
    </row>
    <row r="3780" spans="18:18" x14ac:dyDescent="0.3">
      <c r="R3780" t="s">
        <v>2835</v>
      </c>
    </row>
    <row r="3781" spans="18:18" x14ac:dyDescent="0.3">
      <c r="R3781" t="s">
        <v>2836</v>
      </c>
    </row>
    <row r="3782" spans="18:18" x14ac:dyDescent="0.3">
      <c r="R3782" t="s">
        <v>4113</v>
      </c>
    </row>
    <row r="3783" spans="18:18" x14ac:dyDescent="0.3">
      <c r="R3783" t="s">
        <v>2151</v>
      </c>
    </row>
    <row r="3784" spans="18:18" x14ac:dyDescent="0.3">
      <c r="R3784" t="s">
        <v>1461</v>
      </c>
    </row>
    <row r="3785" spans="18:18" x14ac:dyDescent="0.3">
      <c r="R3785" t="s">
        <v>1461</v>
      </c>
    </row>
    <row r="3786" spans="18:18" x14ac:dyDescent="0.3">
      <c r="R3786" t="s">
        <v>5336</v>
      </c>
    </row>
    <row r="3787" spans="18:18" x14ac:dyDescent="0.3">
      <c r="R3787" t="s">
        <v>3668</v>
      </c>
    </row>
    <row r="3788" spans="18:18" x14ac:dyDescent="0.3">
      <c r="R3788" t="s">
        <v>1272</v>
      </c>
    </row>
    <row r="3789" spans="18:18" x14ac:dyDescent="0.3">
      <c r="R3789" t="s">
        <v>1272</v>
      </c>
    </row>
    <row r="3790" spans="18:18" x14ac:dyDescent="0.3">
      <c r="R3790" t="s">
        <v>1462</v>
      </c>
    </row>
    <row r="3791" spans="18:18" x14ac:dyDescent="0.3">
      <c r="R3791" t="s">
        <v>2837</v>
      </c>
    </row>
    <row r="3792" spans="18:18" x14ac:dyDescent="0.3">
      <c r="R3792" t="s">
        <v>115</v>
      </c>
    </row>
    <row r="3793" spans="18:18" x14ac:dyDescent="0.3">
      <c r="R3793" t="s">
        <v>922</v>
      </c>
    </row>
    <row r="3794" spans="18:18" x14ac:dyDescent="0.3">
      <c r="R3794" t="s">
        <v>142</v>
      </c>
    </row>
    <row r="3795" spans="18:18" x14ac:dyDescent="0.3">
      <c r="R3795" t="s">
        <v>2152</v>
      </c>
    </row>
    <row r="3796" spans="18:18" x14ac:dyDescent="0.3">
      <c r="R3796" t="s">
        <v>3669</v>
      </c>
    </row>
    <row r="3797" spans="18:18" x14ac:dyDescent="0.3">
      <c r="R3797" t="s">
        <v>689</v>
      </c>
    </row>
    <row r="3798" spans="18:18" x14ac:dyDescent="0.3">
      <c r="R3798" t="s">
        <v>1768</v>
      </c>
    </row>
    <row r="3799" spans="18:18" x14ac:dyDescent="0.3">
      <c r="R3799" t="s">
        <v>2153</v>
      </c>
    </row>
    <row r="3800" spans="18:18" x14ac:dyDescent="0.3">
      <c r="R3800" t="s">
        <v>3670</v>
      </c>
    </row>
    <row r="3801" spans="18:18" x14ac:dyDescent="0.3">
      <c r="R3801" t="s">
        <v>506</v>
      </c>
    </row>
    <row r="3802" spans="18:18" x14ac:dyDescent="0.3">
      <c r="R3802" t="s">
        <v>1123</v>
      </c>
    </row>
    <row r="3803" spans="18:18" x14ac:dyDescent="0.3">
      <c r="R3803" t="s">
        <v>2838</v>
      </c>
    </row>
    <row r="3804" spans="18:18" x14ac:dyDescent="0.3">
      <c r="R3804" t="s">
        <v>4114</v>
      </c>
    </row>
    <row r="3805" spans="18:18" x14ac:dyDescent="0.3">
      <c r="R3805" t="s">
        <v>4793</v>
      </c>
    </row>
    <row r="3806" spans="18:18" x14ac:dyDescent="0.3">
      <c r="R3806" t="s">
        <v>4794</v>
      </c>
    </row>
    <row r="3807" spans="18:18" x14ac:dyDescent="0.3">
      <c r="R3807" t="s">
        <v>4116</v>
      </c>
    </row>
    <row r="3808" spans="18:18" x14ac:dyDescent="0.3">
      <c r="R3808" t="s">
        <v>4795</v>
      </c>
    </row>
    <row r="3809" spans="18:18" x14ac:dyDescent="0.3">
      <c r="R3809" t="s">
        <v>4115</v>
      </c>
    </row>
    <row r="3810" spans="18:18" x14ac:dyDescent="0.3">
      <c r="R3810" t="s">
        <v>3671</v>
      </c>
    </row>
    <row r="3811" spans="18:18" x14ac:dyDescent="0.3">
      <c r="R3811" t="s">
        <v>3671</v>
      </c>
    </row>
    <row r="3812" spans="18:18" x14ac:dyDescent="0.3">
      <c r="R3812" t="s">
        <v>1839</v>
      </c>
    </row>
    <row r="3813" spans="18:18" x14ac:dyDescent="0.3">
      <c r="R3813" t="s">
        <v>1839</v>
      </c>
    </row>
    <row r="3814" spans="18:18" x14ac:dyDescent="0.3">
      <c r="R3814" t="s">
        <v>3218</v>
      </c>
    </row>
    <row r="3815" spans="18:18" x14ac:dyDescent="0.3">
      <c r="R3815" t="s">
        <v>4796</v>
      </c>
    </row>
    <row r="3816" spans="18:18" x14ac:dyDescent="0.3">
      <c r="R3816" t="s">
        <v>690</v>
      </c>
    </row>
    <row r="3817" spans="18:18" x14ac:dyDescent="0.3">
      <c r="R3817" t="s">
        <v>4797</v>
      </c>
    </row>
    <row r="3818" spans="18:18" x14ac:dyDescent="0.3">
      <c r="R3818" t="s">
        <v>4410</v>
      </c>
    </row>
    <row r="3819" spans="18:18" x14ac:dyDescent="0.3">
      <c r="R3819" t="s">
        <v>3146</v>
      </c>
    </row>
    <row r="3820" spans="18:18" x14ac:dyDescent="0.3">
      <c r="R3820" t="s">
        <v>2154</v>
      </c>
    </row>
    <row r="3821" spans="18:18" x14ac:dyDescent="0.3">
      <c r="R3821" t="s">
        <v>4798</v>
      </c>
    </row>
    <row r="3822" spans="18:18" x14ac:dyDescent="0.3">
      <c r="R3822" t="s">
        <v>2839</v>
      </c>
    </row>
    <row r="3823" spans="18:18" x14ac:dyDescent="0.3">
      <c r="R3823" t="s">
        <v>923</v>
      </c>
    </row>
    <row r="3824" spans="18:18" x14ac:dyDescent="0.3">
      <c r="R3824" t="s">
        <v>691</v>
      </c>
    </row>
    <row r="3825" spans="18:18" x14ac:dyDescent="0.3">
      <c r="R3825" t="s">
        <v>3672</v>
      </c>
    </row>
    <row r="3826" spans="18:18" x14ac:dyDescent="0.3">
      <c r="R3826" t="s">
        <v>1124</v>
      </c>
    </row>
    <row r="3827" spans="18:18" x14ac:dyDescent="0.3">
      <c r="R3827" t="s">
        <v>3673</v>
      </c>
    </row>
    <row r="3828" spans="18:18" x14ac:dyDescent="0.3">
      <c r="R3828" t="s">
        <v>3674</v>
      </c>
    </row>
    <row r="3829" spans="18:18" x14ac:dyDescent="0.3">
      <c r="R3829" t="s">
        <v>5337</v>
      </c>
    </row>
    <row r="3830" spans="18:18" x14ac:dyDescent="0.3">
      <c r="R3830" t="s">
        <v>2840</v>
      </c>
    </row>
    <row r="3831" spans="18:18" x14ac:dyDescent="0.3">
      <c r="R3831" t="s">
        <v>3675</v>
      </c>
    </row>
    <row r="3832" spans="18:18" x14ac:dyDescent="0.3">
      <c r="R3832" t="s">
        <v>924</v>
      </c>
    </row>
    <row r="3833" spans="18:18" x14ac:dyDescent="0.3">
      <c r="R3833" t="s">
        <v>3219</v>
      </c>
    </row>
    <row r="3834" spans="18:18" x14ac:dyDescent="0.3">
      <c r="R3834" t="s">
        <v>2155</v>
      </c>
    </row>
    <row r="3835" spans="18:18" x14ac:dyDescent="0.3">
      <c r="R3835" t="s">
        <v>4117</v>
      </c>
    </row>
    <row r="3836" spans="18:18" x14ac:dyDescent="0.3">
      <c r="R3836" t="s">
        <v>3676</v>
      </c>
    </row>
    <row r="3837" spans="18:18" x14ac:dyDescent="0.3">
      <c r="R3837" t="s">
        <v>2841</v>
      </c>
    </row>
    <row r="3838" spans="18:18" x14ac:dyDescent="0.3">
      <c r="R3838" t="s">
        <v>3677</v>
      </c>
    </row>
    <row r="3839" spans="18:18" x14ac:dyDescent="0.3">
      <c r="R3839" t="s">
        <v>1840</v>
      </c>
    </row>
    <row r="3840" spans="18:18" x14ac:dyDescent="0.3">
      <c r="R3840" t="s">
        <v>2842</v>
      </c>
    </row>
    <row r="3841" spans="18:18" x14ac:dyDescent="0.3">
      <c r="R3841" t="s">
        <v>3678</v>
      </c>
    </row>
    <row r="3842" spans="18:18" x14ac:dyDescent="0.3">
      <c r="R3842" t="s">
        <v>2843</v>
      </c>
    </row>
    <row r="3843" spans="18:18" x14ac:dyDescent="0.3">
      <c r="R3843" t="s">
        <v>2844</v>
      </c>
    </row>
    <row r="3844" spans="18:18" x14ac:dyDescent="0.3">
      <c r="R3844" t="s">
        <v>1769</v>
      </c>
    </row>
    <row r="3845" spans="18:18" x14ac:dyDescent="0.3">
      <c r="R3845" t="s">
        <v>1769</v>
      </c>
    </row>
    <row r="3846" spans="18:18" x14ac:dyDescent="0.3">
      <c r="R3846" t="s">
        <v>692</v>
      </c>
    </row>
    <row r="3847" spans="18:18" x14ac:dyDescent="0.3">
      <c r="R3847" t="s">
        <v>2845</v>
      </c>
    </row>
    <row r="3848" spans="18:18" x14ac:dyDescent="0.3">
      <c r="R3848" t="s">
        <v>4799</v>
      </c>
    </row>
    <row r="3849" spans="18:18" x14ac:dyDescent="0.3">
      <c r="R3849" t="s">
        <v>2846</v>
      </c>
    </row>
    <row r="3850" spans="18:18" x14ac:dyDescent="0.3">
      <c r="R3850" t="s">
        <v>3679</v>
      </c>
    </row>
    <row r="3851" spans="18:18" x14ac:dyDescent="0.3">
      <c r="R3851" t="s">
        <v>3680</v>
      </c>
    </row>
    <row r="3852" spans="18:18" x14ac:dyDescent="0.3">
      <c r="R3852" t="s">
        <v>4118</v>
      </c>
    </row>
    <row r="3853" spans="18:18" x14ac:dyDescent="0.3">
      <c r="R3853" t="s">
        <v>507</v>
      </c>
    </row>
    <row r="3854" spans="18:18" x14ac:dyDescent="0.3">
      <c r="R3854" t="s">
        <v>3681</v>
      </c>
    </row>
    <row r="3855" spans="18:18" x14ac:dyDescent="0.3">
      <c r="R3855" t="s">
        <v>4800</v>
      </c>
    </row>
    <row r="3856" spans="18:18" x14ac:dyDescent="0.3">
      <c r="R3856" t="s">
        <v>3682</v>
      </c>
    </row>
    <row r="3857" spans="18:18" x14ac:dyDescent="0.3">
      <c r="R3857" t="s">
        <v>4411</v>
      </c>
    </row>
    <row r="3858" spans="18:18" x14ac:dyDescent="0.3">
      <c r="R3858" t="s">
        <v>2847</v>
      </c>
    </row>
    <row r="3859" spans="18:18" x14ac:dyDescent="0.3">
      <c r="R3859" t="s">
        <v>5338</v>
      </c>
    </row>
    <row r="3860" spans="18:18" x14ac:dyDescent="0.3">
      <c r="R3860" t="s">
        <v>5339</v>
      </c>
    </row>
    <row r="3861" spans="18:18" x14ac:dyDescent="0.3">
      <c r="R3861" t="s">
        <v>1125</v>
      </c>
    </row>
    <row r="3862" spans="18:18" x14ac:dyDescent="0.3">
      <c r="R3862" t="s">
        <v>2156</v>
      </c>
    </row>
    <row r="3863" spans="18:18" x14ac:dyDescent="0.3">
      <c r="R3863" t="s">
        <v>925</v>
      </c>
    </row>
    <row r="3864" spans="18:18" x14ac:dyDescent="0.3">
      <c r="R3864" t="s">
        <v>2157</v>
      </c>
    </row>
    <row r="3865" spans="18:18" x14ac:dyDescent="0.3">
      <c r="R3865" t="s">
        <v>1463</v>
      </c>
    </row>
    <row r="3866" spans="18:18" x14ac:dyDescent="0.3">
      <c r="R3866" t="s">
        <v>4119</v>
      </c>
    </row>
    <row r="3867" spans="18:18" x14ac:dyDescent="0.3">
      <c r="R3867" t="s">
        <v>3683</v>
      </c>
    </row>
    <row r="3868" spans="18:18" x14ac:dyDescent="0.3">
      <c r="R3868" t="s">
        <v>3683</v>
      </c>
    </row>
    <row r="3869" spans="18:18" x14ac:dyDescent="0.3">
      <c r="R3869" t="s">
        <v>2848</v>
      </c>
    </row>
    <row r="3870" spans="18:18" x14ac:dyDescent="0.3">
      <c r="R3870" t="s">
        <v>1464</v>
      </c>
    </row>
    <row r="3871" spans="18:18" x14ac:dyDescent="0.3">
      <c r="R3871" t="s">
        <v>508</v>
      </c>
    </row>
    <row r="3872" spans="18:18" x14ac:dyDescent="0.3">
      <c r="R3872" t="s">
        <v>3147</v>
      </c>
    </row>
    <row r="3873" spans="18:18" x14ac:dyDescent="0.3">
      <c r="R3873" t="s">
        <v>2849</v>
      </c>
    </row>
    <row r="3874" spans="18:18" x14ac:dyDescent="0.3">
      <c r="R3874" t="s">
        <v>344</v>
      </c>
    </row>
    <row r="3875" spans="18:18" x14ac:dyDescent="0.3">
      <c r="R3875" t="s">
        <v>164</v>
      </c>
    </row>
    <row r="3876" spans="18:18" x14ac:dyDescent="0.3">
      <c r="R3876" t="s">
        <v>5340</v>
      </c>
    </row>
    <row r="3877" spans="18:18" x14ac:dyDescent="0.3">
      <c r="R3877" t="s">
        <v>4120</v>
      </c>
    </row>
    <row r="3878" spans="18:18" x14ac:dyDescent="0.3">
      <c r="R3878" t="s">
        <v>2158</v>
      </c>
    </row>
    <row r="3879" spans="18:18" x14ac:dyDescent="0.3">
      <c r="R3879" t="s">
        <v>2159</v>
      </c>
    </row>
    <row r="3880" spans="18:18" x14ac:dyDescent="0.3">
      <c r="R3880" t="s">
        <v>2159</v>
      </c>
    </row>
    <row r="3881" spans="18:18" x14ac:dyDescent="0.3">
      <c r="R3881" t="s">
        <v>2159</v>
      </c>
    </row>
    <row r="3882" spans="18:18" x14ac:dyDescent="0.3">
      <c r="R3882" t="s">
        <v>2159</v>
      </c>
    </row>
    <row r="3883" spans="18:18" x14ac:dyDescent="0.3">
      <c r="R3883" t="s">
        <v>4412</v>
      </c>
    </row>
    <row r="3884" spans="18:18" x14ac:dyDescent="0.3">
      <c r="R3884" t="s">
        <v>5119</v>
      </c>
    </row>
    <row r="3885" spans="18:18" x14ac:dyDescent="0.3">
      <c r="R3885" t="s">
        <v>2850</v>
      </c>
    </row>
    <row r="3886" spans="18:18" x14ac:dyDescent="0.3">
      <c r="R3886" t="s">
        <v>3684</v>
      </c>
    </row>
    <row r="3887" spans="18:18" x14ac:dyDescent="0.3">
      <c r="R3887" t="s">
        <v>3685</v>
      </c>
    </row>
    <row r="3888" spans="18:18" x14ac:dyDescent="0.3">
      <c r="R3888" t="s">
        <v>1648</v>
      </c>
    </row>
    <row r="3889" spans="18:18" x14ac:dyDescent="0.3">
      <c r="R3889" t="s">
        <v>693</v>
      </c>
    </row>
    <row r="3890" spans="18:18" x14ac:dyDescent="0.3">
      <c r="R3890" t="s">
        <v>1465</v>
      </c>
    </row>
    <row r="3891" spans="18:18" x14ac:dyDescent="0.3">
      <c r="R3891" t="s">
        <v>1273</v>
      </c>
    </row>
    <row r="3892" spans="18:18" x14ac:dyDescent="0.3">
      <c r="R3892" t="s">
        <v>1466</v>
      </c>
    </row>
    <row r="3893" spans="18:18" x14ac:dyDescent="0.3">
      <c r="R3893" t="s">
        <v>4801</v>
      </c>
    </row>
    <row r="3894" spans="18:18" x14ac:dyDescent="0.3">
      <c r="R3894" t="s">
        <v>1770</v>
      </c>
    </row>
    <row r="3895" spans="18:18" x14ac:dyDescent="0.3">
      <c r="R3895" t="s">
        <v>1467</v>
      </c>
    </row>
    <row r="3896" spans="18:18" x14ac:dyDescent="0.3">
      <c r="R3896" t="s">
        <v>2851</v>
      </c>
    </row>
    <row r="3897" spans="18:18" x14ac:dyDescent="0.3">
      <c r="R3897" t="s">
        <v>1841</v>
      </c>
    </row>
    <row r="3898" spans="18:18" x14ac:dyDescent="0.3">
      <c r="R3898" t="s">
        <v>1842</v>
      </c>
    </row>
    <row r="3899" spans="18:18" x14ac:dyDescent="0.3">
      <c r="R3899" t="s">
        <v>2160</v>
      </c>
    </row>
    <row r="3900" spans="18:18" x14ac:dyDescent="0.3">
      <c r="R3900" t="s">
        <v>5120</v>
      </c>
    </row>
    <row r="3901" spans="18:18" x14ac:dyDescent="0.3">
      <c r="R3901" t="s">
        <v>2852</v>
      </c>
    </row>
    <row r="3902" spans="18:18" x14ac:dyDescent="0.3">
      <c r="R3902" t="s">
        <v>2853</v>
      </c>
    </row>
    <row r="3903" spans="18:18" x14ac:dyDescent="0.3">
      <c r="R3903" t="s">
        <v>2161</v>
      </c>
    </row>
    <row r="3904" spans="18:18" x14ac:dyDescent="0.3">
      <c r="R3904" t="s">
        <v>3686</v>
      </c>
    </row>
    <row r="3905" spans="18:18" x14ac:dyDescent="0.3">
      <c r="R3905" t="s">
        <v>1468</v>
      </c>
    </row>
    <row r="3906" spans="18:18" x14ac:dyDescent="0.3">
      <c r="R3906" t="s">
        <v>1649</v>
      </c>
    </row>
    <row r="3907" spans="18:18" x14ac:dyDescent="0.3">
      <c r="R3907" t="s">
        <v>4413</v>
      </c>
    </row>
    <row r="3908" spans="18:18" x14ac:dyDescent="0.3">
      <c r="R3908" t="s">
        <v>3687</v>
      </c>
    </row>
    <row r="3909" spans="18:18" x14ac:dyDescent="0.3">
      <c r="R3909" t="s">
        <v>2854</v>
      </c>
    </row>
    <row r="3910" spans="18:18" x14ac:dyDescent="0.3">
      <c r="R3910" t="s">
        <v>3688</v>
      </c>
    </row>
    <row r="3911" spans="18:18" x14ac:dyDescent="0.3">
      <c r="R3911" t="s">
        <v>345</v>
      </c>
    </row>
    <row r="3912" spans="18:18" x14ac:dyDescent="0.3">
      <c r="R3912" t="s">
        <v>4121</v>
      </c>
    </row>
    <row r="3913" spans="18:18" x14ac:dyDescent="0.3">
      <c r="R3913" t="s">
        <v>5019</v>
      </c>
    </row>
    <row r="3914" spans="18:18" x14ac:dyDescent="0.3">
      <c r="R3914" t="s">
        <v>3689</v>
      </c>
    </row>
    <row r="3915" spans="18:18" x14ac:dyDescent="0.3">
      <c r="R3915" t="s">
        <v>5121</v>
      </c>
    </row>
    <row r="3916" spans="18:18" x14ac:dyDescent="0.3">
      <c r="R3916" t="s">
        <v>4122</v>
      </c>
    </row>
    <row r="3917" spans="18:18" x14ac:dyDescent="0.3">
      <c r="R3917" t="s">
        <v>5341</v>
      </c>
    </row>
    <row r="3918" spans="18:18" x14ac:dyDescent="0.3">
      <c r="R3918" t="s">
        <v>3690</v>
      </c>
    </row>
    <row r="3919" spans="18:18" x14ac:dyDescent="0.3">
      <c r="R3919" t="s">
        <v>4802</v>
      </c>
    </row>
    <row r="3920" spans="18:18" x14ac:dyDescent="0.3">
      <c r="R3920" t="s">
        <v>4414</v>
      </c>
    </row>
    <row r="3921" spans="18:18" x14ac:dyDescent="0.3">
      <c r="R3921" t="s">
        <v>509</v>
      </c>
    </row>
    <row r="3922" spans="18:18" x14ac:dyDescent="0.3">
      <c r="R3922" t="s">
        <v>4415</v>
      </c>
    </row>
    <row r="3923" spans="18:18" x14ac:dyDescent="0.3">
      <c r="R3923" t="s">
        <v>510</v>
      </c>
    </row>
    <row r="3924" spans="18:18" x14ac:dyDescent="0.3">
      <c r="R3924" t="s">
        <v>5122</v>
      </c>
    </row>
    <row r="3925" spans="18:18" x14ac:dyDescent="0.3">
      <c r="R3925" t="s">
        <v>2855</v>
      </c>
    </row>
    <row r="3926" spans="18:18" x14ac:dyDescent="0.3">
      <c r="R3926" t="s">
        <v>4803</v>
      </c>
    </row>
    <row r="3927" spans="18:18" x14ac:dyDescent="0.3">
      <c r="R3927" t="s">
        <v>4416</v>
      </c>
    </row>
    <row r="3928" spans="18:18" x14ac:dyDescent="0.3">
      <c r="R3928" t="s">
        <v>5123</v>
      </c>
    </row>
    <row r="3929" spans="18:18" x14ac:dyDescent="0.3">
      <c r="R3929" t="s">
        <v>3691</v>
      </c>
    </row>
    <row r="3930" spans="18:18" x14ac:dyDescent="0.3">
      <c r="R3930" t="s">
        <v>3148</v>
      </c>
    </row>
    <row r="3931" spans="18:18" x14ac:dyDescent="0.3">
      <c r="R3931" t="s">
        <v>2856</v>
      </c>
    </row>
    <row r="3932" spans="18:18" x14ac:dyDescent="0.3">
      <c r="R3932" t="s">
        <v>2857</v>
      </c>
    </row>
    <row r="3933" spans="18:18" x14ac:dyDescent="0.3">
      <c r="R3933" t="s">
        <v>2162</v>
      </c>
    </row>
    <row r="3934" spans="18:18" x14ac:dyDescent="0.3">
      <c r="R3934" t="s">
        <v>3692</v>
      </c>
    </row>
    <row r="3935" spans="18:18" x14ac:dyDescent="0.3">
      <c r="R3935" t="s">
        <v>1126</v>
      </c>
    </row>
    <row r="3936" spans="18:18" x14ac:dyDescent="0.3">
      <c r="R3936" t="s">
        <v>3693</v>
      </c>
    </row>
    <row r="3937" spans="18:18" x14ac:dyDescent="0.3">
      <c r="R3937" t="s">
        <v>5342</v>
      </c>
    </row>
    <row r="3938" spans="18:18" x14ac:dyDescent="0.3">
      <c r="R3938" t="s">
        <v>3220</v>
      </c>
    </row>
    <row r="3939" spans="18:18" x14ac:dyDescent="0.3">
      <c r="R3939" t="s">
        <v>4123</v>
      </c>
    </row>
    <row r="3940" spans="18:18" x14ac:dyDescent="0.3">
      <c r="R3940" t="s">
        <v>1274</v>
      </c>
    </row>
    <row r="3941" spans="18:18" x14ac:dyDescent="0.3">
      <c r="R3941" t="s">
        <v>4804</v>
      </c>
    </row>
    <row r="3942" spans="18:18" x14ac:dyDescent="0.3">
      <c r="R3942" t="s">
        <v>5343</v>
      </c>
    </row>
    <row r="3943" spans="18:18" x14ac:dyDescent="0.3">
      <c r="R3943" t="s">
        <v>1127</v>
      </c>
    </row>
    <row r="3944" spans="18:18" x14ac:dyDescent="0.3">
      <c r="R3944" t="s">
        <v>2858</v>
      </c>
    </row>
    <row r="3945" spans="18:18" x14ac:dyDescent="0.3">
      <c r="R3945" t="s">
        <v>346</v>
      </c>
    </row>
    <row r="3946" spans="18:18" x14ac:dyDescent="0.3">
      <c r="R3946" t="s">
        <v>5344</v>
      </c>
    </row>
    <row r="3947" spans="18:18" x14ac:dyDescent="0.3">
      <c r="R3947" t="s">
        <v>926</v>
      </c>
    </row>
    <row r="3948" spans="18:18" x14ac:dyDescent="0.3">
      <c r="R3948" t="s">
        <v>173</v>
      </c>
    </row>
    <row r="3949" spans="18:18" x14ac:dyDescent="0.3">
      <c r="R3949" t="s">
        <v>4805</v>
      </c>
    </row>
    <row r="3950" spans="18:18" x14ac:dyDescent="0.3">
      <c r="R3950" t="s">
        <v>5124</v>
      </c>
    </row>
    <row r="3951" spans="18:18" x14ac:dyDescent="0.3">
      <c r="R3951" t="s">
        <v>927</v>
      </c>
    </row>
    <row r="3952" spans="18:18" x14ac:dyDescent="0.3">
      <c r="R3952" t="s">
        <v>511</v>
      </c>
    </row>
    <row r="3953" spans="18:18" x14ac:dyDescent="0.3">
      <c r="R3953" t="s">
        <v>4124</v>
      </c>
    </row>
    <row r="3954" spans="18:18" x14ac:dyDescent="0.3">
      <c r="R3954" t="s">
        <v>4125</v>
      </c>
    </row>
    <row r="3955" spans="18:18" x14ac:dyDescent="0.3">
      <c r="R3955" t="s">
        <v>4417</v>
      </c>
    </row>
    <row r="3956" spans="18:18" x14ac:dyDescent="0.3">
      <c r="R3956" t="s">
        <v>1771</v>
      </c>
    </row>
    <row r="3957" spans="18:18" x14ac:dyDescent="0.3">
      <c r="R3957" t="s">
        <v>1843</v>
      </c>
    </row>
    <row r="3958" spans="18:18" x14ac:dyDescent="0.3">
      <c r="R3958" t="s">
        <v>347</v>
      </c>
    </row>
    <row r="3959" spans="18:18" x14ac:dyDescent="0.3">
      <c r="R3959" t="s">
        <v>1772</v>
      </c>
    </row>
    <row r="3960" spans="18:18" x14ac:dyDescent="0.3">
      <c r="R3960" t="s">
        <v>1275</v>
      </c>
    </row>
    <row r="3961" spans="18:18" x14ac:dyDescent="0.3">
      <c r="R3961" t="s">
        <v>5125</v>
      </c>
    </row>
    <row r="3962" spans="18:18" x14ac:dyDescent="0.3">
      <c r="R3962" t="s">
        <v>5126</v>
      </c>
    </row>
    <row r="3963" spans="18:18" x14ac:dyDescent="0.3">
      <c r="R3963" t="s">
        <v>5127</v>
      </c>
    </row>
    <row r="3964" spans="18:18" x14ac:dyDescent="0.3">
      <c r="R3964" t="s">
        <v>3694</v>
      </c>
    </row>
    <row r="3965" spans="18:18" x14ac:dyDescent="0.3">
      <c r="R3965" t="s">
        <v>3695</v>
      </c>
    </row>
    <row r="3966" spans="18:18" x14ac:dyDescent="0.3">
      <c r="R3966" t="s">
        <v>2859</v>
      </c>
    </row>
    <row r="3967" spans="18:18" x14ac:dyDescent="0.3">
      <c r="R3967" t="s">
        <v>694</v>
      </c>
    </row>
    <row r="3968" spans="18:18" x14ac:dyDescent="0.3">
      <c r="R3968" t="s">
        <v>406</v>
      </c>
    </row>
    <row r="3969" spans="18:18" x14ac:dyDescent="0.3">
      <c r="R3969" t="s">
        <v>4806</v>
      </c>
    </row>
    <row r="3970" spans="18:18" x14ac:dyDescent="0.3">
      <c r="R3970" t="s">
        <v>4807</v>
      </c>
    </row>
    <row r="3971" spans="18:18" x14ac:dyDescent="0.3">
      <c r="R3971" t="s">
        <v>5020</v>
      </c>
    </row>
    <row r="3972" spans="18:18" x14ac:dyDescent="0.3">
      <c r="R3972" t="s">
        <v>512</v>
      </c>
    </row>
    <row r="3973" spans="18:18" x14ac:dyDescent="0.3">
      <c r="R3973" t="s">
        <v>3221</v>
      </c>
    </row>
    <row r="3974" spans="18:18" x14ac:dyDescent="0.3">
      <c r="R3974" t="s">
        <v>1773</v>
      </c>
    </row>
    <row r="3975" spans="18:18" x14ac:dyDescent="0.3">
      <c r="R3975" t="s">
        <v>4126</v>
      </c>
    </row>
    <row r="3976" spans="18:18" x14ac:dyDescent="0.3">
      <c r="R3976" t="s">
        <v>695</v>
      </c>
    </row>
    <row r="3977" spans="18:18" x14ac:dyDescent="0.3">
      <c r="R3977" t="s">
        <v>2163</v>
      </c>
    </row>
    <row r="3978" spans="18:18" x14ac:dyDescent="0.3">
      <c r="R3978" t="s">
        <v>4418</v>
      </c>
    </row>
    <row r="3979" spans="18:18" x14ac:dyDescent="0.3">
      <c r="R3979" t="s">
        <v>116</v>
      </c>
    </row>
    <row r="3980" spans="18:18" x14ac:dyDescent="0.3">
      <c r="R3980" t="s">
        <v>4808</v>
      </c>
    </row>
    <row r="3981" spans="18:18" x14ac:dyDescent="0.3">
      <c r="R3981" t="s">
        <v>4127</v>
      </c>
    </row>
    <row r="3982" spans="18:18" x14ac:dyDescent="0.3">
      <c r="R3982" t="s">
        <v>165</v>
      </c>
    </row>
    <row r="3983" spans="18:18" x14ac:dyDescent="0.3">
      <c r="R3983" t="s">
        <v>4809</v>
      </c>
    </row>
    <row r="3984" spans="18:18" x14ac:dyDescent="0.3">
      <c r="R3984" t="s">
        <v>5345</v>
      </c>
    </row>
    <row r="3985" spans="18:18" x14ac:dyDescent="0.3">
      <c r="R3985" t="s">
        <v>2860</v>
      </c>
    </row>
    <row r="3986" spans="18:18" x14ac:dyDescent="0.3">
      <c r="R3986" t="s">
        <v>1128</v>
      </c>
    </row>
    <row r="3987" spans="18:18" x14ac:dyDescent="0.3">
      <c r="R3987" t="s">
        <v>3696</v>
      </c>
    </row>
    <row r="3988" spans="18:18" x14ac:dyDescent="0.3">
      <c r="R3988" t="s">
        <v>2164</v>
      </c>
    </row>
    <row r="3989" spans="18:18" x14ac:dyDescent="0.3">
      <c r="R3989" t="s">
        <v>3697</v>
      </c>
    </row>
    <row r="3990" spans="18:18" x14ac:dyDescent="0.3">
      <c r="R3990" t="s">
        <v>1129</v>
      </c>
    </row>
    <row r="3991" spans="18:18" x14ac:dyDescent="0.3">
      <c r="R3991" t="s">
        <v>2861</v>
      </c>
    </row>
    <row r="3992" spans="18:18" x14ac:dyDescent="0.3">
      <c r="R3992" t="s">
        <v>2862</v>
      </c>
    </row>
    <row r="3993" spans="18:18" x14ac:dyDescent="0.3">
      <c r="R3993" t="s">
        <v>4810</v>
      </c>
    </row>
    <row r="3994" spans="18:18" x14ac:dyDescent="0.3">
      <c r="R3994" t="s">
        <v>4419</v>
      </c>
    </row>
    <row r="3995" spans="18:18" x14ac:dyDescent="0.3">
      <c r="R3995" t="s">
        <v>5128</v>
      </c>
    </row>
    <row r="3996" spans="18:18" x14ac:dyDescent="0.3">
      <c r="R3996" t="s">
        <v>3698</v>
      </c>
    </row>
    <row r="3997" spans="18:18" x14ac:dyDescent="0.3">
      <c r="R3997" t="s">
        <v>407</v>
      </c>
    </row>
    <row r="3998" spans="18:18" x14ac:dyDescent="0.3">
      <c r="R3998" t="s">
        <v>2165</v>
      </c>
    </row>
    <row r="3999" spans="18:18" x14ac:dyDescent="0.3">
      <c r="R3999" t="s">
        <v>4128</v>
      </c>
    </row>
    <row r="4000" spans="18:18" x14ac:dyDescent="0.3">
      <c r="R4000" t="s">
        <v>3699</v>
      </c>
    </row>
    <row r="4001" spans="18:18" x14ac:dyDescent="0.3">
      <c r="R4001" t="s">
        <v>2863</v>
      </c>
    </row>
    <row r="4002" spans="18:18" x14ac:dyDescent="0.3">
      <c r="R4002" t="s">
        <v>3700</v>
      </c>
    </row>
    <row r="4003" spans="18:18" x14ac:dyDescent="0.3">
      <c r="R4003" t="s">
        <v>3700</v>
      </c>
    </row>
    <row r="4004" spans="18:18" x14ac:dyDescent="0.3">
      <c r="R4004" t="s">
        <v>513</v>
      </c>
    </row>
    <row r="4005" spans="18:18" x14ac:dyDescent="0.3">
      <c r="R4005" t="s">
        <v>348</v>
      </c>
    </row>
    <row r="4006" spans="18:18" x14ac:dyDescent="0.3">
      <c r="R4006" t="s">
        <v>4129</v>
      </c>
    </row>
    <row r="4007" spans="18:18" x14ac:dyDescent="0.3">
      <c r="R4007" t="s">
        <v>1469</v>
      </c>
    </row>
    <row r="4008" spans="18:18" x14ac:dyDescent="0.3">
      <c r="R4008" t="s">
        <v>1469</v>
      </c>
    </row>
    <row r="4009" spans="18:18" x14ac:dyDescent="0.3">
      <c r="R4009" t="s">
        <v>928</v>
      </c>
    </row>
    <row r="4010" spans="18:18" x14ac:dyDescent="0.3">
      <c r="R4010" t="s">
        <v>3701</v>
      </c>
    </row>
    <row r="4011" spans="18:18" x14ac:dyDescent="0.3">
      <c r="R4011" t="s">
        <v>2864</v>
      </c>
    </row>
    <row r="4012" spans="18:18" x14ac:dyDescent="0.3">
      <c r="R4012" t="s">
        <v>2865</v>
      </c>
    </row>
    <row r="4013" spans="18:18" x14ac:dyDescent="0.3">
      <c r="R4013" t="s">
        <v>3702</v>
      </c>
    </row>
    <row r="4014" spans="18:18" x14ac:dyDescent="0.3">
      <c r="R4014" t="s">
        <v>2866</v>
      </c>
    </row>
    <row r="4015" spans="18:18" x14ac:dyDescent="0.3">
      <c r="R4015" t="s">
        <v>2866</v>
      </c>
    </row>
    <row r="4016" spans="18:18" x14ac:dyDescent="0.3">
      <c r="R4016" t="s">
        <v>4420</v>
      </c>
    </row>
    <row r="4017" spans="18:18" x14ac:dyDescent="0.3">
      <c r="R4017" t="s">
        <v>4130</v>
      </c>
    </row>
    <row r="4018" spans="18:18" x14ac:dyDescent="0.3">
      <c r="R4018" t="s">
        <v>696</v>
      </c>
    </row>
    <row r="4019" spans="18:18" x14ac:dyDescent="0.3">
      <c r="R4019" t="s">
        <v>696</v>
      </c>
    </row>
    <row r="4020" spans="18:18" x14ac:dyDescent="0.3">
      <c r="R4020" t="s">
        <v>3703</v>
      </c>
    </row>
    <row r="4021" spans="18:18" x14ac:dyDescent="0.3">
      <c r="R4021" t="s">
        <v>221</v>
      </c>
    </row>
    <row r="4022" spans="18:18" x14ac:dyDescent="0.3">
      <c r="R4022" t="s">
        <v>4421</v>
      </c>
    </row>
    <row r="4023" spans="18:18" x14ac:dyDescent="0.3">
      <c r="R4023" t="s">
        <v>2166</v>
      </c>
    </row>
    <row r="4024" spans="18:18" x14ac:dyDescent="0.3">
      <c r="R4024" t="s">
        <v>697</v>
      </c>
    </row>
    <row r="4025" spans="18:18" x14ac:dyDescent="0.3">
      <c r="R4025" t="s">
        <v>697</v>
      </c>
    </row>
    <row r="4026" spans="18:18" x14ac:dyDescent="0.3">
      <c r="R4026" t="s">
        <v>514</v>
      </c>
    </row>
    <row r="4027" spans="18:18" x14ac:dyDescent="0.3">
      <c r="R4027" t="s">
        <v>514</v>
      </c>
    </row>
    <row r="4028" spans="18:18" x14ac:dyDescent="0.3">
      <c r="R4028" t="s">
        <v>2867</v>
      </c>
    </row>
    <row r="4029" spans="18:18" x14ac:dyDescent="0.3">
      <c r="R4029" t="s">
        <v>4811</v>
      </c>
    </row>
    <row r="4030" spans="18:18" x14ac:dyDescent="0.3">
      <c r="R4030" t="s">
        <v>117</v>
      </c>
    </row>
    <row r="4031" spans="18:18" x14ac:dyDescent="0.3">
      <c r="R4031" t="s">
        <v>117</v>
      </c>
    </row>
    <row r="4032" spans="18:18" x14ac:dyDescent="0.3">
      <c r="R4032" t="s">
        <v>4422</v>
      </c>
    </row>
    <row r="4033" spans="18:18" x14ac:dyDescent="0.3">
      <c r="R4033" t="s">
        <v>2868</v>
      </c>
    </row>
    <row r="4034" spans="18:18" x14ac:dyDescent="0.3">
      <c r="R4034" t="s">
        <v>3704</v>
      </c>
    </row>
    <row r="4035" spans="18:18" x14ac:dyDescent="0.3">
      <c r="R4035" t="s">
        <v>698</v>
      </c>
    </row>
    <row r="4036" spans="18:18" x14ac:dyDescent="0.3">
      <c r="R4036" t="s">
        <v>2167</v>
      </c>
    </row>
    <row r="4037" spans="18:18" x14ac:dyDescent="0.3">
      <c r="R4037" t="s">
        <v>699</v>
      </c>
    </row>
    <row r="4038" spans="18:18" x14ac:dyDescent="0.3">
      <c r="R4038" t="s">
        <v>3705</v>
      </c>
    </row>
    <row r="4039" spans="18:18" x14ac:dyDescent="0.3">
      <c r="R4039" t="s">
        <v>349</v>
      </c>
    </row>
    <row r="4040" spans="18:18" x14ac:dyDescent="0.3">
      <c r="R4040" t="s">
        <v>349</v>
      </c>
    </row>
    <row r="4041" spans="18:18" x14ac:dyDescent="0.3">
      <c r="R4041" t="s">
        <v>143</v>
      </c>
    </row>
    <row r="4042" spans="18:18" x14ac:dyDescent="0.3">
      <c r="R4042" t="s">
        <v>5129</v>
      </c>
    </row>
    <row r="4043" spans="18:18" x14ac:dyDescent="0.3">
      <c r="R4043" t="s">
        <v>700</v>
      </c>
    </row>
    <row r="4044" spans="18:18" x14ac:dyDescent="0.3">
      <c r="R4044" t="s">
        <v>4131</v>
      </c>
    </row>
    <row r="4045" spans="18:18" x14ac:dyDescent="0.3">
      <c r="R4045" t="s">
        <v>4423</v>
      </c>
    </row>
    <row r="4046" spans="18:18" x14ac:dyDescent="0.3">
      <c r="R4046" t="s">
        <v>1470</v>
      </c>
    </row>
    <row r="4047" spans="18:18" x14ac:dyDescent="0.3">
      <c r="R4047" t="s">
        <v>5346</v>
      </c>
    </row>
    <row r="4048" spans="18:18" x14ac:dyDescent="0.3">
      <c r="R4048" t="s">
        <v>4812</v>
      </c>
    </row>
    <row r="4049" spans="18:18" x14ac:dyDescent="0.3">
      <c r="R4049" t="s">
        <v>3706</v>
      </c>
    </row>
    <row r="4050" spans="18:18" x14ac:dyDescent="0.3">
      <c r="R4050" t="s">
        <v>1844</v>
      </c>
    </row>
    <row r="4051" spans="18:18" x14ac:dyDescent="0.3">
      <c r="R4051" t="s">
        <v>4813</v>
      </c>
    </row>
    <row r="4052" spans="18:18" x14ac:dyDescent="0.3">
      <c r="R4052" t="s">
        <v>2870</v>
      </c>
    </row>
    <row r="4053" spans="18:18" x14ac:dyDescent="0.3">
      <c r="R4053" t="s">
        <v>4132</v>
      </c>
    </row>
    <row r="4054" spans="18:18" x14ac:dyDescent="0.3">
      <c r="R4054" t="s">
        <v>515</v>
      </c>
    </row>
    <row r="4055" spans="18:18" x14ac:dyDescent="0.3">
      <c r="R4055" t="s">
        <v>1277</v>
      </c>
    </row>
    <row r="4056" spans="18:18" x14ac:dyDescent="0.3">
      <c r="R4056" t="s">
        <v>4814</v>
      </c>
    </row>
    <row r="4057" spans="18:18" x14ac:dyDescent="0.3">
      <c r="R4057" t="s">
        <v>1471</v>
      </c>
    </row>
    <row r="4058" spans="18:18" x14ac:dyDescent="0.3">
      <c r="R4058" t="s">
        <v>3707</v>
      </c>
    </row>
    <row r="4059" spans="18:18" x14ac:dyDescent="0.3">
      <c r="R4059" t="s">
        <v>4815</v>
      </c>
    </row>
    <row r="4060" spans="18:18" x14ac:dyDescent="0.3">
      <c r="R4060" t="s">
        <v>2871</v>
      </c>
    </row>
    <row r="4061" spans="18:18" x14ac:dyDescent="0.3">
      <c r="R4061" t="s">
        <v>4133</v>
      </c>
    </row>
    <row r="4062" spans="18:18" x14ac:dyDescent="0.3">
      <c r="R4062" t="s">
        <v>3708</v>
      </c>
    </row>
    <row r="4063" spans="18:18" x14ac:dyDescent="0.3">
      <c r="R4063" t="s">
        <v>4134</v>
      </c>
    </row>
    <row r="4064" spans="18:18" x14ac:dyDescent="0.3">
      <c r="R4064" t="s">
        <v>350</v>
      </c>
    </row>
    <row r="4065" spans="18:18" x14ac:dyDescent="0.3">
      <c r="R4065" t="s">
        <v>3222</v>
      </c>
    </row>
    <row r="4066" spans="18:18" x14ac:dyDescent="0.3">
      <c r="R4066" t="s">
        <v>4135</v>
      </c>
    </row>
    <row r="4067" spans="18:18" x14ac:dyDescent="0.3">
      <c r="R4067" t="s">
        <v>4816</v>
      </c>
    </row>
    <row r="4068" spans="18:18" x14ac:dyDescent="0.3">
      <c r="R4068" t="s">
        <v>4136</v>
      </c>
    </row>
    <row r="4069" spans="18:18" x14ac:dyDescent="0.3">
      <c r="R4069" t="s">
        <v>1774</v>
      </c>
    </row>
    <row r="4070" spans="18:18" x14ac:dyDescent="0.3">
      <c r="R4070" t="s">
        <v>4137</v>
      </c>
    </row>
    <row r="4071" spans="18:18" x14ac:dyDescent="0.3">
      <c r="R4071" t="s">
        <v>929</v>
      </c>
    </row>
    <row r="4072" spans="18:18" x14ac:dyDescent="0.3">
      <c r="R4072" t="s">
        <v>1472</v>
      </c>
    </row>
    <row r="4073" spans="18:18" x14ac:dyDescent="0.3">
      <c r="R4073" t="s">
        <v>1472</v>
      </c>
    </row>
    <row r="4074" spans="18:18" x14ac:dyDescent="0.3">
      <c r="R4074" t="s">
        <v>3223</v>
      </c>
    </row>
    <row r="4075" spans="18:18" x14ac:dyDescent="0.3">
      <c r="R4075" t="s">
        <v>3709</v>
      </c>
    </row>
    <row r="4076" spans="18:18" x14ac:dyDescent="0.3">
      <c r="R4076" t="s">
        <v>3710</v>
      </c>
    </row>
    <row r="4077" spans="18:18" x14ac:dyDescent="0.3">
      <c r="R4077" t="s">
        <v>2872</v>
      </c>
    </row>
    <row r="4078" spans="18:18" x14ac:dyDescent="0.3">
      <c r="R4078" t="s">
        <v>5130</v>
      </c>
    </row>
    <row r="4079" spans="18:18" x14ac:dyDescent="0.3">
      <c r="R4079" t="s">
        <v>4138</v>
      </c>
    </row>
    <row r="4080" spans="18:18" x14ac:dyDescent="0.3">
      <c r="R4080" t="s">
        <v>4817</v>
      </c>
    </row>
    <row r="4081" spans="18:18" x14ac:dyDescent="0.3">
      <c r="R4081" t="s">
        <v>2168</v>
      </c>
    </row>
    <row r="4082" spans="18:18" x14ac:dyDescent="0.3">
      <c r="R4082" t="s">
        <v>4424</v>
      </c>
    </row>
    <row r="4083" spans="18:18" x14ac:dyDescent="0.3">
      <c r="R4083" t="s">
        <v>4139</v>
      </c>
    </row>
    <row r="4084" spans="18:18" x14ac:dyDescent="0.3">
      <c r="R4084" t="s">
        <v>3711</v>
      </c>
    </row>
    <row r="4085" spans="18:18" x14ac:dyDescent="0.3">
      <c r="R4085" t="s">
        <v>4818</v>
      </c>
    </row>
    <row r="4086" spans="18:18" x14ac:dyDescent="0.3">
      <c r="R4086" t="s">
        <v>1650</v>
      </c>
    </row>
    <row r="4087" spans="18:18" x14ac:dyDescent="0.3">
      <c r="R4087" t="s">
        <v>5347</v>
      </c>
    </row>
    <row r="4088" spans="18:18" x14ac:dyDescent="0.3">
      <c r="R4088" t="s">
        <v>3224</v>
      </c>
    </row>
    <row r="4089" spans="18:18" x14ac:dyDescent="0.3">
      <c r="R4089" t="s">
        <v>4140</v>
      </c>
    </row>
    <row r="4090" spans="18:18" x14ac:dyDescent="0.3">
      <c r="R4090" t="s">
        <v>1130</v>
      </c>
    </row>
    <row r="4091" spans="18:18" x14ac:dyDescent="0.3">
      <c r="R4091" t="s">
        <v>1473</v>
      </c>
    </row>
    <row r="4092" spans="18:18" x14ac:dyDescent="0.3">
      <c r="R4092" t="s">
        <v>1473</v>
      </c>
    </row>
    <row r="4093" spans="18:18" x14ac:dyDescent="0.3">
      <c r="R4093" t="s">
        <v>2169</v>
      </c>
    </row>
    <row r="4094" spans="18:18" x14ac:dyDescent="0.3">
      <c r="R4094" t="s">
        <v>1131</v>
      </c>
    </row>
    <row r="4095" spans="18:18" x14ac:dyDescent="0.3">
      <c r="R4095" t="s">
        <v>1132</v>
      </c>
    </row>
    <row r="4096" spans="18:18" x14ac:dyDescent="0.3">
      <c r="R4096" t="s">
        <v>1133</v>
      </c>
    </row>
    <row r="4097" spans="18:18" x14ac:dyDescent="0.3">
      <c r="R4097" t="s">
        <v>1134</v>
      </c>
    </row>
    <row r="4098" spans="18:18" x14ac:dyDescent="0.3">
      <c r="R4098" t="s">
        <v>1278</v>
      </c>
    </row>
    <row r="4099" spans="18:18" x14ac:dyDescent="0.3">
      <c r="R4099" t="s">
        <v>1279</v>
      </c>
    </row>
    <row r="4100" spans="18:18" x14ac:dyDescent="0.3">
      <c r="R4100" t="s">
        <v>2170</v>
      </c>
    </row>
    <row r="4101" spans="18:18" x14ac:dyDescent="0.3">
      <c r="R4101" t="s">
        <v>3712</v>
      </c>
    </row>
    <row r="4102" spans="18:18" x14ac:dyDescent="0.3">
      <c r="R4102" t="s">
        <v>4141</v>
      </c>
    </row>
    <row r="4103" spans="18:18" x14ac:dyDescent="0.3">
      <c r="R4103" t="s">
        <v>3713</v>
      </c>
    </row>
    <row r="4104" spans="18:18" x14ac:dyDescent="0.3">
      <c r="R4104" t="s">
        <v>4142</v>
      </c>
    </row>
    <row r="4105" spans="18:18" x14ac:dyDescent="0.3">
      <c r="R4105" t="s">
        <v>4143</v>
      </c>
    </row>
    <row r="4106" spans="18:18" x14ac:dyDescent="0.3">
      <c r="R4106" t="s">
        <v>4425</v>
      </c>
    </row>
    <row r="4107" spans="18:18" x14ac:dyDescent="0.3">
      <c r="R4107" t="s">
        <v>701</v>
      </c>
    </row>
    <row r="4108" spans="18:18" x14ac:dyDescent="0.3">
      <c r="R4108" t="s">
        <v>2873</v>
      </c>
    </row>
    <row r="4109" spans="18:18" x14ac:dyDescent="0.3">
      <c r="R4109" t="s">
        <v>2874</v>
      </c>
    </row>
    <row r="4110" spans="18:18" x14ac:dyDescent="0.3">
      <c r="R4110" t="s">
        <v>4144</v>
      </c>
    </row>
    <row r="4111" spans="18:18" x14ac:dyDescent="0.3">
      <c r="R4111" t="s">
        <v>4145</v>
      </c>
    </row>
    <row r="4112" spans="18:18" x14ac:dyDescent="0.3">
      <c r="R4112" t="s">
        <v>1651</v>
      </c>
    </row>
    <row r="4113" spans="18:18" x14ac:dyDescent="0.3">
      <c r="R4113" t="s">
        <v>2875</v>
      </c>
    </row>
    <row r="4114" spans="18:18" x14ac:dyDescent="0.3">
      <c r="R4114" t="s">
        <v>516</v>
      </c>
    </row>
    <row r="4115" spans="18:18" x14ac:dyDescent="0.3">
      <c r="R4115" t="s">
        <v>351</v>
      </c>
    </row>
    <row r="4116" spans="18:18" x14ac:dyDescent="0.3">
      <c r="R4116" t="s">
        <v>351</v>
      </c>
    </row>
    <row r="4117" spans="18:18" x14ac:dyDescent="0.3">
      <c r="R4117" t="s">
        <v>3714</v>
      </c>
    </row>
    <row r="4118" spans="18:18" x14ac:dyDescent="0.3">
      <c r="R4118" t="s">
        <v>930</v>
      </c>
    </row>
    <row r="4119" spans="18:18" x14ac:dyDescent="0.3">
      <c r="R4119" t="s">
        <v>4819</v>
      </c>
    </row>
    <row r="4120" spans="18:18" x14ac:dyDescent="0.3">
      <c r="R4120" t="s">
        <v>2876</v>
      </c>
    </row>
    <row r="4121" spans="18:18" x14ac:dyDescent="0.3">
      <c r="R4121" t="s">
        <v>931</v>
      </c>
    </row>
    <row r="4122" spans="18:18" x14ac:dyDescent="0.3">
      <c r="R4122" t="s">
        <v>3715</v>
      </c>
    </row>
    <row r="4123" spans="18:18" x14ac:dyDescent="0.3">
      <c r="R4123" t="s">
        <v>3716</v>
      </c>
    </row>
    <row r="4124" spans="18:18" x14ac:dyDescent="0.3">
      <c r="R4124" t="s">
        <v>3717</v>
      </c>
    </row>
    <row r="4125" spans="18:18" x14ac:dyDescent="0.3">
      <c r="R4125" t="s">
        <v>4820</v>
      </c>
    </row>
    <row r="4126" spans="18:18" x14ac:dyDescent="0.3">
      <c r="R4126" t="s">
        <v>2171</v>
      </c>
    </row>
    <row r="4127" spans="18:18" x14ac:dyDescent="0.3">
      <c r="R4127" t="s">
        <v>1474</v>
      </c>
    </row>
    <row r="4128" spans="18:18" x14ac:dyDescent="0.3">
      <c r="R4128" t="s">
        <v>4146</v>
      </c>
    </row>
    <row r="4129" spans="18:18" x14ac:dyDescent="0.3">
      <c r="R4129" t="s">
        <v>1135</v>
      </c>
    </row>
    <row r="4130" spans="18:18" x14ac:dyDescent="0.3">
      <c r="R4130" t="s">
        <v>3225</v>
      </c>
    </row>
    <row r="4131" spans="18:18" x14ac:dyDescent="0.3">
      <c r="R4131" t="s">
        <v>2877</v>
      </c>
    </row>
    <row r="4132" spans="18:18" x14ac:dyDescent="0.3">
      <c r="R4132" t="s">
        <v>4147</v>
      </c>
    </row>
    <row r="4133" spans="18:18" x14ac:dyDescent="0.3">
      <c r="R4133" t="s">
        <v>5132</v>
      </c>
    </row>
    <row r="4134" spans="18:18" x14ac:dyDescent="0.3">
      <c r="R4134" t="s">
        <v>4148</v>
      </c>
    </row>
    <row r="4135" spans="18:18" x14ac:dyDescent="0.3">
      <c r="R4135" t="s">
        <v>2878</v>
      </c>
    </row>
    <row r="4136" spans="18:18" x14ac:dyDescent="0.3">
      <c r="R4136" t="s">
        <v>2879</v>
      </c>
    </row>
    <row r="4137" spans="18:18" x14ac:dyDescent="0.3">
      <c r="R4137" t="s">
        <v>3718</v>
      </c>
    </row>
    <row r="4138" spans="18:18" x14ac:dyDescent="0.3">
      <c r="R4138" t="s">
        <v>4821</v>
      </c>
    </row>
    <row r="4139" spans="18:18" x14ac:dyDescent="0.3">
      <c r="R4139" t="s">
        <v>2172</v>
      </c>
    </row>
    <row r="4140" spans="18:18" x14ac:dyDescent="0.3">
      <c r="R4140" t="s">
        <v>702</v>
      </c>
    </row>
    <row r="4141" spans="18:18" x14ac:dyDescent="0.3">
      <c r="R4141" t="s">
        <v>702</v>
      </c>
    </row>
    <row r="4142" spans="18:18" x14ac:dyDescent="0.3">
      <c r="R4142" t="s">
        <v>2173</v>
      </c>
    </row>
    <row r="4143" spans="18:18" x14ac:dyDescent="0.3">
      <c r="R4143" t="s">
        <v>1476</v>
      </c>
    </row>
    <row r="4144" spans="18:18" x14ac:dyDescent="0.3">
      <c r="R4144" t="s">
        <v>1845</v>
      </c>
    </row>
    <row r="4145" spans="18:18" x14ac:dyDescent="0.3">
      <c r="R4145" t="s">
        <v>2174</v>
      </c>
    </row>
    <row r="4146" spans="18:18" x14ac:dyDescent="0.3">
      <c r="R4146" t="s">
        <v>1477</v>
      </c>
    </row>
    <row r="4147" spans="18:18" x14ac:dyDescent="0.3">
      <c r="R4147" t="s">
        <v>517</v>
      </c>
    </row>
    <row r="4148" spans="18:18" x14ac:dyDescent="0.3">
      <c r="R4148" t="s">
        <v>517</v>
      </c>
    </row>
    <row r="4149" spans="18:18" x14ac:dyDescent="0.3">
      <c r="R4149" t="s">
        <v>1280</v>
      </c>
    </row>
    <row r="4150" spans="18:18" x14ac:dyDescent="0.3">
      <c r="R4150" t="s">
        <v>1652</v>
      </c>
    </row>
    <row r="4151" spans="18:18" x14ac:dyDescent="0.3">
      <c r="R4151" t="s">
        <v>1281</v>
      </c>
    </row>
    <row r="4152" spans="18:18" x14ac:dyDescent="0.3">
      <c r="R4152" t="s">
        <v>1281</v>
      </c>
    </row>
    <row r="4153" spans="18:18" x14ac:dyDescent="0.3">
      <c r="R4153" t="s">
        <v>1478</v>
      </c>
    </row>
    <row r="4154" spans="18:18" x14ac:dyDescent="0.3">
      <c r="R4154" t="s">
        <v>1479</v>
      </c>
    </row>
    <row r="4155" spans="18:18" x14ac:dyDescent="0.3">
      <c r="R4155" t="s">
        <v>2880</v>
      </c>
    </row>
    <row r="4156" spans="18:18" x14ac:dyDescent="0.3">
      <c r="R4156" t="s">
        <v>932</v>
      </c>
    </row>
    <row r="4157" spans="18:18" x14ac:dyDescent="0.3">
      <c r="R4157" t="s">
        <v>1282</v>
      </c>
    </row>
    <row r="4158" spans="18:18" x14ac:dyDescent="0.3">
      <c r="R4158" t="s">
        <v>1282</v>
      </c>
    </row>
    <row r="4159" spans="18:18" x14ac:dyDescent="0.3">
      <c r="R4159" t="s">
        <v>5348</v>
      </c>
    </row>
    <row r="4160" spans="18:18" x14ac:dyDescent="0.3">
      <c r="R4160" t="s">
        <v>5349</v>
      </c>
    </row>
    <row r="4161" spans="18:18" x14ac:dyDescent="0.3">
      <c r="R4161" t="s">
        <v>703</v>
      </c>
    </row>
    <row r="4162" spans="18:18" x14ac:dyDescent="0.3">
      <c r="R4162" t="s">
        <v>5021</v>
      </c>
    </row>
    <row r="4163" spans="18:18" x14ac:dyDescent="0.3">
      <c r="R4163" t="s">
        <v>3719</v>
      </c>
    </row>
    <row r="4164" spans="18:18" x14ac:dyDescent="0.3">
      <c r="R4164" t="s">
        <v>2175</v>
      </c>
    </row>
    <row r="4165" spans="18:18" x14ac:dyDescent="0.3">
      <c r="R4165" t="s">
        <v>933</v>
      </c>
    </row>
    <row r="4166" spans="18:18" x14ac:dyDescent="0.3">
      <c r="R4166" t="s">
        <v>2176</v>
      </c>
    </row>
    <row r="4167" spans="18:18" x14ac:dyDescent="0.3">
      <c r="R4167" t="s">
        <v>1653</v>
      </c>
    </row>
    <row r="4168" spans="18:18" x14ac:dyDescent="0.3">
      <c r="R4168" t="s">
        <v>3720</v>
      </c>
    </row>
    <row r="4169" spans="18:18" x14ac:dyDescent="0.3">
      <c r="R4169" t="s">
        <v>3721</v>
      </c>
    </row>
    <row r="4170" spans="18:18" x14ac:dyDescent="0.3">
      <c r="R4170" t="s">
        <v>5133</v>
      </c>
    </row>
    <row r="4171" spans="18:18" x14ac:dyDescent="0.3">
      <c r="R4171" t="s">
        <v>4149</v>
      </c>
    </row>
    <row r="4172" spans="18:18" x14ac:dyDescent="0.3">
      <c r="R4172" t="s">
        <v>3722</v>
      </c>
    </row>
    <row r="4173" spans="18:18" x14ac:dyDescent="0.3">
      <c r="R4173" t="s">
        <v>2881</v>
      </c>
    </row>
    <row r="4174" spans="18:18" x14ac:dyDescent="0.3">
      <c r="R4174" t="s">
        <v>2177</v>
      </c>
    </row>
    <row r="4175" spans="18:18" x14ac:dyDescent="0.3">
      <c r="R4175" t="s">
        <v>4150</v>
      </c>
    </row>
    <row r="4176" spans="18:18" x14ac:dyDescent="0.3">
      <c r="R4176" t="s">
        <v>3723</v>
      </c>
    </row>
    <row r="4177" spans="18:18" x14ac:dyDescent="0.3">
      <c r="R4177" t="s">
        <v>3724</v>
      </c>
    </row>
    <row r="4178" spans="18:18" x14ac:dyDescent="0.3">
      <c r="R4178" t="s">
        <v>3725</v>
      </c>
    </row>
    <row r="4179" spans="18:18" x14ac:dyDescent="0.3">
      <c r="R4179" t="s">
        <v>3726</v>
      </c>
    </row>
    <row r="4180" spans="18:18" x14ac:dyDescent="0.3">
      <c r="R4180" t="s">
        <v>3727</v>
      </c>
    </row>
    <row r="4181" spans="18:18" x14ac:dyDescent="0.3">
      <c r="R4181" t="s">
        <v>2882</v>
      </c>
    </row>
    <row r="4182" spans="18:18" x14ac:dyDescent="0.3">
      <c r="R4182" t="s">
        <v>5134</v>
      </c>
    </row>
    <row r="4183" spans="18:18" x14ac:dyDescent="0.3">
      <c r="R4183" t="s">
        <v>934</v>
      </c>
    </row>
    <row r="4184" spans="18:18" x14ac:dyDescent="0.3">
      <c r="R4184" t="s">
        <v>1846</v>
      </c>
    </row>
    <row r="4185" spans="18:18" x14ac:dyDescent="0.3">
      <c r="R4185" t="s">
        <v>3729</v>
      </c>
    </row>
    <row r="4186" spans="18:18" x14ac:dyDescent="0.3">
      <c r="R4186" t="s">
        <v>3730</v>
      </c>
    </row>
    <row r="4187" spans="18:18" x14ac:dyDescent="0.3">
      <c r="R4187" t="s">
        <v>3731</v>
      </c>
    </row>
    <row r="4188" spans="18:18" x14ac:dyDescent="0.3">
      <c r="R4188" t="s">
        <v>2883</v>
      </c>
    </row>
    <row r="4189" spans="18:18" x14ac:dyDescent="0.3">
      <c r="R4189" t="s">
        <v>4151</v>
      </c>
    </row>
    <row r="4190" spans="18:18" x14ac:dyDescent="0.3">
      <c r="R4190" t="s">
        <v>3149</v>
      </c>
    </row>
    <row r="4191" spans="18:18" x14ac:dyDescent="0.3">
      <c r="R4191" t="s">
        <v>4152</v>
      </c>
    </row>
    <row r="4192" spans="18:18" x14ac:dyDescent="0.3">
      <c r="R4192" t="s">
        <v>3226</v>
      </c>
    </row>
    <row r="4193" spans="18:18" x14ac:dyDescent="0.3">
      <c r="R4193" t="s">
        <v>4153</v>
      </c>
    </row>
    <row r="4194" spans="18:18" x14ac:dyDescent="0.3">
      <c r="R4194" t="s">
        <v>166</v>
      </c>
    </row>
    <row r="4195" spans="18:18" x14ac:dyDescent="0.3">
      <c r="R4195" t="s">
        <v>166</v>
      </c>
    </row>
    <row r="4196" spans="18:18" x14ac:dyDescent="0.3">
      <c r="R4196" t="s">
        <v>4154</v>
      </c>
    </row>
    <row r="4197" spans="18:18" x14ac:dyDescent="0.3">
      <c r="R4197" t="s">
        <v>4155</v>
      </c>
    </row>
    <row r="4198" spans="18:18" x14ac:dyDescent="0.3">
      <c r="R4198" t="s">
        <v>5022</v>
      </c>
    </row>
    <row r="4199" spans="18:18" x14ac:dyDescent="0.3">
      <c r="R4199" t="s">
        <v>2884</v>
      </c>
    </row>
    <row r="4200" spans="18:18" x14ac:dyDescent="0.3">
      <c r="R4200" t="s">
        <v>3227</v>
      </c>
    </row>
    <row r="4201" spans="18:18" x14ac:dyDescent="0.3">
      <c r="R4201" t="s">
        <v>3227</v>
      </c>
    </row>
    <row r="4202" spans="18:18" x14ac:dyDescent="0.3">
      <c r="R4202" t="s">
        <v>118</v>
      </c>
    </row>
    <row r="4203" spans="18:18" x14ac:dyDescent="0.3">
      <c r="R4203" t="s">
        <v>518</v>
      </c>
    </row>
    <row r="4204" spans="18:18" x14ac:dyDescent="0.3">
      <c r="R4204" t="s">
        <v>4426</v>
      </c>
    </row>
    <row r="4205" spans="18:18" x14ac:dyDescent="0.3">
      <c r="R4205" t="s">
        <v>3228</v>
      </c>
    </row>
    <row r="4206" spans="18:18" x14ac:dyDescent="0.3">
      <c r="R4206" t="s">
        <v>3229</v>
      </c>
    </row>
    <row r="4207" spans="18:18" x14ac:dyDescent="0.3">
      <c r="R4207" t="s">
        <v>3732</v>
      </c>
    </row>
    <row r="4208" spans="18:18" x14ac:dyDescent="0.3">
      <c r="R4208" t="s">
        <v>2178</v>
      </c>
    </row>
    <row r="4209" spans="18:18" x14ac:dyDescent="0.3">
      <c r="R4209" t="s">
        <v>3230</v>
      </c>
    </row>
    <row r="4210" spans="18:18" x14ac:dyDescent="0.3">
      <c r="R4210" t="s">
        <v>2179</v>
      </c>
    </row>
    <row r="4211" spans="18:18" x14ac:dyDescent="0.3">
      <c r="R4211" t="s">
        <v>4427</v>
      </c>
    </row>
    <row r="4212" spans="18:18" x14ac:dyDescent="0.3">
      <c r="R4212" t="s">
        <v>1261</v>
      </c>
    </row>
    <row r="4213" spans="18:18" x14ac:dyDescent="0.3">
      <c r="R4213" t="s">
        <v>4428</v>
      </c>
    </row>
    <row r="4214" spans="18:18" x14ac:dyDescent="0.3">
      <c r="R4214" t="s">
        <v>2180</v>
      </c>
    </row>
    <row r="4215" spans="18:18" x14ac:dyDescent="0.3">
      <c r="R4215" t="s">
        <v>2886</v>
      </c>
    </row>
    <row r="4216" spans="18:18" x14ac:dyDescent="0.3">
      <c r="R4216" t="s">
        <v>4430</v>
      </c>
    </row>
    <row r="4217" spans="18:18" x14ac:dyDescent="0.3">
      <c r="R4217" t="s">
        <v>2885</v>
      </c>
    </row>
    <row r="4218" spans="18:18" x14ac:dyDescent="0.3">
      <c r="R4218" t="s">
        <v>519</v>
      </c>
    </row>
    <row r="4219" spans="18:18" x14ac:dyDescent="0.3">
      <c r="R4219" t="s">
        <v>4429</v>
      </c>
    </row>
    <row r="4220" spans="18:18" x14ac:dyDescent="0.3">
      <c r="R4220" t="s">
        <v>4822</v>
      </c>
    </row>
    <row r="4221" spans="18:18" x14ac:dyDescent="0.3">
      <c r="R4221" t="s">
        <v>2887</v>
      </c>
    </row>
    <row r="4222" spans="18:18" x14ac:dyDescent="0.3">
      <c r="R4222" t="s">
        <v>1654</v>
      </c>
    </row>
    <row r="4223" spans="18:18" x14ac:dyDescent="0.3">
      <c r="R4223" t="s">
        <v>4431</v>
      </c>
    </row>
    <row r="4224" spans="18:18" x14ac:dyDescent="0.3">
      <c r="R4224" t="s">
        <v>4823</v>
      </c>
    </row>
    <row r="4225" spans="18:18" x14ac:dyDescent="0.3">
      <c r="R4225" t="s">
        <v>3733</v>
      </c>
    </row>
    <row r="4226" spans="18:18" x14ac:dyDescent="0.3">
      <c r="R4226" t="s">
        <v>935</v>
      </c>
    </row>
    <row r="4227" spans="18:18" x14ac:dyDescent="0.3">
      <c r="R4227" t="s">
        <v>1775</v>
      </c>
    </row>
    <row r="4228" spans="18:18" x14ac:dyDescent="0.3">
      <c r="R4228" t="s">
        <v>2888</v>
      </c>
    </row>
    <row r="4229" spans="18:18" x14ac:dyDescent="0.3">
      <c r="R4229" t="s">
        <v>352</v>
      </c>
    </row>
    <row r="4230" spans="18:18" x14ac:dyDescent="0.3">
      <c r="R4230" t="s">
        <v>4432</v>
      </c>
    </row>
    <row r="4231" spans="18:18" x14ac:dyDescent="0.3">
      <c r="R4231" t="s">
        <v>4156</v>
      </c>
    </row>
    <row r="4232" spans="18:18" x14ac:dyDescent="0.3">
      <c r="R4232" t="s">
        <v>4156</v>
      </c>
    </row>
    <row r="4233" spans="18:18" x14ac:dyDescent="0.3">
      <c r="R4233" t="s">
        <v>2889</v>
      </c>
    </row>
    <row r="4234" spans="18:18" x14ac:dyDescent="0.3">
      <c r="R4234" t="s">
        <v>3150</v>
      </c>
    </row>
    <row r="4235" spans="18:18" x14ac:dyDescent="0.3">
      <c r="R4235" t="s">
        <v>2890</v>
      </c>
    </row>
    <row r="4236" spans="18:18" x14ac:dyDescent="0.3">
      <c r="R4236" t="s">
        <v>4824</v>
      </c>
    </row>
    <row r="4237" spans="18:18" x14ac:dyDescent="0.3">
      <c r="R4237" t="s">
        <v>2891</v>
      </c>
    </row>
    <row r="4238" spans="18:18" x14ac:dyDescent="0.3">
      <c r="R4238" t="s">
        <v>2892</v>
      </c>
    </row>
    <row r="4239" spans="18:18" x14ac:dyDescent="0.3">
      <c r="R4239" t="s">
        <v>2893</v>
      </c>
    </row>
    <row r="4240" spans="18:18" x14ac:dyDescent="0.3">
      <c r="R4240" t="s">
        <v>2894</v>
      </c>
    </row>
    <row r="4241" spans="18:18" x14ac:dyDescent="0.3">
      <c r="R4241" t="s">
        <v>222</v>
      </c>
    </row>
    <row r="4242" spans="18:18" x14ac:dyDescent="0.3">
      <c r="R4242" t="s">
        <v>5350</v>
      </c>
    </row>
    <row r="4243" spans="18:18" x14ac:dyDescent="0.3">
      <c r="R4243" t="s">
        <v>2181</v>
      </c>
    </row>
    <row r="4244" spans="18:18" x14ac:dyDescent="0.3">
      <c r="R4244" t="s">
        <v>4433</v>
      </c>
    </row>
    <row r="4245" spans="18:18" x14ac:dyDescent="0.3">
      <c r="R4245" t="s">
        <v>520</v>
      </c>
    </row>
    <row r="4246" spans="18:18" x14ac:dyDescent="0.3">
      <c r="R4246" t="s">
        <v>1480</v>
      </c>
    </row>
    <row r="4247" spans="18:18" x14ac:dyDescent="0.3">
      <c r="R4247" t="s">
        <v>5351</v>
      </c>
    </row>
    <row r="4248" spans="18:18" x14ac:dyDescent="0.3">
      <c r="R4248" t="s">
        <v>5023</v>
      </c>
    </row>
    <row r="4249" spans="18:18" x14ac:dyDescent="0.3">
      <c r="R4249" t="s">
        <v>2895</v>
      </c>
    </row>
    <row r="4250" spans="18:18" x14ac:dyDescent="0.3">
      <c r="R4250" t="s">
        <v>3734</v>
      </c>
    </row>
    <row r="4251" spans="18:18" x14ac:dyDescent="0.3">
      <c r="R4251" t="s">
        <v>4825</v>
      </c>
    </row>
    <row r="4252" spans="18:18" x14ac:dyDescent="0.3">
      <c r="R4252" t="s">
        <v>4434</v>
      </c>
    </row>
    <row r="4253" spans="18:18" x14ac:dyDescent="0.3">
      <c r="R4253" t="s">
        <v>2896</v>
      </c>
    </row>
    <row r="4254" spans="18:18" x14ac:dyDescent="0.3">
      <c r="R4254" t="s">
        <v>3728</v>
      </c>
    </row>
    <row r="4255" spans="18:18" x14ac:dyDescent="0.3">
      <c r="R4255" t="s">
        <v>4826</v>
      </c>
    </row>
    <row r="4256" spans="18:18" x14ac:dyDescent="0.3">
      <c r="R4256" t="s">
        <v>5024</v>
      </c>
    </row>
    <row r="4257" spans="18:18" x14ac:dyDescent="0.3">
      <c r="R4257" t="s">
        <v>2897</v>
      </c>
    </row>
    <row r="4258" spans="18:18" x14ac:dyDescent="0.3">
      <c r="R4258" t="s">
        <v>4435</v>
      </c>
    </row>
    <row r="4259" spans="18:18" x14ac:dyDescent="0.3">
      <c r="R4259" t="s">
        <v>4827</v>
      </c>
    </row>
    <row r="4260" spans="18:18" x14ac:dyDescent="0.3">
      <c r="R4260" t="s">
        <v>2898</v>
      </c>
    </row>
    <row r="4261" spans="18:18" x14ac:dyDescent="0.3">
      <c r="R4261" t="s">
        <v>2182</v>
      </c>
    </row>
    <row r="4262" spans="18:18" x14ac:dyDescent="0.3">
      <c r="R4262" t="s">
        <v>1283</v>
      </c>
    </row>
    <row r="4263" spans="18:18" x14ac:dyDescent="0.3">
      <c r="R4263" t="s">
        <v>167</v>
      </c>
    </row>
    <row r="4264" spans="18:18" x14ac:dyDescent="0.3">
      <c r="R4264" t="s">
        <v>4828</v>
      </c>
    </row>
    <row r="4265" spans="18:18" x14ac:dyDescent="0.3">
      <c r="R4265" t="s">
        <v>4157</v>
      </c>
    </row>
    <row r="4266" spans="18:18" x14ac:dyDescent="0.3">
      <c r="R4266" t="s">
        <v>4829</v>
      </c>
    </row>
    <row r="4267" spans="18:18" x14ac:dyDescent="0.3">
      <c r="R4267" t="s">
        <v>119</v>
      </c>
    </row>
    <row r="4268" spans="18:18" x14ac:dyDescent="0.3">
      <c r="R4268" t="s">
        <v>2899</v>
      </c>
    </row>
    <row r="4269" spans="18:18" x14ac:dyDescent="0.3">
      <c r="R4269" t="s">
        <v>4436</v>
      </c>
    </row>
    <row r="4270" spans="18:18" x14ac:dyDescent="0.3">
      <c r="R4270" t="s">
        <v>4158</v>
      </c>
    </row>
    <row r="4271" spans="18:18" x14ac:dyDescent="0.3">
      <c r="R4271" t="s">
        <v>4830</v>
      </c>
    </row>
    <row r="4272" spans="18:18" x14ac:dyDescent="0.3">
      <c r="R4272" t="s">
        <v>4831</v>
      </c>
    </row>
    <row r="4273" spans="18:18" x14ac:dyDescent="0.3">
      <c r="R4273" t="s">
        <v>5141</v>
      </c>
    </row>
    <row r="4274" spans="18:18" x14ac:dyDescent="0.3">
      <c r="R4274" t="s">
        <v>4159</v>
      </c>
    </row>
    <row r="4275" spans="18:18" x14ac:dyDescent="0.3">
      <c r="R4275" t="s">
        <v>353</v>
      </c>
    </row>
    <row r="4276" spans="18:18" x14ac:dyDescent="0.3">
      <c r="R4276" t="s">
        <v>5142</v>
      </c>
    </row>
    <row r="4277" spans="18:18" x14ac:dyDescent="0.3">
      <c r="R4277" t="s">
        <v>4832</v>
      </c>
    </row>
    <row r="4278" spans="18:18" x14ac:dyDescent="0.3">
      <c r="R4278" t="s">
        <v>247</v>
      </c>
    </row>
    <row r="4279" spans="18:18" x14ac:dyDescent="0.3">
      <c r="R4279" t="s">
        <v>3735</v>
      </c>
    </row>
    <row r="4280" spans="18:18" x14ac:dyDescent="0.3">
      <c r="R4280" t="s">
        <v>704</v>
      </c>
    </row>
    <row r="4281" spans="18:18" x14ac:dyDescent="0.3">
      <c r="R4281" t="s">
        <v>2900</v>
      </c>
    </row>
    <row r="4282" spans="18:18" x14ac:dyDescent="0.3">
      <c r="R4282" t="s">
        <v>1847</v>
      </c>
    </row>
    <row r="4283" spans="18:18" x14ac:dyDescent="0.3">
      <c r="R4283" t="s">
        <v>4160</v>
      </c>
    </row>
    <row r="4284" spans="18:18" x14ac:dyDescent="0.3">
      <c r="R4284" t="s">
        <v>4833</v>
      </c>
    </row>
    <row r="4285" spans="18:18" x14ac:dyDescent="0.3">
      <c r="R4285" t="s">
        <v>5143</v>
      </c>
    </row>
    <row r="4286" spans="18:18" x14ac:dyDescent="0.3">
      <c r="R4286" t="s">
        <v>3736</v>
      </c>
    </row>
    <row r="4287" spans="18:18" x14ac:dyDescent="0.3">
      <c r="R4287" t="s">
        <v>1776</v>
      </c>
    </row>
    <row r="4288" spans="18:18" x14ac:dyDescent="0.3">
      <c r="R4288" t="s">
        <v>2901</v>
      </c>
    </row>
    <row r="4289" spans="18:18" x14ac:dyDescent="0.3">
      <c r="R4289" t="s">
        <v>3737</v>
      </c>
    </row>
    <row r="4290" spans="18:18" x14ac:dyDescent="0.3">
      <c r="R4290" t="s">
        <v>5352</v>
      </c>
    </row>
    <row r="4291" spans="18:18" x14ac:dyDescent="0.3">
      <c r="R4291" t="s">
        <v>2902</v>
      </c>
    </row>
    <row r="4292" spans="18:18" x14ac:dyDescent="0.3">
      <c r="R4292" t="s">
        <v>3738</v>
      </c>
    </row>
    <row r="4293" spans="18:18" x14ac:dyDescent="0.3">
      <c r="R4293" t="s">
        <v>354</v>
      </c>
    </row>
    <row r="4294" spans="18:18" x14ac:dyDescent="0.3">
      <c r="R4294" t="s">
        <v>1136</v>
      </c>
    </row>
    <row r="4295" spans="18:18" x14ac:dyDescent="0.3">
      <c r="R4295" t="s">
        <v>1285</v>
      </c>
    </row>
    <row r="4296" spans="18:18" x14ac:dyDescent="0.3">
      <c r="R4296" t="s">
        <v>1285</v>
      </c>
    </row>
    <row r="4297" spans="18:18" x14ac:dyDescent="0.3">
      <c r="R4297" t="s">
        <v>2903</v>
      </c>
    </row>
    <row r="4298" spans="18:18" x14ac:dyDescent="0.3">
      <c r="R4298" t="s">
        <v>4161</v>
      </c>
    </row>
    <row r="4299" spans="18:18" x14ac:dyDescent="0.3">
      <c r="R4299" t="s">
        <v>3739</v>
      </c>
    </row>
    <row r="4300" spans="18:18" x14ac:dyDescent="0.3">
      <c r="R4300" t="s">
        <v>2904</v>
      </c>
    </row>
    <row r="4301" spans="18:18" x14ac:dyDescent="0.3">
      <c r="R4301" t="s">
        <v>1137</v>
      </c>
    </row>
    <row r="4302" spans="18:18" x14ac:dyDescent="0.3">
      <c r="R4302" t="s">
        <v>2905</v>
      </c>
    </row>
    <row r="4303" spans="18:18" x14ac:dyDescent="0.3">
      <c r="R4303" t="s">
        <v>4834</v>
      </c>
    </row>
    <row r="4304" spans="18:18" x14ac:dyDescent="0.3">
      <c r="R4304" t="s">
        <v>3740</v>
      </c>
    </row>
    <row r="4305" spans="18:18" x14ac:dyDescent="0.3">
      <c r="R4305" t="s">
        <v>1655</v>
      </c>
    </row>
    <row r="4306" spans="18:18" x14ac:dyDescent="0.3">
      <c r="R4306" t="s">
        <v>4835</v>
      </c>
    </row>
    <row r="4307" spans="18:18" x14ac:dyDescent="0.3">
      <c r="R4307" t="s">
        <v>3741</v>
      </c>
    </row>
    <row r="4308" spans="18:18" x14ac:dyDescent="0.3">
      <c r="R4308" t="s">
        <v>3742</v>
      </c>
    </row>
    <row r="4309" spans="18:18" x14ac:dyDescent="0.3">
      <c r="R4309" t="s">
        <v>3743</v>
      </c>
    </row>
    <row r="4310" spans="18:18" x14ac:dyDescent="0.3">
      <c r="R4310" t="s">
        <v>4437</v>
      </c>
    </row>
    <row r="4311" spans="18:18" x14ac:dyDescent="0.3">
      <c r="R4311" t="s">
        <v>1481</v>
      </c>
    </row>
    <row r="4312" spans="18:18" x14ac:dyDescent="0.3">
      <c r="R4312" t="s">
        <v>1481</v>
      </c>
    </row>
    <row r="4313" spans="18:18" x14ac:dyDescent="0.3">
      <c r="R4313" t="s">
        <v>1848</v>
      </c>
    </row>
    <row r="4314" spans="18:18" x14ac:dyDescent="0.3">
      <c r="R4314" t="s">
        <v>1482</v>
      </c>
    </row>
    <row r="4315" spans="18:18" x14ac:dyDescent="0.3">
      <c r="R4315" t="s">
        <v>4162</v>
      </c>
    </row>
    <row r="4316" spans="18:18" x14ac:dyDescent="0.3">
      <c r="R4316" t="s">
        <v>1656</v>
      </c>
    </row>
    <row r="4317" spans="18:18" x14ac:dyDescent="0.3">
      <c r="R4317" t="s">
        <v>2906</v>
      </c>
    </row>
    <row r="4318" spans="18:18" x14ac:dyDescent="0.3">
      <c r="R4318" t="s">
        <v>2183</v>
      </c>
    </row>
    <row r="4319" spans="18:18" x14ac:dyDescent="0.3">
      <c r="R4319" t="s">
        <v>355</v>
      </c>
    </row>
    <row r="4320" spans="18:18" x14ac:dyDescent="0.3">
      <c r="R4320" t="s">
        <v>1138</v>
      </c>
    </row>
    <row r="4321" spans="18:18" x14ac:dyDescent="0.3">
      <c r="R4321" t="s">
        <v>3744</v>
      </c>
    </row>
    <row r="4322" spans="18:18" x14ac:dyDescent="0.3">
      <c r="R4322" t="s">
        <v>1657</v>
      </c>
    </row>
    <row r="4323" spans="18:18" x14ac:dyDescent="0.3">
      <c r="R4323" t="s">
        <v>3745</v>
      </c>
    </row>
    <row r="4324" spans="18:18" x14ac:dyDescent="0.3">
      <c r="R4324" t="s">
        <v>3745</v>
      </c>
    </row>
    <row r="4325" spans="18:18" x14ac:dyDescent="0.3">
      <c r="R4325" t="s">
        <v>3746</v>
      </c>
    </row>
    <row r="4326" spans="18:18" x14ac:dyDescent="0.3">
      <c r="R4326" t="s">
        <v>2907</v>
      </c>
    </row>
    <row r="4327" spans="18:18" x14ac:dyDescent="0.3">
      <c r="R4327" t="s">
        <v>3747</v>
      </c>
    </row>
    <row r="4328" spans="18:18" x14ac:dyDescent="0.3">
      <c r="R4328" t="s">
        <v>5145</v>
      </c>
    </row>
    <row r="4329" spans="18:18" x14ac:dyDescent="0.3">
      <c r="R4329" t="s">
        <v>4163</v>
      </c>
    </row>
    <row r="4330" spans="18:18" x14ac:dyDescent="0.3">
      <c r="R4330" t="s">
        <v>4836</v>
      </c>
    </row>
    <row r="4331" spans="18:18" x14ac:dyDescent="0.3">
      <c r="R4331" t="s">
        <v>4164</v>
      </c>
    </row>
    <row r="4332" spans="18:18" x14ac:dyDescent="0.3">
      <c r="R4332" t="s">
        <v>3748</v>
      </c>
    </row>
    <row r="4333" spans="18:18" x14ac:dyDescent="0.3">
      <c r="R4333" t="s">
        <v>4438</v>
      </c>
    </row>
    <row r="4334" spans="18:18" x14ac:dyDescent="0.3">
      <c r="R4334" t="s">
        <v>2184</v>
      </c>
    </row>
    <row r="4335" spans="18:18" x14ac:dyDescent="0.3">
      <c r="R4335" t="s">
        <v>4837</v>
      </c>
    </row>
    <row r="4336" spans="18:18" x14ac:dyDescent="0.3">
      <c r="R4336" t="s">
        <v>4838</v>
      </c>
    </row>
    <row r="4337" spans="18:18" x14ac:dyDescent="0.3">
      <c r="R4337" t="s">
        <v>356</v>
      </c>
    </row>
    <row r="4338" spans="18:18" x14ac:dyDescent="0.3">
      <c r="R4338" t="s">
        <v>705</v>
      </c>
    </row>
    <row r="4339" spans="18:18" x14ac:dyDescent="0.3">
      <c r="R4339" t="s">
        <v>521</v>
      </c>
    </row>
    <row r="4340" spans="18:18" x14ac:dyDescent="0.3">
      <c r="R4340" t="s">
        <v>4839</v>
      </c>
    </row>
    <row r="4341" spans="18:18" x14ac:dyDescent="0.3">
      <c r="R4341" t="s">
        <v>5353</v>
      </c>
    </row>
    <row r="4342" spans="18:18" x14ac:dyDescent="0.3">
      <c r="R4342" t="s">
        <v>522</v>
      </c>
    </row>
    <row r="4343" spans="18:18" x14ac:dyDescent="0.3">
      <c r="R4343" t="s">
        <v>3749</v>
      </c>
    </row>
    <row r="4344" spans="18:18" x14ac:dyDescent="0.3">
      <c r="R4344" t="s">
        <v>4439</v>
      </c>
    </row>
    <row r="4345" spans="18:18" x14ac:dyDescent="0.3">
      <c r="R4345" t="s">
        <v>1658</v>
      </c>
    </row>
    <row r="4346" spans="18:18" x14ac:dyDescent="0.3">
      <c r="R4346" t="s">
        <v>3750</v>
      </c>
    </row>
    <row r="4347" spans="18:18" x14ac:dyDescent="0.3">
      <c r="R4347" t="s">
        <v>3751</v>
      </c>
    </row>
    <row r="4348" spans="18:18" x14ac:dyDescent="0.3">
      <c r="R4348" t="s">
        <v>4165</v>
      </c>
    </row>
    <row r="4349" spans="18:18" x14ac:dyDescent="0.3">
      <c r="R4349" t="s">
        <v>2185</v>
      </c>
    </row>
    <row r="4350" spans="18:18" x14ac:dyDescent="0.3">
      <c r="R4350" t="s">
        <v>2185</v>
      </c>
    </row>
    <row r="4351" spans="18:18" x14ac:dyDescent="0.3">
      <c r="R4351" t="s">
        <v>5354</v>
      </c>
    </row>
    <row r="4352" spans="18:18" x14ac:dyDescent="0.3">
      <c r="R4352" t="s">
        <v>2908</v>
      </c>
    </row>
    <row r="4353" spans="18:18" x14ac:dyDescent="0.3">
      <c r="R4353" t="s">
        <v>2909</v>
      </c>
    </row>
    <row r="4354" spans="18:18" x14ac:dyDescent="0.3">
      <c r="R4354" t="s">
        <v>357</v>
      </c>
    </row>
    <row r="4355" spans="18:18" x14ac:dyDescent="0.3">
      <c r="R4355" t="s">
        <v>4840</v>
      </c>
    </row>
    <row r="4356" spans="18:18" x14ac:dyDescent="0.3">
      <c r="R4356" t="s">
        <v>2910</v>
      </c>
    </row>
    <row r="4357" spans="18:18" x14ac:dyDescent="0.3">
      <c r="R4357" t="s">
        <v>3752</v>
      </c>
    </row>
    <row r="4358" spans="18:18" x14ac:dyDescent="0.3">
      <c r="R4358" t="s">
        <v>3753</v>
      </c>
    </row>
    <row r="4359" spans="18:18" x14ac:dyDescent="0.3">
      <c r="R4359" t="s">
        <v>2186</v>
      </c>
    </row>
    <row r="4360" spans="18:18" x14ac:dyDescent="0.3">
      <c r="R4360" t="s">
        <v>5135</v>
      </c>
    </row>
    <row r="4361" spans="18:18" x14ac:dyDescent="0.3">
      <c r="R4361" t="s">
        <v>1483</v>
      </c>
    </row>
    <row r="4362" spans="18:18" x14ac:dyDescent="0.3">
      <c r="R4362" t="s">
        <v>1483</v>
      </c>
    </row>
    <row r="4363" spans="18:18" x14ac:dyDescent="0.3">
      <c r="R4363" t="s">
        <v>4166</v>
      </c>
    </row>
    <row r="4364" spans="18:18" x14ac:dyDescent="0.3">
      <c r="R4364" t="s">
        <v>4841</v>
      </c>
    </row>
    <row r="4365" spans="18:18" x14ac:dyDescent="0.3">
      <c r="R4365" t="s">
        <v>4842</v>
      </c>
    </row>
    <row r="4366" spans="18:18" x14ac:dyDescent="0.3">
      <c r="R4366" t="s">
        <v>3754</v>
      </c>
    </row>
    <row r="4367" spans="18:18" x14ac:dyDescent="0.3">
      <c r="R4367" t="s">
        <v>1286</v>
      </c>
    </row>
    <row r="4368" spans="18:18" x14ac:dyDescent="0.3">
      <c r="R4368" t="s">
        <v>1286</v>
      </c>
    </row>
    <row r="4369" spans="18:18" x14ac:dyDescent="0.3">
      <c r="R4369" t="s">
        <v>1286</v>
      </c>
    </row>
    <row r="4370" spans="18:18" x14ac:dyDescent="0.3">
      <c r="R4370" t="s">
        <v>2187</v>
      </c>
    </row>
    <row r="4371" spans="18:18" x14ac:dyDescent="0.3">
      <c r="R4371" t="s">
        <v>1659</v>
      </c>
    </row>
    <row r="4372" spans="18:18" x14ac:dyDescent="0.3">
      <c r="R4372" t="s">
        <v>3755</v>
      </c>
    </row>
    <row r="4373" spans="18:18" x14ac:dyDescent="0.3">
      <c r="R4373" t="s">
        <v>3756</v>
      </c>
    </row>
    <row r="4374" spans="18:18" x14ac:dyDescent="0.3">
      <c r="R4374" t="s">
        <v>2188</v>
      </c>
    </row>
    <row r="4375" spans="18:18" x14ac:dyDescent="0.3">
      <c r="R4375" t="s">
        <v>3757</v>
      </c>
    </row>
    <row r="4376" spans="18:18" x14ac:dyDescent="0.3">
      <c r="R4376" t="s">
        <v>5355</v>
      </c>
    </row>
    <row r="4377" spans="18:18" x14ac:dyDescent="0.3">
      <c r="R4377" t="s">
        <v>2911</v>
      </c>
    </row>
    <row r="4378" spans="18:18" x14ac:dyDescent="0.3">
      <c r="R4378" t="s">
        <v>4167</v>
      </c>
    </row>
    <row r="4379" spans="18:18" x14ac:dyDescent="0.3">
      <c r="R4379" t="s">
        <v>2912</v>
      </c>
    </row>
    <row r="4380" spans="18:18" x14ac:dyDescent="0.3">
      <c r="R4380" t="s">
        <v>358</v>
      </c>
    </row>
    <row r="4381" spans="18:18" x14ac:dyDescent="0.3">
      <c r="R4381" t="s">
        <v>1660</v>
      </c>
    </row>
    <row r="4382" spans="18:18" x14ac:dyDescent="0.3">
      <c r="R4382" t="s">
        <v>2913</v>
      </c>
    </row>
    <row r="4383" spans="18:18" x14ac:dyDescent="0.3">
      <c r="R4383" t="s">
        <v>936</v>
      </c>
    </row>
    <row r="4384" spans="18:18" x14ac:dyDescent="0.3">
      <c r="R4384" t="s">
        <v>3758</v>
      </c>
    </row>
    <row r="4385" spans="18:18" x14ac:dyDescent="0.3">
      <c r="R4385" t="s">
        <v>4843</v>
      </c>
    </row>
    <row r="4386" spans="18:18" x14ac:dyDescent="0.3">
      <c r="R4386" t="s">
        <v>5144</v>
      </c>
    </row>
    <row r="4387" spans="18:18" x14ac:dyDescent="0.3">
      <c r="R4387" t="s">
        <v>937</v>
      </c>
    </row>
    <row r="4388" spans="18:18" x14ac:dyDescent="0.3">
      <c r="R4388" t="s">
        <v>2914</v>
      </c>
    </row>
    <row r="4389" spans="18:18" x14ac:dyDescent="0.3">
      <c r="R4389" t="s">
        <v>3759</v>
      </c>
    </row>
    <row r="4390" spans="18:18" x14ac:dyDescent="0.3">
      <c r="R4390" t="s">
        <v>4168</v>
      </c>
    </row>
    <row r="4391" spans="18:18" x14ac:dyDescent="0.3">
      <c r="R4391" t="s">
        <v>5356</v>
      </c>
    </row>
    <row r="4392" spans="18:18" x14ac:dyDescent="0.3">
      <c r="R4392" t="s">
        <v>2915</v>
      </c>
    </row>
    <row r="4393" spans="18:18" x14ac:dyDescent="0.3">
      <c r="R4393" t="s">
        <v>523</v>
      </c>
    </row>
    <row r="4394" spans="18:18" x14ac:dyDescent="0.3">
      <c r="R4394" t="s">
        <v>3760</v>
      </c>
    </row>
    <row r="4395" spans="18:18" x14ac:dyDescent="0.3">
      <c r="R4395" t="s">
        <v>938</v>
      </c>
    </row>
    <row r="4396" spans="18:18" x14ac:dyDescent="0.3">
      <c r="R4396" t="s">
        <v>938</v>
      </c>
    </row>
    <row r="4397" spans="18:18" x14ac:dyDescent="0.3">
      <c r="R4397" t="s">
        <v>706</v>
      </c>
    </row>
    <row r="4398" spans="18:18" x14ac:dyDescent="0.3">
      <c r="R4398" t="s">
        <v>3761</v>
      </c>
    </row>
    <row r="4399" spans="18:18" x14ac:dyDescent="0.3">
      <c r="R4399" t="s">
        <v>707</v>
      </c>
    </row>
    <row r="4400" spans="18:18" x14ac:dyDescent="0.3">
      <c r="R4400" t="s">
        <v>707</v>
      </c>
    </row>
    <row r="4401" spans="18:18" x14ac:dyDescent="0.3">
      <c r="R4401" t="s">
        <v>707</v>
      </c>
    </row>
    <row r="4402" spans="18:18" x14ac:dyDescent="0.3">
      <c r="R4402" t="s">
        <v>707</v>
      </c>
    </row>
    <row r="4403" spans="18:18" x14ac:dyDescent="0.3">
      <c r="R4403" t="s">
        <v>5357</v>
      </c>
    </row>
    <row r="4404" spans="18:18" x14ac:dyDescent="0.3">
      <c r="R4404" t="s">
        <v>2916</v>
      </c>
    </row>
    <row r="4405" spans="18:18" x14ac:dyDescent="0.3">
      <c r="R4405" t="s">
        <v>708</v>
      </c>
    </row>
    <row r="4406" spans="18:18" x14ac:dyDescent="0.3">
      <c r="R4406" t="s">
        <v>708</v>
      </c>
    </row>
    <row r="4407" spans="18:18" x14ac:dyDescent="0.3">
      <c r="R4407" t="s">
        <v>708</v>
      </c>
    </row>
    <row r="4408" spans="18:18" x14ac:dyDescent="0.3">
      <c r="R4408" t="s">
        <v>708</v>
      </c>
    </row>
    <row r="4409" spans="18:18" x14ac:dyDescent="0.3">
      <c r="R4409" t="s">
        <v>3762</v>
      </c>
    </row>
    <row r="4410" spans="18:18" x14ac:dyDescent="0.3">
      <c r="R4410" t="s">
        <v>3762</v>
      </c>
    </row>
    <row r="4411" spans="18:18" x14ac:dyDescent="0.3">
      <c r="R4411" t="s">
        <v>4169</v>
      </c>
    </row>
    <row r="4412" spans="18:18" x14ac:dyDescent="0.3">
      <c r="R4412" t="s">
        <v>223</v>
      </c>
    </row>
    <row r="4413" spans="18:18" x14ac:dyDescent="0.3">
      <c r="R4413" t="s">
        <v>4170</v>
      </c>
    </row>
    <row r="4414" spans="18:18" x14ac:dyDescent="0.3">
      <c r="R4414" t="s">
        <v>359</v>
      </c>
    </row>
    <row r="4415" spans="18:18" x14ac:dyDescent="0.3">
      <c r="R4415" t="s">
        <v>2917</v>
      </c>
    </row>
    <row r="4416" spans="18:18" x14ac:dyDescent="0.3">
      <c r="R4416" t="s">
        <v>3151</v>
      </c>
    </row>
    <row r="4417" spans="18:18" x14ac:dyDescent="0.3">
      <c r="R4417" t="s">
        <v>3763</v>
      </c>
    </row>
    <row r="4418" spans="18:18" x14ac:dyDescent="0.3">
      <c r="R4418" t="s">
        <v>3763</v>
      </c>
    </row>
    <row r="4419" spans="18:18" x14ac:dyDescent="0.3">
      <c r="R4419" t="s">
        <v>939</v>
      </c>
    </row>
    <row r="4420" spans="18:18" x14ac:dyDescent="0.3">
      <c r="R4420" t="s">
        <v>709</v>
      </c>
    </row>
    <row r="4421" spans="18:18" x14ac:dyDescent="0.3">
      <c r="R4421" t="s">
        <v>709</v>
      </c>
    </row>
    <row r="4422" spans="18:18" x14ac:dyDescent="0.3">
      <c r="R4422" t="s">
        <v>709</v>
      </c>
    </row>
    <row r="4423" spans="18:18" x14ac:dyDescent="0.3">
      <c r="R4423" t="s">
        <v>709</v>
      </c>
    </row>
    <row r="4424" spans="18:18" x14ac:dyDescent="0.3">
      <c r="R4424" t="s">
        <v>1849</v>
      </c>
    </row>
    <row r="4425" spans="18:18" x14ac:dyDescent="0.3">
      <c r="R4425" t="s">
        <v>1777</v>
      </c>
    </row>
    <row r="4426" spans="18:18" x14ac:dyDescent="0.3">
      <c r="R4426" t="s">
        <v>360</v>
      </c>
    </row>
    <row r="4427" spans="18:18" x14ac:dyDescent="0.3">
      <c r="R4427" t="s">
        <v>710</v>
      </c>
    </row>
    <row r="4428" spans="18:18" x14ac:dyDescent="0.3">
      <c r="R4428" t="s">
        <v>120</v>
      </c>
    </row>
    <row r="4429" spans="18:18" x14ac:dyDescent="0.3">
      <c r="R4429" t="s">
        <v>2918</v>
      </c>
    </row>
    <row r="4430" spans="18:18" x14ac:dyDescent="0.3">
      <c r="R4430" t="s">
        <v>4845</v>
      </c>
    </row>
    <row r="4431" spans="18:18" x14ac:dyDescent="0.3">
      <c r="R4431" t="s">
        <v>1265</v>
      </c>
    </row>
    <row r="4432" spans="18:18" x14ac:dyDescent="0.3">
      <c r="R4432" t="s">
        <v>1265</v>
      </c>
    </row>
    <row r="4433" spans="18:18" x14ac:dyDescent="0.3">
      <c r="R4433" t="s">
        <v>1661</v>
      </c>
    </row>
    <row r="4434" spans="18:18" x14ac:dyDescent="0.3">
      <c r="R4434" t="s">
        <v>3764</v>
      </c>
    </row>
    <row r="4435" spans="18:18" x14ac:dyDescent="0.3">
      <c r="R4435" t="s">
        <v>2190</v>
      </c>
    </row>
    <row r="4436" spans="18:18" x14ac:dyDescent="0.3">
      <c r="R4436" t="s">
        <v>361</v>
      </c>
    </row>
    <row r="4437" spans="18:18" x14ac:dyDescent="0.3">
      <c r="R4437" t="s">
        <v>2919</v>
      </c>
    </row>
    <row r="4438" spans="18:18" x14ac:dyDescent="0.3">
      <c r="R4438" t="s">
        <v>3152</v>
      </c>
    </row>
    <row r="4439" spans="18:18" x14ac:dyDescent="0.3">
      <c r="R4439" t="s">
        <v>1662</v>
      </c>
    </row>
    <row r="4440" spans="18:18" x14ac:dyDescent="0.3">
      <c r="R4440" t="s">
        <v>4844</v>
      </c>
    </row>
    <row r="4441" spans="18:18" x14ac:dyDescent="0.3">
      <c r="R4441" t="s">
        <v>4171</v>
      </c>
    </row>
    <row r="4442" spans="18:18" x14ac:dyDescent="0.3">
      <c r="R4442" t="s">
        <v>362</v>
      </c>
    </row>
    <row r="4443" spans="18:18" x14ac:dyDescent="0.3">
      <c r="R4443" t="s">
        <v>2920</v>
      </c>
    </row>
    <row r="4444" spans="18:18" x14ac:dyDescent="0.3">
      <c r="R4444" t="s">
        <v>2921</v>
      </c>
    </row>
    <row r="4445" spans="18:18" x14ac:dyDescent="0.3">
      <c r="R4445" t="s">
        <v>524</v>
      </c>
    </row>
    <row r="4446" spans="18:18" x14ac:dyDescent="0.3">
      <c r="R4446" t="s">
        <v>3231</v>
      </c>
    </row>
    <row r="4447" spans="18:18" x14ac:dyDescent="0.3">
      <c r="R4447" t="s">
        <v>4172</v>
      </c>
    </row>
    <row r="4448" spans="18:18" x14ac:dyDescent="0.3">
      <c r="R4448" t="s">
        <v>3765</v>
      </c>
    </row>
    <row r="4449" spans="18:18" x14ac:dyDescent="0.3">
      <c r="R4449" t="s">
        <v>4173</v>
      </c>
    </row>
    <row r="4450" spans="18:18" x14ac:dyDescent="0.3">
      <c r="R4450" t="s">
        <v>1141</v>
      </c>
    </row>
    <row r="4451" spans="18:18" x14ac:dyDescent="0.3">
      <c r="R4451" t="s">
        <v>711</v>
      </c>
    </row>
    <row r="4452" spans="18:18" x14ac:dyDescent="0.3">
      <c r="R4452" t="s">
        <v>712</v>
      </c>
    </row>
    <row r="4453" spans="18:18" x14ac:dyDescent="0.3">
      <c r="R4453" t="s">
        <v>712</v>
      </c>
    </row>
    <row r="4454" spans="18:18" x14ac:dyDescent="0.3">
      <c r="R4454" t="s">
        <v>2932</v>
      </c>
    </row>
    <row r="4455" spans="18:18" x14ac:dyDescent="0.3">
      <c r="R4455" t="s">
        <v>2192</v>
      </c>
    </row>
    <row r="4456" spans="18:18" x14ac:dyDescent="0.3">
      <c r="R4456" t="s">
        <v>2935</v>
      </c>
    </row>
    <row r="4457" spans="18:18" x14ac:dyDescent="0.3">
      <c r="R4457" t="s">
        <v>2933</v>
      </c>
    </row>
    <row r="4458" spans="18:18" x14ac:dyDescent="0.3">
      <c r="R4458" t="s">
        <v>2934</v>
      </c>
    </row>
    <row r="4459" spans="18:18" x14ac:dyDescent="0.3">
      <c r="R4459" t="s">
        <v>5358</v>
      </c>
    </row>
    <row r="4460" spans="18:18" x14ac:dyDescent="0.3">
      <c r="R4460" t="s">
        <v>2936</v>
      </c>
    </row>
    <row r="4461" spans="18:18" x14ac:dyDescent="0.3">
      <c r="R4461" t="s">
        <v>5359</v>
      </c>
    </row>
    <row r="4462" spans="18:18" x14ac:dyDescent="0.3">
      <c r="R4462" t="s">
        <v>5025</v>
      </c>
    </row>
    <row r="4463" spans="18:18" x14ac:dyDescent="0.3">
      <c r="R4463" t="s">
        <v>3769</v>
      </c>
    </row>
    <row r="4464" spans="18:18" x14ac:dyDescent="0.3">
      <c r="R4464" t="s">
        <v>2937</v>
      </c>
    </row>
    <row r="4465" spans="18:18" x14ac:dyDescent="0.3">
      <c r="R4465" t="s">
        <v>525</v>
      </c>
    </row>
    <row r="4466" spans="18:18" x14ac:dyDescent="0.3">
      <c r="R4466" t="s">
        <v>5146</v>
      </c>
    </row>
    <row r="4467" spans="18:18" x14ac:dyDescent="0.3">
      <c r="R4467" t="s">
        <v>3768</v>
      </c>
    </row>
    <row r="4468" spans="18:18" x14ac:dyDescent="0.3">
      <c r="R4468" t="s">
        <v>4848</v>
      </c>
    </row>
    <row r="4469" spans="18:18" x14ac:dyDescent="0.3">
      <c r="R4469" t="s">
        <v>2938</v>
      </c>
    </row>
    <row r="4470" spans="18:18" x14ac:dyDescent="0.3">
      <c r="R4470" t="s">
        <v>5360</v>
      </c>
    </row>
    <row r="4471" spans="18:18" x14ac:dyDescent="0.3">
      <c r="R4471" t="s">
        <v>1851</v>
      </c>
    </row>
    <row r="4472" spans="18:18" x14ac:dyDescent="0.3">
      <c r="R4472" t="s">
        <v>1851</v>
      </c>
    </row>
    <row r="4473" spans="18:18" x14ac:dyDescent="0.3">
      <c r="R4473" t="s">
        <v>3770</v>
      </c>
    </row>
    <row r="4474" spans="18:18" x14ac:dyDescent="0.3">
      <c r="R4474" t="s">
        <v>941</v>
      </c>
    </row>
    <row r="4475" spans="18:18" x14ac:dyDescent="0.3">
      <c r="R4475" t="s">
        <v>168</v>
      </c>
    </row>
    <row r="4476" spans="18:18" x14ac:dyDescent="0.3">
      <c r="R4476" t="s">
        <v>4440</v>
      </c>
    </row>
    <row r="4477" spans="18:18" x14ac:dyDescent="0.3">
      <c r="R4477" t="s">
        <v>526</v>
      </c>
    </row>
    <row r="4478" spans="18:18" x14ac:dyDescent="0.3">
      <c r="R4478" t="s">
        <v>3771</v>
      </c>
    </row>
    <row r="4479" spans="18:18" x14ac:dyDescent="0.3">
      <c r="R4479" t="s">
        <v>3153</v>
      </c>
    </row>
    <row r="4480" spans="18:18" x14ac:dyDescent="0.3">
      <c r="R4480" t="s">
        <v>1487</v>
      </c>
    </row>
    <row r="4481" spans="18:18" x14ac:dyDescent="0.3">
      <c r="R4481" t="s">
        <v>1487</v>
      </c>
    </row>
    <row r="4482" spans="18:18" x14ac:dyDescent="0.3">
      <c r="R4482" t="s">
        <v>4849</v>
      </c>
    </row>
    <row r="4483" spans="18:18" x14ac:dyDescent="0.3">
      <c r="R4483" t="s">
        <v>5361</v>
      </c>
    </row>
    <row r="4484" spans="18:18" x14ac:dyDescent="0.3">
      <c r="R4484" t="s">
        <v>4175</v>
      </c>
    </row>
    <row r="4485" spans="18:18" x14ac:dyDescent="0.3">
      <c r="R4485" t="s">
        <v>527</v>
      </c>
    </row>
    <row r="4486" spans="18:18" x14ac:dyDescent="0.3">
      <c r="R4486" t="s">
        <v>1663</v>
      </c>
    </row>
    <row r="4487" spans="18:18" x14ac:dyDescent="0.3">
      <c r="R4487" t="s">
        <v>1663</v>
      </c>
    </row>
    <row r="4488" spans="18:18" x14ac:dyDescent="0.3">
      <c r="R4488" t="s">
        <v>1663</v>
      </c>
    </row>
    <row r="4489" spans="18:18" x14ac:dyDescent="0.3">
      <c r="R4489" t="s">
        <v>5362</v>
      </c>
    </row>
    <row r="4490" spans="18:18" x14ac:dyDescent="0.3">
      <c r="R4490" t="s">
        <v>4176</v>
      </c>
    </row>
    <row r="4491" spans="18:18" x14ac:dyDescent="0.3">
      <c r="R4491" t="s">
        <v>4441</v>
      </c>
    </row>
    <row r="4492" spans="18:18" x14ac:dyDescent="0.3">
      <c r="R4492" t="s">
        <v>528</v>
      </c>
    </row>
    <row r="4493" spans="18:18" x14ac:dyDescent="0.3">
      <c r="R4493" t="s">
        <v>2939</v>
      </c>
    </row>
    <row r="4494" spans="18:18" x14ac:dyDescent="0.3">
      <c r="R4494" t="s">
        <v>4850</v>
      </c>
    </row>
    <row r="4495" spans="18:18" x14ac:dyDescent="0.3">
      <c r="R4495" t="s">
        <v>2189</v>
      </c>
    </row>
    <row r="4496" spans="18:18" x14ac:dyDescent="0.3">
      <c r="R4496" t="s">
        <v>408</v>
      </c>
    </row>
    <row r="4497" spans="18:18" x14ac:dyDescent="0.3">
      <c r="R4497" t="s">
        <v>408</v>
      </c>
    </row>
    <row r="4498" spans="18:18" x14ac:dyDescent="0.3">
      <c r="R4498" t="s">
        <v>4846</v>
      </c>
    </row>
    <row r="4499" spans="18:18" x14ac:dyDescent="0.3">
      <c r="R4499" t="s">
        <v>3766</v>
      </c>
    </row>
    <row r="4500" spans="18:18" x14ac:dyDescent="0.3">
      <c r="R4500" t="s">
        <v>2922</v>
      </c>
    </row>
    <row r="4501" spans="18:18" x14ac:dyDescent="0.3">
      <c r="R4501" t="s">
        <v>2923</v>
      </c>
    </row>
    <row r="4502" spans="18:18" x14ac:dyDescent="0.3">
      <c r="R4502" t="s">
        <v>1484</v>
      </c>
    </row>
    <row r="4503" spans="18:18" x14ac:dyDescent="0.3">
      <c r="R4503" t="s">
        <v>3767</v>
      </c>
    </row>
    <row r="4504" spans="18:18" x14ac:dyDescent="0.3">
      <c r="R4504" t="s">
        <v>2924</v>
      </c>
    </row>
    <row r="4505" spans="18:18" x14ac:dyDescent="0.3">
      <c r="R4505" t="s">
        <v>1139</v>
      </c>
    </row>
    <row r="4506" spans="18:18" x14ac:dyDescent="0.3">
      <c r="R4506" t="s">
        <v>363</v>
      </c>
    </row>
    <row r="4507" spans="18:18" x14ac:dyDescent="0.3">
      <c r="R4507" t="s">
        <v>1140</v>
      </c>
    </row>
    <row r="4508" spans="18:18" x14ac:dyDescent="0.3">
      <c r="R4508" t="s">
        <v>2925</v>
      </c>
    </row>
    <row r="4509" spans="18:18" x14ac:dyDescent="0.3">
      <c r="R4509" t="s">
        <v>2926</v>
      </c>
    </row>
    <row r="4510" spans="18:18" x14ac:dyDescent="0.3">
      <c r="R4510" t="s">
        <v>1778</v>
      </c>
    </row>
    <row r="4511" spans="18:18" x14ac:dyDescent="0.3">
      <c r="R4511" t="s">
        <v>4174</v>
      </c>
    </row>
    <row r="4512" spans="18:18" x14ac:dyDescent="0.3">
      <c r="R4512" t="s">
        <v>2927</v>
      </c>
    </row>
    <row r="4513" spans="18:18" x14ac:dyDescent="0.3">
      <c r="R4513" t="s">
        <v>4847</v>
      </c>
    </row>
    <row r="4514" spans="18:18" x14ac:dyDescent="0.3">
      <c r="R4514" t="s">
        <v>2928</v>
      </c>
    </row>
    <row r="4515" spans="18:18" x14ac:dyDescent="0.3">
      <c r="R4515" t="s">
        <v>713</v>
      </c>
    </row>
    <row r="4516" spans="18:18" x14ac:dyDescent="0.3">
      <c r="R4516" t="s">
        <v>1287</v>
      </c>
    </row>
    <row r="4517" spans="18:18" x14ac:dyDescent="0.3">
      <c r="R4517" t="s">
        <v>1779</v>
      </c>
    </row>
    <row r="4518" spans="18:18" x14ac:dyDescent="0.3">
      <c r="R4518" t="s">
        <v>2929</v>
      </c>
    </row>
    <row r="4519" spans="18:18" x14ac:dyDescent="0.3">
      <c r="R4519" t="s">
        <v>940</v>
      </c>
    </row>
    <row r="4520" spans="18:18" x14ac:dyDescent="0.3">
      <c r="R4520" t="s">
        <v>2930</v>
      </c>
    </row>
    <row r="4521" spans="18:18" x14ac:dyDescent="0.3">
      <c r="R4521" t="s">
        <v>1850</v>
      </c>
    </row>
    <row r="4522" spans="18:18" x14ac:dyDescent="0.3">
      <c r="R4522" t="s">
        <v>1288</v>
      </c>
    </row>
    <row r="4523" spans="18:18" x14ac:dyDescent="0.3">
      <c r="R4523" t="s">
        <v>1485</v>
      </c>
    </row>
    <row r="4524" spans="18:18" x14ac:dyDescent="0.3">
      <c r="R4524" t="s">
        <v>2931</v>
      </c>
    </row>
    <row r="4525" spans="18:18" x14ac:dyDescent="0.3">
      <c r="R4525" t="s">
        <v>2191</v>
      </c>
    </row>
    <row r="4526" spans="18:18" x14ac:dyDescent="0.3">
      <c r="R4526" t="s">
        <v>364</v>
      </c>
    </row>
    <row r="4527" spans="18:18" x14ac:dyDescent="0.3">
      <c r="R4527" t="s">
        <v>365</v>
      </c>
    </row>
    <row r="4528" spans="18:18" x14ac:dyDescent="0.3">
      <c r="R4528" t="s">
        <v>4851</v>
      </c>
    </row>
    <row r="4529" spans="18:18" x14ac:dyDescent="0.3">
      <c r="R4529" t="s">
        <v>4442</v>
      </c>
    </row>
    <row r="4530" spans="18:18" x14ac:dyDescent="0.3">
      <c r="R4530" t="s">
        <v>5136</v>
      </c>
    </row>
    <row r="4531" spans="18:18" x14ac:dyDescent="0.3">
      <c r="R4531" t="s">
        <v>2193</v>
      </c>
    </row>
    <row r="4532" spans="18:18" x14ac:dyDescent="0.3">
      <c r="R4532" t="s">
        <v>4443</v>
      </c>
    </row>
    <row r="4533" spans="18:18" x14ac:dyDescent="0.3">
      <c r="R4533" t="s">
        <v>1852</v>
      </c>
    </row>
    <row r="4534" spans="18:18" x14ac:dyDescent="0.3">
      <c r="R4534" t="s">
        <v>714</v>
      </c>
    </row>
    <row r="4535" spans="18:18" x14ac:dyDescent="0.3">
      <c r="R4535" t="s">
        <v>3772</v>
      </c>
    </row>
    <row r="4536" spans="18:18" x14ac:dyDescent="0.3">
      <c r="R4536" t="s">
        <v>1488</v>
      </c>
    </row>
    <row r="4537" spans="18:18" x14ac:dyDescent="0.3">
      <c r="R4537" t="s">
        <v>1488</v>
      </c>
    </row>
    <row r="4538" spans="18:18" x14ac:dyDescent="0.3">
      <c r="R4538" t="s">
        <v>4852</v>
      </c>
    </row>
    <row r="4539" spans="18:18" x14ac:dyDescent="0.3">
      <c r="R4539" t="s">
        <v>1289</v>
      </c>
    </row>
    <row r="4540" spans="18:18" x14ac:dyDescent="0.3">
      <c r="R4540" t="s">
        <v>3773</v>
      </c>
    </row>
    <row r="4541" spans="18:18" x14ac:dyDescent="0.3">
      <c r="R4541" t="s">
        <v>5363</v>
      </c>
    </row>
    <row r="4542" spans="18:18" x14ac:dyDescent="0.3">
      <c r="R4542" t="s">
        <v>4854</v>
      </c>
    </row>
    <row r="4543" spans="18:18" x14ac:dyDescent="0.3">
      <c r="R4543" t="s">
        <v>4177</v>
      </c>
    </row>
    <row r="4544" spans="18:18" x14ac:dyDescent="0.3">
      <c r="R4544" t="s">
        <v>4855</v>
      </c>
    </row>
    <row r="4545" spans="18:18" x14ac:dyDescent="0.3">
      <c r="R4545" t="s">
        <v>5364</v>
      </c>
    </row>
    <row r="4546" spans="18:18" x14ac:dyDescent="0.3">
      <c r="R4546" t="s">
        <v>2194</v>
      </c>
    </row>
    <row r="4547" spans="18:18" x14ac:dyDescent="0.3">
      <c r="R4547" t="s">
        <v>942</v>
      </c>
    </row>
    <row r="4548" spans="18:18" x14ac:dyDescent="0.3">
      <c r="R4548" t="s">
        <v>3232</v>
      </c>
    </row>
    <row r="4549" spans="18:18" x14ac:dyDescent="0.3">
      <c r="R4549" t="s">
        <v>3774</v>
      </c>
    </row>
    <row r="4550" spans="18:18" x14ac:dyDescent="0.3">
      <c r="R4550" t="s">
        <v>2940</v>
      </c>
    </row>
    <row r="4551" spans="18:18" x14ac:dyDescent="0.3">
      <c r="R4551" t="s">
        <v>3775</v>
      </c>
    </row>
    <row r="4552" spans="18:18" x14ac:dyDescent="0.3">
      <c r="R4552" t="s">
        <v>2941</v>
      </c>
    </row>
    <row r="4553" spans="18:18" x14ac:dyDescent="0.3">
      <c r="R4553" t="s">
        <v>4178</v>
      </c>
    </row>
    <row r="4554" spans="18:18" x14ac:dyDescent="0.3">
      <c r="R4554" t="s">
        <v>5365</v>
      </c>
    </row>
    <row r="4555" spans="18:18" x14ac:dyDescent="0.3">
      <c r="R4555" t="s">
        <v>2942</v>
      </c>
    </row>
    <row r="4556" spans="18:18" x14ac:dyDescent="0.3">
      <c r="R4556" t="s">
        <v>224</v>
      </c>
    </row>
    <row r="4557" spans="18:18" x14ac:dyDescent="0.3">
      <c r="R4557" t="s">
        <v>2943</v>
      </c>
    </row>
    <row r="4558" spans="18:18" x14ac:dyDescent="0.3">
      <c r="R4558" t="s">
        <v>2944</v>
      </c>
    </row>
    <row r="4559" spans="18:18" x14ac:dyDescent="0.3">
      <c r="R4559" t="s">
        <v>3776</v>
      </c>
    </row>
    <row r="4560" spans="18:18" x14ac:dyDescent="0.3">
      <c r="R4560" t="s">
        <v>5147</v>
      </c>
    </row>
    <row r="4561" spans="18:18" x14ac:dyDescent="0.3">
      <c r="R4561" t="s">
        <v>5148</v>
      </c>
    </row>
    <row r="4562" spans="18:18" x14ac:dyDescent="0.3">
      <c r="R4562" t="s">
        <v>2945</v>
      </c>
    </row>
    <row r="4563" spans="18:18" x14ac:dyDescent="0.3">
      <c r="R4563" t="s">
        <v>4853</v>
      </c>
    </row>
    <row r="4564" spans="18:18" x14ac:dyDescent="0.3">
      <c r="R4564" t="s">
        <v>4179</v>
      </c>
    </row>
    <row r="4565" spans="18:18" x14ac:dyDescent="0.3">
      <c r="R4565" t="s">
        <v>3777</v>
      </c>
    </row>
    <row r="4566" spans="18:18" x14ac:dyDescent="0.3">
      <c r="R4566" t="s">
        <v>4856</v>
      </c>
    </row>
    <row r="4567" spans="18:18" x14ac:dyDescent="0.3">
      <c r="R4567" t="s">
        <v>2946</v>
      </c>
    </row>
    <row r="4568" spans="18:18" x14ac:dyDescent="0.3">
      <c r="R4568" t="s">
        <v>2947</v>
      </c>
    </row>
    <row r="4569" spans="18:18" x14ac:dyDescent="0.3">
      <c r="R4569" t="s">
        <v>4180</v>
      </c>
    </row>
    <row r="4570" spans="18:18" x14ac:dyDescent="0.3">
      <c r="R4570" t="s">
        <v>366</v>
      </c>
    </row>
    <row r="4571" spans="18:18" x14ac:dyDescent="0.3">
      <c r="R4571" t="s">
        <v>715</v>
      </c>
    </row>
    <row r="4572" spans="18:18" x14ac:dyDescent="0.3">
      <c r="R4572" t="s">
        <v>943</v>
      </c>
    </row>
    <row r="4573" spans="18:18" x14ac:dyDescent="0.3">
      <c r="R4573" t="s">
        <v>4857</v>
      </c>
    </row>
    <row r="4574" spans="18:18" x14ac:dyDescent="0.3">
      <c r="R4574" t="s">
        <v>4858</v>
      </c>
    </row>
    <row r="4575" spans="18:18" x14ac:dyDescent="0.3">
      <c r="R4575" t="s">
        <v>2195</v>
      </c>
    </row>
    <row r="4576" spans="18:18" x14ac:dyDescent="0.3">
      <c r="R4576" t="s">
        <v>3778</v>
      </c>
    </row>
    <row r="4577" spans="18:18" x14ac:dyDescent="0.3">
      <c r="R4577" t="s">
        <v>4859</v>
      </c>
    </row>
    <row r="4578" spans="18:18" x14ac:dyDescent="0.3">
      <c r="R4578" t="s">
        <v>2948</v>
      </c>
    </row>
    <row r="4579" spans="18:18" x14ac:dyDescent="0.3">
      <c r="R4579" t="s">
        <v>4181</v>
      </c>
    </row>
    <row r="4580" spans="18:18" x14ac:dyDescent="0.3">
      <c r="R4580" t="s">
        <v>944</v>
      </c>
    </row>
    <row r="4581" spans="18:18" x14ac:dyDescent="0.3">
      <c r="R4581" t="s">
        <v>3779</v>
      </c>
    </row>
    <row r="4582" spans="18:18" x14ac:dyDescent="0.3">
      <c r="R4582" t="s">
        <v>3780</v>
      </c>
    </row>
    <row r="4583" spans="18:18" x14ac:dyDescent="0.3">
      <c r="R4583" t="s">
        <v>2949</v>
      </c>
    </row>
    <row r="4584" spans="18:18" x14ac:dyDescent="0.3">
      <c r="R4584" t="s">
        <v>1142</v>
      </c>
    </row>
    <row r="4585" spans="18:18" x14ac:dyDescent="0.3">
      <c r="R4585" t="s">
        <v>716</v>
      </c>
    </row>
    <row r="4586" spans="18:18" x14ac:dyDescent="0.3">
      <c r="R4586" t="s">
        <v>1664</v>
      </c>
    </row>
    <row r="4587" spans="18:18" x14ac:dyDescent="0.3">
      <c r="R4587" t="s">
        <v>1489</v>
      </c>
    </row>
    <row r="4588" spans="18:18" x14ac:dyDescent="0.3">
      <c r="R4588" t="s">
        <v>717</v>
      </c>
    </row>
    <row r="4589" spans="18:18" x14ac:dyDescent="0.3">
      <c r="R4589" t="s">
        <v>717</v>
      </c>
    </row>
    <row r="4590" spans="18:18" x14ac:dyDescent="0.3">
      <c r="R4590" t="s">
        <v>2950</v>
      </c>
    </row>
    <row r="4591" spans="18:18" x14ac:dyDescent="0.3">
      <c r="R4591" t="s">
        <v>1290</v>
      </c>
    </row>
    <row r="4592" spans="18:18" x14ac:dyDescent="0.3">
      <c r="R4592" t="s">
        <v>3781</v>
      </c>
    </row>
    <row r="4593" spans="18:18" x14ac:dyDescent="0.3">
      <c r="R4593" t="s">
        <v>4445</v>
      </c>
    </row>
    <row r="4594" spans="18:18" x14ac:dyDescent="0.3">
      <c r="R4594" t="s">
        <v>529</v>
      </c>
    </row>
    <row r="4595" spans="18:18" x14ac:dyDescent="0.3">
      <c r="R4595" t="s">
        <v>1291</v>
      </c>
    </row>
    <row r="4596" spans="18:18" x14ac:dyDescent="0.3">
      <c r="R4596" t="s">
        <v>1665</v>
      </c>
    </row>
    <row r="4597" spans="18:18" x14ac:dyDescent="0.3">
      <c r="R4597" t="s">
        <v>4444</v>
      </c>
    </row>
    <row r="4598" spans="18:18" x14ac:dyDescent="0.3">
      <c r="R4598" t="s">
        <v>718</v>
      </c>
    </row>
    <row r="4599" spans="18:18" x14ac:dyDescent="0.3">
      <c r="R4599" t="s">
        <v>3782</v>
      </c>
    </row>
    <row r="4600" spans="18:18" x14ac:dyDescent="0.3">
      <c r="R4600" t="s">
        <v>4446</v>
      </c>
    </row>
    <row r="4601" spans="18:18" x14ac:dyDescent="0.3">
      <c r="R4601" t="s">
        <v>4860</v>
      </c>
    </row>
    <row r="4602" spans="18:18" x14ac:dyDescent="0.3">
      <c r="R4602" t="s">
        <v>1780</v>
      </c>
    </row>
    <row r="4603" spans="18:18" x14ac:dyDescent="0.3">
      <c r="R4603" t="s">
        <v>2951</v>
      </c>
    </row>
    <row r="4604" spans="18:18" x14ac:dyDescent="0.3">
      <c r="R4604" t="s">
        <v>945</v>
      </c>
    </row>
    <row r="4605" spans="18:18" x14ac:dyDescent="0.3">
      <c r="R4605" t="s">
        <v>367</v>
      </c>
    </row>
    <row r="4606" spans="18:18" x14ac:dyDescent="0.3">
      <c r="R4606" t="s">
        <v>3783</v>
      </c>
    </row>
    <row r="4607" spans="18:18" x14ac:dyDescent="0.3">
      <c r="R4607" t="s">
        <v>1666</v>
      </c>
    </row>
    <row r="4608" spans="18:18" x14ac:dyDescent="0.3">
      <c r="R4608" t="s">
        <v>3784</v>
      </c>
    </row>
    <row r="4609" spans="18:18" x14ac:dyDescent="0.3">
      <c r="R4609" t="s">
        <v>3784</v>
      </c>
    </row>
    <row r="4610" spans="18:18" x14ac:dyDescent="0.3">
      <c r="R4610" t="s">
        <v>4182</v>
      </c>
    </row>
    <row r="4611" spans="18:18" x14ac:dyDescent="0.3">
      <c r="R4611" t="s">
        <v>1853</v>
      </c>
    </row>
    <row r="4612" spans="18:18" x14ac:dyDescent="0.3">
      <c r="R4612" t="s">
        <v>4447</v>
      </c>
    </row>
    <row r="4613" spans="18:18" x14ac:dyDescent="0.3">
      <c r="R4613" t="s">
        <v>2196</v>
      </c>
    </row>
    <row r="4614" spans="18:18" x14ac:dyDescent="0.3">
      <c r="R4614" t="s">
        <v>1491</v>
      </c>
    </row>
    <row r="4615" spans="18:18" x14ac:dyDescent="0.3">
      <c r="R4615" t="s">
        <v>1491</v>
      </c>
    </row>
    <row r="4616" spans="18:18" x14ac:dyDescent="0.3">
      <c r="R4616" t="s">
        <v>1491</v>
      </c>
    </row>
    <row r="4617" spans="18:18" x14ac:dyDescent="0.3">
      <c r="R4617" t="s">
        <v>1491</v>
      </c>
    </row>
    <row r="4618" spans="18:18" x14ac:dyDescent="0.3">
      <c r="R4618" t="s">
        <v>1491</v>
      </c>
    </row>
    <row r="4619" spans="18:18" x14ac:dyDescent="0.3">
      <c r="R4619" t="s">
        <v>2952</v>
      </c>
    </row>
    <row r="4620" spans="18:18" x14ac:dyDescent="0.3">
      <c r="R4620" t="s">
        <v>368</v>
      </c>
    </row>
    <row r="4621" spans="18:18" x14ac:dyDescent="0.3">
      <c r="R4621" t="s">
        <v>719</v>
      </c>
    </row>
    <row r="4622" spans="18:18" x14ac:dyDescent="0.3">
      <c r="R4622" t="s">
        <v>369</v>
      </c>
    </row>
    <row r="4623" spans="18:18" x14ac:dyDescent="0.3">
      <c r="R4623" t="s">
        <v>1490</v>
      </c>
    </row>
    <row r="4624" spans="18:18" x14ac:dyDescent="0.3">
      <c r="R4624" t="s">
        <v>720</v>
      </c>
    </row>
    <row r="4625" spans="18:18" x14ac:dyDescent="0.3">
      <c r="R4625" t="s">
        <v>3154</v>
      </c>
    </row>
    <row r="4626" spans="18:18" x14ac:dyDescent="0.3">
      <c r="R4626" t="s">
        <v>2953</v>
      </c>
    </row>
    <row r="4627" spans="18:18" x14ac:dyDescent="0.3">
      <c r="R4627" t="s">
        <v>4861</v>
      </c>
    </row>
    <row r="4628" spans="18:18" x14ac:dyDescent="0.3">
      <c r="R4628" t="s">
        <v>2199</v>
      </c>
    </row>
    <row r="4629" spans="18:18" x14ac:dyDescent="0.3">
      <c r="R4629" t="s">
        <v>144</v>
      </c>
    </row>
    <row r="4630" spans="18:18" x14ac:dyDescent="0.3">
      <c r="R4630" t="s">
        <v>2197</v>
      </c>
    </row>
    <row r="4631" spans="18:18" x14ac:dyDescent="0.3">
      <c r="R4631" t="s">
        <v>721</v>
      </c>
    </row>
    <row r="4632" spans="18:18" x14ac:dyDescent="0.3">
      <c r="R4632" t="s">
        <v>2954</v>
      </c>
    </row>
    <row r="4633" spans="18:18" x14ac:dyDescent="0.3">
      <c r="R4633" t="s">
        <v>5149</v>
      </c>
    </row>
    <row r="4634" spans="18:18" x14ac:dyDescent="0.3">
      <c r="R4634" t="s">
        <v>2198</v>
      </c>
    </row>
    <row r="4635" spans="18:18" x14ac:dyDescent="0.3">
      <c r="R4635" t="s">
        <v>946</v>
      </c>
    </row>
    <row r="4636" spans="18:18" x14ac:dyDescent="0.3">
      <c r="R4636" t="s">
        <v>530</v>
      </c>
    </row>
    <row r="4637" spans="18:18" x14ac:dyDescent="0.3">
      <c r="R4637" t="s">
        <v>370</v>
      </c>
    </row>
    <row r="4638" spans="18:18" x14ac:dyDescent="0.3">
      <c r="R4638" t="s">
        <v>1292</v>
      </c>
    </row>
    <row r="4639" spans="18:18" x14ac:dyDescent="0.3">
      <c r="R4639" t="s">
        <v>3234</v>
      </c>
    </row>
    <row r="4640" spans="18:18" x14ac:dyDescent="0.3">
      <c r="R4640" t="s">
        <v>1492</v>
      </c>
    </row>
    <row r="4641" spans="18:18" x14ac:dyDescent="0.3">
      <c r="R4641" t="s">
        <v>1492</v>
      </c>
    </row>
    <row r="4642" spans="18:18" x14ac:dyDescent="0.3">
      <c r="R4642" t="s">
        <v>1492</v>
      </c>
    </row>
    <row r="4643" spans="18:18" x14ac:dyDescent="0.3">
      <c r="R4643" t="s">
        <v>1492</v>
      </c>
    </row>
    <row r="4644" spans="18:18" x14ac:dyDescent="0.3">
      <c r="R4644" t="s">
        <v>4862</v>
      </c>
    </row>
    <row r="4645" spans="18:18" x14ac:dyDescent="0.3">
      <c r="R4645" t="s">
        <v>947</v>
      </c>
    </row>
    <row r="4646" spans="18:18" x14ac:dyDescent="0.3">
      <c r="R4646" t="s">
        <v>5366</v>
      </c>
    </row>
    <row r="4647" spans="18:18" x14ac:dyDescent="0.3">
      <c r="R4647" t="s">
        <v>3233</v>
      </c>
    </row>
    <row r="4648" spans="18:18" x14ac:dyDescent="0.3">
      <c r="R4648" t="s">
        <v>2955</v>
      </c>
    </row>
    <row r="4649" spans="18:18" x14ac:dyDescent="0.3">
      <c r="R4649" t="s">
        <v>2955</v>
      </c>
    </row>
    <row r="4650" spans="18:18" x14ac:dyDescent="0.3">
      <c r="R4650" t="s">
        <v>2956</v>
      </c>
    </row>
    <row r="4651" spans="18:18" x14ac:dyDescent="0.3">
      <c r="R4651" t="s">
        <v>722</v>
      </c>
    </row>
    <row r="4652" spans="18:18" x14ac:dyDescent="0.3">
      <c r="R4652" t="s">
        <v>2200</v>
      </c>
    </row>
    <row r="4653" spans="18:18" x14ac:dyDescent="0.3">
      <c r="R4653" t="s">
        <v>2957</v>
      </c>
    </row>
    <row r="4654" spans="18:18" x14ac:dyDescent="0.3">
      <c r="R4654" t="s">
        <v>145</v>
      </c>
    </row>
    <row r="4655" spans="18:18" x14ac:dyDescent="0.3">
      <c r="R4655" t="s">
        <v>723</v>
      </c>
    </row>
    <row r="4656" spans="18:18" x14ac:dyDescent="0.3">
      <c r="R4656" t="s">
        <v>1293</v>
      </c>
    </row>
    <row r="4657" spans="18:18" x14ac:dyDescent="0.3">
      <c r="R4657" t="s">
        <v>371</v>
      </c>
    </row>
    <row r="4658" spans="18:18" x14ac:dyDescent="0.3">
      <c r="R4658" t="s">
        <v>948</v>
      </c>
    </row>
    <row r="4659" spans="18:18" x14ac:dyDescent="0.3">
      <c r="R4659" t="s">
        <v>4448</v>
      </c>
    </row>
    <row r="4660" spans="18:18" x14ac:dyDescent="0.3">
      <c r="R4660" t="s">
        <v>2201</v>
      </c>
    </row>
    <row r="4661" spans="18:18" x14ac:dyDescent="0.3">
      <c r="R4661" t="s">
        <v>2201</v>
      </c>
    </row>
    <row r="4662" spans="18:18" x14ac:dyDescent="0.3">
      <c r="R4662" t="s">
        <v>225</v>
      </c>
    </row>
    <row r="4663" spans="18:18" x14ac:dyDescent="0.3">
      <c r="R4663" t="s">
        <v>3155</v>
      </c>
    </row>
    <row r="4664" spans="18:18" x14ac:dyDescent="0.3">
      <c r="R4664" t="s">
        <v>5026</v>
      </c>
    </row>
    <row r="4665" spans="18:18" x14ac:dyDescent="0.3">
      <c r="R4665" t="s">
        <v>2958</v>
      </c>
    </row>
    <row r="4666" spans="18:18" x14ac:dyDescent="0.3">
      <c r="R4666" t="s">
        <v>2959</v>
      </c>
    </row>
    <row r="4667" spans="18:18" x14ac:dyDescent="0.3">
      <c r="R4667" t="s">
        <v>372</v>
      </c>
    </row>
    <row r="4668" spans="18:18" x14ac:dyDescent="0.3">
      <c r="R4668" t="s">
        <v>2960</v>
      </c>
    </row>
    <row r="4669" spans="18:18" x14ac:dyDescent="0.3">
      <c r="R4669" t="s">
        <v>3235</v>
      </c>
    </row>
    <row r="4670" spans="18:18" x14ac:dyDescent="0.3">
      <c r="R4670" t="s">
        <v>2961</v>
      </c>
    </row>
    <row r="4671" spans="18:18" x14ac:dyDescent="0.3">
      <c r="R4671" t="s">
        <v>1143</v>
      </c>
    </row>
    <row r="4672" spans="18:18" x14ac:dyDescent="0.3">
      <c r="R4672" t="s">
        <v>1143</v>
      </c>
    </row>
    <row r="4673" spans="18:18" x14ac:dyDescent="0.3">
      <c r="R4673" t="s">
        <v>949</v>
      </c>
    </row>
    <row r="4674" spans="18:18" x14ac:dyDescent="0.3">
      <c r="R4674" t="s">
        <v>2962</v>
      </c>
    </row>
    <row r="4675" spans="18:18" x14ac:dyDescent="0.3">
      <c r="R4675" t="s">
        <v>950</v>
      </c>
    </row>
    <row r="4676" spans="18:18" x14ac:dyDescent="0.3">
      <c r="R4676" t="s">
        <v>2963</v>
      </c>
    </row>
    <row r="4677" spans="18:18" x14ac:dyDescent="0.3">
      <c r="R4677" t="s">
        <v>2534</v>
      </c>
    </row>
    <row r="4678" spans="18:18" x14ac:dyDescent="0.3">
      <c r="R4678" t="s">
        <v>2964</v>
      </c>
    </row>
    <row r="4679" spans="18:18" x14ac:dyDescent="0.3">
      <c r="R4679" t="s">
        <v>2202</v>
      </c>
    </row>
    <row r="4680" spans="18:18" x14ac:dyDescent="0.3">
      <c r="R4680" t="s">
        <v>2965</v>
      </c>
    </row>
    <row r="4681" spans="18:18" x14ac:dyDescent="0.3">
      <c r="R4681" t="s">
        <v>4863</v>
      </c>
    </row>
    <row r="4682" spans="18:18" x14ac:dyDescent="0.3">
      <c r="R4682" t="s">
        <v>4183</v>
      </c>
    </row>
    <row r="4683" spans="18:18" x14ac:dyDescent="0.3">
      <c r="R4683" t="s">
        <v>1667</v>
      </c>
    </row>
    <row r="4684" spans="18:18" x14ac:dyDescent="0.3">
      <c r="R4684" t="s">
        <v>1667</v>
      </c>
    </row>
    <row r="4685" spans="18:18" x14ac:dyDescent="0.3">
      <c r="R4685" t="s">
        <v>724</v>
      </c>
    </row>
    <row r="4686" spans="18:18" x14ac:dyDescent="0.3">
      <c r="R4686" t="s">
        <v>724</v>
      </c>
    </row>
    <row r="4687" spans="18:18" x14ac:dyDescent="0.3">
      <c r="R4687" t="s">
        <v>2966</v>
      </c>
    </row>
    <row r="4688" spans="18:18" x14ac:dyDescent="0.3">
      <c r="R4688" t="s">
        <v>248</v>
      </c>
    </row>
    <row r="4689" spans="18:18" x14ac:dyDescent="0.3">
      <c r="R4689" t="s">
        <v>3236</v>
      </c>
    </row>
    <row r="4690" spans="18:18" x14ac:dyDescent="0.3">
      <c r="R4690" t="s">
        <v>3785</v>
      </c>
    </row>
    <row r="4691" spans="18:18" x14ac:dyDescent="0.3">
      <c r="R4691" t="s">
        <v>951</v>
      </c>
    </row>
    <row r="4692" spans="18:18" x14ac:dyDescent="0.3">
      <c r="R4692" t="s">
        <v>952</v>
      </c>
    </row>
    <row r="4693" spans="18:18" x14ac:dyDescent="0.3">
      <c r="R4693" t="s">
        <v>2967</v>
      </c>
    </row>
    <row r="4694" spans="18:18" x14ac:dyDescent="0.3">
      <c r="R4694" t="s">
        <v>2968</v>
      </c>
    </row>
    <row r="4695" spans="18:18" x14ac:dyDescent="0.3">
      <c r="R4695" t="s">
        <v>5368</v>
      </c>
    </row>
    <row r="4696" spans="18:18" x14ac:dyDescent="0.3">
      <c r="R4696" t="s">
        <v>373</v>
      </c>
    </row>
    <row r="4697" spans="18:18" x14ac:dyDescent="0.3">
      <c r="R4697" t="s">
        <v>2969</v>
      </c>
    </row>
    <row r="4698" spans="18:18" x14ac:dyDescent="0.3">
      <c r="R4698" t="s">
        <v>953</v>
      </c>
    </row>
    <row r="4699" spans="18:18" x14ac:dyDescent="0.3">
      <c r="R4699" t="s">
        <v>4864</v>
      </c>
    </row>
    <row r="4700" spans="18:18" x14ac:dyDescent="0.3">
      <c r="R4700" t="s">
        <v>954</v>
      </c>
    </row>
    <row r="4701" spans="18:18" x14ac:dyDescent="0.3">
      <c r="R4701" t="s">
        <v>5367</v>
      </c>
    </row>
    <row r="4702" spans="18:18" x14ac:dyDescent="0.3">
      <c r="R4702" t="s">
        <v>3786</v>
      </c>
    </row>
    <row r="4703" spans="18:18" x14ac:dyDescent="0.3">
      <c r="R4703" t="s">
        <v>2970</v>
      </c>
    </row>
    <row r="4704" spans="18:18" x14ac:dyDescent="0.3">
      <c r="R4704" t="s">
        <v>3787</v>
      </c>
    </row>
    <row r="4705" spans="18:18" x14ac:dyDescent="0.3">
      <c r="R4705" t="s">
        <v>3237</v>
      </c>
    </row>
    <row r="4706" spans="18:18" x14ac:dyDescent="0.3">
      <c r="R4706" t="s">
        <v>374</v>
      </c>
    </row>
    <row r="4707" spans="18:18" x14ac:dyDescent="0.3">
      <c r="R4707" t="s">
        <v>2971</v>
      </c>
    </row>
    <row r="4708" spans="18:18" x14ac:dyDescent="0.3">
      <c r="R4708" t="s">
        <v>375</v>
      </c>
    </row>
    <row r="4709" spans="18:18" x14ac:dyDescent="0.3">
      <c r="R4709" t="s">
        <v>955</v>
      </c>
    </row>
    <row r="4710" spans="18:18" x14ac:dyDescent="0.3">
      <c r="R4710" t="s">
        <v>4184</v>
      </c>
    </row>
    <row r="4711" spans="18:18" x14ac:dyDescent="0.3">
      <c r="R4711" t="s">
        <v>1493</v>
      </c>
    </row>
    <row r="4712" spans="18:18" x14ac:dyDescent="0.3">
      <c r="R4712" t="s">
        <v>725</v>
      </c>
    </row>
    <row r="4713" spans="18:18" x14ac:dyDescent="0.3">
      <c r="R4713" t="s">
        <v>4450</v>
      </c>
    </row>
    <row r="4714" spans="18:18" x14ac:dyDescent="0.3">
      <c r="R4714" t="s">
        <v>4185</v>
      </c>
    </row>
    <row r="4715" spans="18:18" x14ac:dyDescent="0.3">
      <c r="R4715" t="s">
        <v>1144</v>
      </c>
    </row>
    <row r="4716" spans="18:18" x14ac:dyDescent="0.3">
      <c r="R4716" t="s">
        <v>2972</v>
      </c>
    </row>
    <row r="4717" spans="18:18" x14ac:dyDescent="0.3">
      <c r="R4717" t="s">
        <v>2973</v>
      </c>
    </row>
    <row r="4718" spans="18:18" x14ac:dyDescent="0.3">
      <c r="R4718" t="s">
        <v>4449</v>
      </c>
    </row>
    <row r="4719" spans="18:18" x14ac:dyDescent="0.3">
      <c r="R4719" t="s">
        <v>2974</v>
      </c>
    </row>
    <row r="4720" spans="18:18" x14ac:dyDescent="0.3">
      <c r="R4720" t="s">
        <v>2975</v>
      </c>
    </row>
    <row r="4721" spans="18:18" x14ac:dyDescent="0.3">
      <c r="R4721" t="s">
        <v>726</v>
      </c>
    </row>
    <row r="4722" spans="18:18" x14ac:dyDescent="0.3">
      <c r="R4722" t="s">
        <v>726</v>
      </c>
    </row>
    <row r="4723" spans="18:18" x14ac:dyDescent="0.3">
      <c r="R4723" t="s">
        <v>3788</v>
      </c>
    </row>
    <row r="4724" spans="18:18" x14ac:dyDescent="0.3">
      <c r="R4724" t="s">
        <v>956</v>
      </c>
    </row>
    <row r="4725" spans="18:18" x14ac:dyDescent="0.3">
      <c r="R4725" t="s">
        <v>4865</v>
      </c>
    </row>
    <row r="4726" spans="18:18" x14ac:dyDescent="0.3">
      <c r="R4726" t="s">
        <v>1336</v>
      </c>
    </row>
    <row r="4727" spans="18:18" x14ac:dyDescent="0.3">
      <c r="R4727" t="s">
        <v>1294</v>
      </c>
    </row>
    <row r="4728" spans="18:18" x14ac:dyDescent="0.3">
      <c r="R4728" t="s">
        <v>727</v>
      </c>
    </row>
    <row r="4729" spans="18:18" x14ac:dyDescent="0.3">
      <c r="R4729" t="s">
        <v>4451</v>
      </c>
    </row>
    <row r="4730" spans="18:18" x14ac:dyDescent="0.3">
      <c r="R4730" t="s">
        <v>1494</v>
      </c>
    </row>
    <row r="4731" spans="18:18" x14ac:dyDescent="0.3">
      <c r="R4731" t="s">
        <v>4186</v>
      </c>
    </row>
    <row r="4732" spans="18:18" x14ac:dyDescent="0.3">
      <c r="R4732" t="s">
        <v>728</v>
      </c>
    </row>
    <row r="4733" spans="18:18" x14ac:dyDescent="0.3">
      <c r="R4733" t="s">
        <v>2976</v>
      </c>
    </row>
    <row r="4734" spans="18:18" x14ac:dyDescent="0.3">
      <c r="R4734" t="s">
        <v>2977</v>
      </c>
    </row>
    <row r="4735" spans="18:18" x14ac:dyDescent="0.3">
      <c r="R4735" t="s">
        <v>4452</v>
      </c>
    </row>
    <row r="4736" spans="18:18" x14ac:dyDescent="0.3">
      <c r="R4736" t="s">
        <v>3789</v>
      </c>
    </row>
    <row r="4737" spans="18:18" x14ac:dyDescent="0.3">
      <c r="R4737" t="s">
        <v>2978</v>
      </c>
    </row>
    <row r="4738" spans="18:18" x14ac:dyDescent="0.3">
      <c r="R4738" t="s">
        <v>1668</v>
      </c>
    </row>
    <row r="4739" spans="18:18" x14ac:dyDescent="0.3">
      <c r="R4739" t="s">
        <v>4866</v>
      </c>
    </row>
    <row r="4740" spans="18:18" x14ac:dyDescent="0.3">
      <c r="R4740" t="s">
        <v>4188</v>
      </c>
    </row>
    <row r="4741" spans="18:18" x14ac:dyDescent="0.3">
      <c r="R4741" t="s">
        <v>4189</v>
      </c>
    </row>
    <row r="4742" spans="18:18" x14ac:dyDescent="0.3">
      <c r="R4742" t="s">
        <v>4187</v>
      </c>
    </row>
    <row r="4743" spans="18:18" x14ac:dyDescent="0.3">
      <c r="R4743" t="s">
        <v>4453</v>
      </c>
    </row>
    <row r="4744" spans="18:18" x14ac:dyDescent="0.3">
      <c r="R4744" t="s">
        <v>2979</v>
      </c>
    </row>
    <row r="4745" spans="18:18" x14ac:dyDescent="0.3">
      <c r="R4745" t="s">
        <v>3790</v>
      </c>
    </row>
    <row r="4746" spans="18:18" x14ac:dyDescent="0.3">
      <c r="R4746" t="s">
        <v>4190</v>
      </c>
    </row>
    <row r="4747" spans="18:18" x14ac:dyDescent="0.3">
      <c r="R4747" t="s">
        <v>1669</v>
      </c>
    </row>
    <row r="4748" spans="18:18" x14ac:dyDescent="0.3">
      <c r="R4748" t="s">
        <v>1495</v>
      </c>
    </row>
    <row r="4749" spans="18:18" x14ac:dyDescent="0.3">
      <c r="R4749" t="s">
        <v>1781</v>
      </c>
    </row>
    <row r="4750" spans="18:18" x14ac:dyDescent="0.3">
      <c r="R4750" t="s">
        <v>2980</v>
      </c>
    </row>
    <row r="4751" spans="18:18" x14ac:dyDescent="0.3">
      <c r="R4751" t="s">
        <v>2981</v>
      </c>
    </row>
    <row r="4752" spans="18:18" x14ac:dyDescent="0.3">
      <c r="R4752" t="s">
        <v>1782</v>
      </c>
    </row>
    <row r="4753" spans="18:18" x14ac:dyDescent="0.3">
      <c r="R4753" t="s">
        <v>2982</v>
      </c>
    </row>
    <row r="4754" spans="18:18" x14ac:dyDescent="0.3">
      <c r="R4754" t="s">
        <v>2203</v>
      </c>
    </row>
    <row r="4755" spans="18:18" x14ac:dyDescent="0.3">
      <c r="R4755" t="s">
        <v>4867</v>
      </c>
    </row>
    <row r="4756" spans="18:18" x14ac:dyDescent="0.3">
      <c r="R4756" t="s">
        <v>4191</v>
      </c>
    </row>
    <row r="4757" spans="18:18" x14ac:dyDescent="0.3">
      <c r="R4757" t="s">
        <v>1496</v>
      </c>
    </row>
    <row r="4758" spans="18:18" x14ac:dyDescent="0.3">
      <c r="R4758" t="s">
        <v>1497</v>
      </c>
    </row>
    <row r="4759" spans="18:18" x14ac:dyDescent="0.3">
      <c r="R4759" t="s">
        <v>1295</v>
      </c>
    </row>
    <row r="4760" spans="18:18" x14ac:dyDescent="0.3">
      <c r="R4760" t="s">
        <v>1499</v>
      </c>
    </row>
    <row r="4761" spans="18:18" x14ac:dyDescent="0.3">
      <c r="R4761" t="s">
        <v>1500</v>
      </c>
    </row>
    <row r="4762" spans="18:18" x14ac:dyDescent="0.3">
      <c r="R4762" t="s">
        <v>729</v>
      </c>
    </row>
    <row r="4763" spans="18:18" x14ac:dyDescent="0.3">
      <c r="R4763" t="s">
        <v>3238</v>
      </c>
    </row>
    <row r="4764" spans="18:18" x14ac:dyDescent="0.3">
      <c r="R4764" t="s">
        <v>2983</v>
      </c>
    </row>
    <row r="4765" spans="18:18" x14ac:dyDescent="0.3">
      <c r="R4765" t="s">
        <v>3791</v>
      </c>
    </row>
    <row r="4766" spans="18:18" x14ac:dyDescent="0.3">
      <c r="R4766" t="s">
        <v>1670</v>
      </c>
    </row>
    <row r="4767" spans="18:18" x14ac:dyDescent="0.3">
      <c r="R4767" t="s">
        <v>1501</v>
      </c>
    </row>
    <row r="4768" spans="18:18" x14ac:dyDescent="0.3">
      <c r="R4768" t="s">
        <v>1502</v>
      </c>
    </row>
    <row r="4769" spans="18:18" x14ac:dyDescent="0.3">
      <c r="R4769" t="s">
        <v>3156</v>
      </c>
    </row>
    <row r="4770" spans="18:18" x14ac:dyDescent="0.3">
      <c r="R4770" t="s">
        <v>1296</v>
      </c>
    </row>
    <row r="4771" spans="18:18" x14ac:dyDescent="0.3">
      <c r="R4771" t="s">
        <v>4454</v>
      </c>
    </row>
    <row r="4772" spans="18:18" x14ac:dyDescent="0.3">
      <c r="R4772" t="s">
        <v>4455</v>
      </c>
    </row>
    <row r="4773" spans="18:18" x14ac:dyDescent="0.3">
      <c r="R4773" t="s">
        <v>957</v>
      </c>
    </row>
    <row r="4774" spans="18:18" x14ac:dyDescent="0.3">
      <c r="R4774" t="s">
        <v>957</v>
      </c>
    </row>
    <row r="4775" spans="18:18" x14ac:dyDescent="0.3">
      <c r="R4775" t="s">
        <v>1671</v>
      </c>
    </row>
    <row r="4776" spans="18:18" x14ac:dyDescent="0.3">
      <c r="R4776" t="s">
        <v>2984</v>
      </c>
    </row>
    <row r="4777" spans="18:18" x14ac:dyDescent="0.3">
      <c r="R4777" t="s">
        <v>4868</v>
      </c>
    </row>
    <row r="4778" spans="18:18" x14ac:dyDescent="0.3">
      <c r="R4778" t="s">
        <v>4869</v>
      </c>
    </row>
    <row r="4779" spans="18:18" x14ac:dyDescent="0.3">
      <c r="R4779" t="s">
        <v>4870</v>
      </c>
    </row>
    <row r="4780" spans="18:18" x14ac:dyDescent="0.3">
      <c r="R4780" t="s">
        <v>2204</v>
      </c>
    </row>
    <row r="4781" spans="18:18" x14ac:dyDescent="0.3">
      <c r="R4781" t="s">
        <v>2985</v>
      </c>
    </row>
    <row r="4782" spans="18:18" x14ac:dyDescent="0.3">
      <c r="R4782" t="s">
        <v>2986</v>
      </c>
    </row>
    <row r="4783" spans="18:18" x14ac:dyDescent="0.3">
      <c r="R4783" t="s">
        <v>4871</v>
      </c>
    </row>
    <row r="4784" spans="18:18" x14ac:dyDescent="0.3">
      <c r="R4784" t="s">
        <v>4872</v>
      </c>
    </row>
    <row r="4785" spans="18:18" x14ac:dyDescent="0.3">
      <c r="R4785" t="s">
        <v>958</v>
      </c>
    </row>
    <row r="4786" spans="18:18" x14ac:dyDescent="0.3">
      <c r="R4786" t="s">
        <v>959</v>
      </c>
    </row>
    <row r="4787" spans="18:18" x14ac:dyDescent="0.3">
      <c r="R4787" t="s">
        <v>5137</v>
      </c>
    </row>
    <row r="4788" spans="18:18" x14ac:dyDescent="0.3">
      <c r="R4788" t="s">
        <v>5138</v>
      </c>
    </row>
    <row r="4789" spans="18:18" x14ac:dyDescent="0.3">
      <c r="R4789" t="s">
        <v>3792</v>
      </c>
    </row>
    <row r="4790" spans="18:18" x14ac:dyDescent="0.3">
      <c r="R4790" t="s">
        <v>3793</v>
      </c>
    </row>
    <row r="4791" spans="18:18" x14ac:dyDescent="0.3">
      <c r="R4791" t="s">
        <v>1503</v>
      </c>
    </row>
    <row r="4792" spans="18:18" x14ac:dyDescent="0.3">
      <c r="R4792" t="s">
        <v>1297</v>
      </c>
    </row>
    <row r="4793" spans="18:18" x14ac:dyDescent="0.3">
      <c r="R4793" t="s">
        <v>4873</v>
      </c>
    </row>
    <row r="4794" spans="18:18" x14ac:dyDescent="0.3">
      <c r="R4794" t="s">
        <v>3239</v>
      </c>
    </row>
    <row r="4795" spans="18:18" x14ac:dyDescent="0.3">
      <c r="R4795" t="s">
        <v>5139</v>
      </c>
    </row>
    <row r="4796" spans="18:18" x14ac:dyDescent="0.3">
      <c r="R4796" t="s">
        <v>4874</v>
      </c>
    </row>
    <row r="4797" spans="18:18" x14ac:dyDescent="0.3">
      <c r="R4797" t="s">
        <v>730</v>
      </c>
    </row>
    <row r="4798" spans="18:18" x14ac:dyDescent="0.3">
      <c r="R4798" t="s">
        <v>3794</v>
      </c>
    </row>
    <row r="4799" spans="18:18" x14ac:dyDescent="0.3">
      <c r="R4799" t="s">
        <v>1504</v>
      </c>
    </row>
    <row r="4800" spans="18:18" x14ac:dyDescent="0.3">
      <c r="R4800" t="s">
        <v>4192</v>
      </c>
    </row>
    <row r="4801" spans="18:18" x14ac:dyDescent="0.3">
      <c r="R4801" t="s">
        <v>5131</v>
      </c>
    </row>
    <row r="4802" spans="18:18" x14ac:dyDescent="0.3">
      <c r="R4802" t="s">
        <v>1498</v>
      </c>
    </row>
    <row r="4803" spans="18:18" x14ac:dyDescent="0.3">
      <c r="R4803" t="s">
        <v>960</v>
      </c>
    </row>
    <row r="4804" spans="18:18" x14ac:dyDescent="0.3">
      <c r="R4804" t="s">
        <v>4875</v>
      </c>
    </row>
    <row r="4805" spans="18:18" x14ac:dyDescent="0.3">
      <c r="R4805" t="s">
        <v>2987</v>
      </c>
    </row>
    <row r="4806" spans="18:18" x14ac:dyDescent="0.3">
      <c r="R4806" t="s">
        <v>1672</v>
      </c>
    </row>
    <row r="4807" spans="18:18" x14ac:dyDescent="0.3">
      <c r="R4807" t="s">
        <v>3795</v>
      </c>
    </row>
    <row r="4808" spans="18:18" x14ac:dyDescent="0.3">
      <c r="R4808" t="s">
        <v>4456</v>
      </c>
    </row>
    <row r="4809" spans="18:18" x14ac:dyDescent="0.3">
      <c r="R4809" t="s">
        <v>961</v>
      </c>
    </row>
    <row r="4810" spans="18:18" x14ac:dyDescent="0.3">
      <c r="R4810" t="s">
        <v>4876</v>
      </c>
    </row>
    <row r="4811" spans="18:18" x14ac:dyDescent="0.3">
      <c r="R4811" t="s">
        <v>4457</v>
      </c>
    </row>
    <row r="4812" spans="18:18" x14ac:dyDescent="0.3">
      <c r="R4812" t="s">
        <v>731</v>
      </c>
    </row>
    <row r="4813" spans="18:18" x14ac:dyDescent="0.3">
      <c r="R4813" t="s">
        <v>5369</v>
      </c>
    </row>
    <row r="4814" spans="18:18" x14ac:dyDescent="0.3">
      <c r="R4814" t="s">
        <v>1145</v>
      </c>
    </row>
    <row r="4815" spans="18:18" x14ac:dyDescent="0.3">
      <c r="R4815" t="s">
        <v>3796</v>
      </c>
    </row>
    <row r="4816" spans="18:18" x14ac:dyDescent="0.3">
      <c r="R4816" t="s">
        <v>962</v>
      </c>
    </row>
    <row r="4817" spans="18:18" x14ac:dyDescent="0.3">
      <c r="R4817" t="s">
        <v>1783</v>
      </c>
    </row>
    <row r="4818" spans="18:18" x14ac:dyDescent="0.3">
      <c r="R4818" t="s">
        <v>732</v>
      </c>
    </row>
    <row r="4819" spans="18:18" x14ac:dyDescent="0.3">
      <c r="R4819" t="s">
        <v>249</v>
      </c>
    </row>
    <row r="4820" spans="18:18" x14ac:dyDescent="0.3">
      <c r="R4820" t="s">
        <v>5370</v>
      </c>
    </row>
    <row r="4821" spans="18:18" x14ac:dyDescent="0.3">
      <c r="R4821" t="s">
        <v>4877</v>
      </c>
    </row>
    <row r="4822" spans="18:18" x14ac:dyDescent="0.3">
      <c r="R4822" t="s">
        <v>1505</v>
      </c>
    </row>
    <row r="4823" spans="18:18" x14ac:dyDescent="0.3">
      <c r="R4823" t="s">
        <v>4193</v>
      </c>
    </row>
    <row r="4824" spans="18:18" x14ac:dyDescent="0.3">
      <c r="R4824" t="s">
        <v>3797</v>
      </c>
    </row>
    <row r="4825" spans="18:18" x14ac:dyDescent="0.3">
      <c r="R4825" t="s">
        <v>4878</v>
      </c>
    </row>
    <row r="4826" spans="18:18" x14ac:dyDescent="0.3">
      <c r="R4826" t="s">
        <v>4458</v>
      </c>
    </row>
    <row r="4827" spans="18:18" x14ac:dyDescent="0.3">
      <c r="R4827" t="s">
        <v>4458</v>
      </c>
    </row>
    <row r="4828" spans="18:18" x14ac:dyDescent="0.3">
      <c r="R4828" t="s">
        <v>4879</v>
      </c>
    </row>
    <row r="4829" spans="18:18" x14ac:dyDescent="0.3">
      <c r="R4829" t="s">
        <v>3157</v>
      </c>
    </row>
    <row r="4830" spans="18:18" x14ac:dyDescent="0.3">
      <c r="R4830" t="s">
        <v>733</v>
      </c>
    </row>
    <row r="4831" spans="18:18" x14ac:dyDescent="0.3">
      <c r="R4831" t="s">
        <v>4194</v>
      </c>
    </row>
    <row r="4832" spans="18:18" x14ac:dyDescent="0.3">
      <c r="R4832" t="s">
        <v>1298</v>
      </c>
    </row>
    <row r="4833" spans="18:18" x14ac:dyDescent="0.3">
      <c r="R4833" t="s">
        <v>3798</v>
      </c>
    </row>
    <row r="4834" spans="18:18" x14ac:dyDescent="0.3">
      <c r="R4834" t="s">
        <v>963</v>
      </c>
    </row>
    <row r="4835" spans="18:18" x14ac:dyDescent="0.3">
      <c r="R4835" t="s">
        <v>4459</v>
      </c>
    </row>
    <row r="4836" spans="18:18" x14ac:dyDescent="0.3">
      <c r="R4836" t="s">
        <v>2205</v>
      </c>
    </row>
    <row r="4837" spans="18:18" x14ac:dyDescent="0.3">
      <c r="R4837" t="s">
        <v>4880</v>
      </c>
    </row>
    <row r="4838" spans="18:18" x14ac:dyDescent="0.3">
      <c r="R4838" t="s">
        <v>1506</v>
      </c>
    </row>
    <row r="4839" spans="18:18" x14ac:dyDescent="0.3">
      <c r="R4839" t="s">
        <v>1854</v>
      </c>
    </row>
    <row r="4840" spans="18:18" x14ac:dyDescent="0.3">
      <c r="R4840" t="s">
        <v>2988</v>
      </c>
    </row>
    <row r="4841" spans="18:18" x14ac:dyDescent="0.3">
      <c r="R4841" t="s">
        <v>5371</v>
      </c>
    </row>
    <row r="4842" spans="18:18" x14ac:dyDescent="0.3">
      <c r="R4842" t="s">
        <v>964</v>
      </c>
    </row>
    <row r="4843" spans="18:18" x14ac:dyDescent="0.3">
      <c r="R4843" t="s">
        <v>1299</v>
      </c>
    </row>
    <row r="4844" spans="18:18" x14ac:dyDescent="0.3">
      <c r="R4844" t="s">
        <v>376</v>
      </c>
    </row>
    <row r="4845" spans="18:18" x14ac:dyDescent="0.3">
      <c r="R4845" t="s">
        <v>122</v>
      </c>
    </row>
    <row r="4846" spans="18:18" x14ac:dyDescent="0.3">
      <c r="R4846" t="s">
        <v>4195</v>
      </c>
    </row>
    <row r="4847" spans="18:18" x14ac:dyDescent="0.3">
      <c r="R4847" t="s">
        <v>4460</v>
      </c>
    </row>
    <row r="4848" spans="18:18" x14ac:dyDescent="0.3">
      <c r="R4848" t="s">
        <v>5372</v>
      </c>
    </row>
    <row r="4849" spans="18:18" x14ac:dyDescent="0.3">
      <c r="R4849" t="s">
        <v>965</v>
      </c>
    </row>
    <row r="4850" spans="18:18" x14ac:dyDescent="0.3">
      <c r="R4850" t="s">
        <v>531</v>
      </c>
    </row>
    <row r="4851" spans="18:18" x14ac:dyDescent="0.3">
      <c r="R4851" t="s">
        <v>1784</v>
      </c>
    </row>
    <row r="4852" spans="18:18" x14ac:dyDescent="0.3">
      <c r="R4852" t="s">
        <v>1785</v>
      </c>
    </row>
    <row r="4853" spans="18:18" x14ac:dyDescent="0.3">
      <c r="R4853" t="s">
        <v>4881</v>
      </c>
    </row>
    <row r="4854" spans="18:18" x14ac:dyDescent="0.3">
      <c r="R4854" t="s">
        <v>5373</v>
      </c>
    </row>
    <row r="4855" spans="18:18" x14ac:dyDescent="0.3">
      <c r="R4855" t="s">
        <v>3799</v>
      </c>
    </row>
    <row r="4856" spans="18:18" x14ac:dyDescent="0.3">
      <c r="R4856" t="s">
        <v>4882</v>
      </c>
    </row>
    <row r="4857" spans="18:18" x14ac:dyDescent="0.3">
      <c r="R4857" t="s">
        <v>226</v>
      </c>
    </row>
    <row r="4858" spans="18:18" x14ac:dyDescent="0.3">
      <c r="R4858" t="s">
        <v>1300</v>
      </c>
    </row>
    <row r="4859" spans="18:18" x14ac:dyDescent="0.3">
      <c r="R4859" t="s">
        <v>1301</v>
      </c>
    </row>
    <row r="4860" spans="18:18" x14ac:dyDescent="0.3">
      <c r="R4860" t="s">
        <v>1301</v>
      </c>
    </row>
    <row r="4861" spans="18:18" x14ac:dyDescent="0.3">
      <c r="R4861" t="s">
        <v>734</v>
      </c>
    </row>
    <row r="4862" spans="18:18" x14ac:dyDescent="0.3">
      <c r="R4862" t="s">
        <v>3240</v>
      </c>
    </row>
    <row r="4863" spans="18:18" x14ac:dyDescent="0.3">
      <c r="R4863" t="s">
        <v>5140</v>
      </c>
    </row>
    <row r="4864" spans="18:18" x14ac:dyDescent="0.3">
      <c r="R4864" t="s">
        <v>4883</v>
      </c>
    </row>
    <row r="4865" spans="18:18" x14ac:dyDescent="0.3">
      <c r="R4865" t="s">
        <v>2989</v>
      </c>
    </row>
    <row r="4866" spans="18:18" x14ac:dyDescent="0.3">
      <c r="R4866" t="s">
        <v>4884</v>
      </c>
    </row>
    <row r="4867" spans="18:18" x14ac:dyDescent="0.3">
      <c r="R4867" t="s">
        <v>4461</v>
      </c>
    </row>
    <row r="4868" spans="18:18" x14ac:dyDescent="0.3">
      <c r="R4868" t="s">
        <v>4885</v>
      </c>
    </row>
    <row r="4869" spans="18:18" x14ac:dyDescent="0.3">
      <c r="R4869" t="s">
        <v>4196</v>
      </c>
    </row>
    <row r="4870" spans="18:18" x14ac:dyDescent="0.3">
      <c r="R4870" t="s">
        <v>4197</v>
      </c>
    </row>
    <row r="4871" spans="18:18" x14ac:dyDescent="0.3">
      <c r="R4871" t="s">
        <v>4198</v>
      </c>
    </row>
    <row r="4872" spans="18:18" x14ac:dyDescent="0.3">
      <c r="R4872" t="s">
        <v>966</v>
      </c>
    </row>
    <row r="4873" spans="18:18" x14ac:dyDescent="0.3">
      <c r="R4873" t="s">
        <v>2991</v>
      </c>
    </row>
    <row r="4874" spans="18:18" x14ac:dyDescent="0.3">
      <c r="R4874" t="s">
        <v>4886</v>
      </c>
    </row>
    <row r="4875" spans="18:18" x14ac:dyDescent="0.3">
      <c r="R4875" t="s">
        <v>3800</v>
      </c>
    </row>
    <row r="4876" spans="18:18" x14ac:dyDescent="0.3">
      <c r="R4876" t="s">
        <v>735</v>
      </c>
    </row>
    <row r="4877" spans="18:18" x14ac:dyDescent="0.3">
      <c r="R4877" t="s">
        <v>2990</v>
      </c>
    </row>
    <row r="4878" spans="18:18" x14ac:dyDescent="0.3">
      <c r="R4878" t="s">
        <v>1302</v>
      </c>
    </row>
    <row r="4879" spans="18:18" x14ac:dyDescent="0.3">
      <c r="R4879" t="s">
        <v>736</v>
      </c>
    </row>
    <row r="4880" spans="18:18" x14ac:dyDescent="0.3">
      <c r="R4880" t="s">
        <v>737</v>
      </c>
    </row>
    <row r="4881" spans="18:18" x14ac:dyDescent="0.3">
      <c r="R4881" t="s">
        <v>967</v>
      </c>
    </row>
    <row r="4882" spans="18:18" x14ac:dyDescent="0.3">
      <c r="R4882" t="s">
        <v>738</v>
      </c>
    </row>
    <row r="4883" spans="18:18" x14ac:dyDescent="0.3">
      <c r="R4883" t="s">
        <v>2992</v>
      </c>
    </row>
    <row r="4884" spans="18:18" x14ac:dyDescent="0.3">
      <c r="R4884" t="s">
        <v>3801</v>
      </c>
    </row>
    <row r="4885" spans="18:18" x14ac:dyDescent="0.3">
      <c r="R4885" t="s">
        <v>2993</v>
      </c>
    </row>
    <row r="4886" spans="18:18" x14ac:dyDescent="0.3">
      <c r="R4886" t="s">
        <v>3158</v>
      </c>
    </row>
    <row r="4887" spans="18:18" x14ac:dyDescent="0.3">
      <c r="R4887" t="s">
        <v>532</v>
      </c>
    </row>
    <row r="4888" spans="18:18" x14ac:dyDescent="0.3">
      <c r="R4888" t="s">
        <v>1786</v>
      </c>
    </row>
    <row r="4889" spans="18:18" x14ac:dyDescent="0.3">
      <c r="R4889" t="s">
        <v>1786</v>
      </c>
    </row>
    <row r="4890" spans="18:18" x14ac:dyDescent="0.3">
      <c r="R4890" t="s">
        <v>4199</v>
      </c>
    </row>
    <row r="4891" spans="18:18" x14ac:dyDescent="0.3">
      <c r="R4891" t="s">
        <v>2994</v>
      </c>
    </row>
    <row r="4892" spans="18:18" x14ac:dyDescent="0.3">
      <c r="R4892" t="s">
        <v>377</v>
      </c>
    </row>
    <row r="4893" spans="18:18" x14ac:dyDescent="0.3">
      <c r="R4893" t="s">
        <v>3802</v>
      </c>
    </row>
    <row r="4894" spans="18:18" x14ac:dyDescent="0.3">
      <c r="R4894" t="s">
        <v>2995</v>
      </c>
    </row>
    <row r="4895" spans="18:18" x14ac:dyDescent="0.3">
      <c r="R4895" t="s">
        <v>1507</v>
      </c>
    </row>
    <row r="4896" spans="18:18" x14ac:dyDescent="0.3">
      <c r="R4896" t="s">
        <v>3241</v>
      </c>
    </row>
    <row r="4897" spans="18:18" x14ac:dyDescent="0.3">
      <c r="R4897" t="s">
        <v>2996</v>
      </c>
    </row>
    <row r="4898" spans="18:18" x14ac:dyDescent="0.3">
      <c r="R4898" t="s">
        <v>4887</v>
      </c>
    </row>
    <row r="4899" spans="18:18" x14ac:dyDescent="0.3">
      <c r="R4899" t="s">
        <v>2997</v>
      </c>
    </row>
    <row r="4900" spans="18:18" x14ac:dyDescent="0.3">
      <c r="R4900" t="s">
        <v>2998</v>
      </c>
    </row>
    <row r="4901" spans="18:18" x14ac:dyDescent="0.3">
      <c r="R4901" t="s">
        <v>2999</v>
      </c>
    </row>
    <row r="4902" spans="18:18" x14ac:dyDescent="0.3">
      <c r="R4902" t="s">
        <v>2206</v>
      </c>
    </row>
    <row r="4903" spans="18:18" x14ac:dyDescent="0.3">
      <c r="R4903" t="s">
        <v>3000</v>
      </c>
    </row>
    <row r="4904" spans="18:18" x14ac:dyDescent="0.3">
      <c r="R4904" t="s">
        <v>3001</v>
      </c>
    </row>
    <row r="4905" spans="18:18" x14ac:dyDescent="0.3">
      <c r="R4905" t="s">
        <v>533</v>
      </c>
    </row>
    <row r="4906" spans="18:18" x14ac:dyDescent="0.3">
      <c r="R4906" t="s">
        <v>227</v>
      </c>
    </row>
    <row r="4907" spans="18:18" x14ac:dyDescent="0.3">
      <c r="R4907" t="s">
        <v>1508</v>
      </c>
    </row>
    <row r="4908" spans="18:18" x14ac:dyDescent="0.3">
      <c r="R4908" t="s">
        <v>4888</v>
      </c>
    </row>
    <row r="4909" spans="18:18" x14ac:dyDescent="0.3">
      <c r="R4909" t="s">
        <v>3803</v>
      </c>
    </row>
    <row r="4910" spans="18:18" x14ac:dyDescent="0.3">
      <c r="R4910" t="s">
        <v>3803</v>
      </c>
    </row>
    <row r="4911" spans="18:18" x14ac:dyDescent="0.3">
      <c r="R4911" t="s">
        <v>3004</v>
      </c>
    </row>
    <row r="4912" spans="18:18" x14ac:dyDescent="0.3">
      <c r="R4912" t="s">
        <v>3002</v>
      </c>
    </row>
    <row r="4913" spans="18:18" x14ac:dyDescent="0.3">
      <c r="R4913" t="s">
        <v>3003</v>
      </c>
    </row>
    <row r="4914" spans="18:18" x14ac:dyDescent="0.3">
      <c r="R4914" t="s">
        <v>1303</v>
      </c>
    </row>
    <row r="4915" spans="18:18" x14ac:dyDescent="0.3">
      <c r="R4915" t="s">
        <v>1303</v>
      </c>
    </row>
    <row r="4916" spans="18:18" x14ac:dyDescent="0.3">
      <c r="R4916" t="s">
        <v>4889</v>
      </c>
    </row>
    <row r="4917" spans="18:18" x14ac:dyDescent="0.3">
      <c r="R4917" t="s">
        <v>4890</v>
      </c>
    </row>
    <row r="4918" spans="18:18" x14ac:dyDescent="0.3">
      <c r="R4918" t="s">
        <v>534</v>
      </c>
    </row>
    <row r="4919" spans="18:18" x14ac:dyDescent="0.3">
      <c r="R4919" t="s">
        <v>4891</v>
      </c>
    </row>
    <row r="4920" spans="18:18" x14ac:dyDescent="0.3">
      <c r="R4920" t="s">
        <v>4892</v>
      </c>
    </row>
    <row r="4921" spans="18:18" x14ac:dyDescent="0.3">
      <c r="R4921" t="s">
        <v>1304</v>
      </c>
    </row>
    <row r="4922" spans="18:18" x14ac:dyDescent="0.3">
      <c r="R4922" t="s">
        <v>1304</v>
      </c>
    </row>
    <row r="4923" spans="18:18" x14ac:dyDescent="0.3">
      <c r="R4923" t="s">
        <v>3005</v>
      </c>
    </row>
    <row r="4924" spans="18:18" x14ac:dyDescent="0.3">
      <c r="R4924" t="s">
        <v>1510</v>
      </c>
    </row>
    <row r="4925" spans="18:18" x14ac:dyDescent="0.3">
      <c r="R4925" t="s">
        <v>4893</v>
      </c>
    </row>
    <row r="4926" spans="18:18" x14ac:dyDescent="0.3">
      <c r="R4926" t="s">
        <v>739</v>
      </c>
    </row>
    <row r="4927" spans="18:18" x14ac:dyDescent="0.3">
      <c r="R4927" t="s">
        <v>739</v>
      </c>
    </row>
    <row r="4928" spans="18:18" x14ac:dyDescent="0.3">
      <c r="R4928" t="s">
        <v>1509</v>
      </c>
    </row>
    <row r="4929" spans="18:18" x14ac:dyDescent="0.3">
      <c r="R4929" t="s">
        <v>2207</v>
      </c>
    </row>
    <row r="4930" spans="18:18" x14ac:dyDescent="0.3">
      <c r="R4930" t="s">
        <v>5150</v>
      </c>
    </row>
    <row r="4931" spans="18:18" x14ac:dyDescent="0.3">
      <c r="R4931" t="s">
        <v>4894</v>
      </c>
    </row>
    <row r="4932" spans="18:18" x14ac:dyDescent="0.3">
      <c r="R4932" t="s">
        <v>4200</v>
      </c>
    </row>
    <row r="4933" spans="18:18" x14ac:dyDescent="0.3">
      <c r="R4933" t="s">
        <v>378</v>
      </c>
    </row>
    <row r="4934" spans="18:18" x14ac:dyDescent="0.3">
      <c r="R4934" t="s">
        <v>378</v>
      </c>
    </row>
    <row r="4935" spans="18:18" x14ac:dyDescent="0.3">
      <c r="R4935" t="s">
        <v>4895</v>
      </c>
    </row>
    <row r="4936" spans="18:18" x14ac:dyDescent="0.3">
      <c r="R4936" t="s">
        <v>3006</v>
      </c>
    </row>
    <row r="4937" spans="18:18" x14ac:dyDescent="0.3">
      <c r="R4937" t="s">
        <v>3242</v>
      </c>
    </row>
    <row r="4938" spans="18:18" x14ac:dyDescent="0.3">
      <c r="R4938" t="s">
        <v>4201</v>
      </c>
    </row>
    <row r="4939" spans="18:18" x14ac:dyDescent="0.3">
      <c r="R4939" t="s">
        <v>4201</v>
      </c>
    </row>
    <row r="4940" spans="18:18" x14ac:dyDescent="0.3">
      <c r="R4940" t="s">
        <v>3804</v>
      </c>
    </row>
    <row r="4941" spans="18:18" x14ac:dyDescent="0.3">
      <c r="R4941" t="s">
        <v>3007</v>
      </c>
    </row>
    <row r="4942" spans="18:18" x14ac:dyDescent="0.3">
      <c r="R4942" t="s">
        <v>3805</v>
      </c>
    </row>
    <row r="4943" spans="18:18" x14ac:dyDescent="0.3">
      <c r="R4943" t="s">
        <v>3008</v>
      </c>
    </row>
    <row r="4944" spans="18:18" x14ac:dyDescent="0.3">
      <c r="R4944" t="s">
        <v>2208</v>
      </c>
    </row>
    <row r="4945" spans="18:18" x14ac:dyDescent="0.3">
      <c r="R4945" t="s">
        <v>1787</v>
      </c>
    </row>
    <row r="4946" spans="18:18" x14ac:dyDescent="0.3">
      <c r="R4946" t="s">
        <v>740</v>
      </c>
    </row>
    <row r="4947" spans="18:18" x14ac:dyDescent="0.3">
      <c r="R4947" t="s">
        <v>2209</v>
      </c>
    </row>
    <row r="4948" spans="18:18" x14ac:dyDescent="0.3">
      <c r="R4948" t="s">
        <v>4202</v>
      </c>
    </row>
    <row r="4949" spans="18:18" x14ac:dyDescent="0.3">
      <c r="R4949" t="s">
        <v>4462</v>
      </c>
    </row>
    <row r="4950" spans="18:18" x14ac:dyDescent="0.3">
      <c r="R4950" t="s">
        <v>2210</v>
      </c>
    </row>
    <row r="4951" spans="18:18" x14ac:dyDescent="0.3">
      <c r="R4951" t="s">
        <v>4463</v>
      </c>
    </row>
    <row r="4952" spans="18:18" x14ac:dyDescent="0.3">
      <c r="R4952" t="s">
        <v>2211</v>
      </c>
    </row>
    <row r="4953" spans="18:18" x14ac:dyDescent="0.3">
      <c r="R4953" t="s">
        <v>4464</v>
      </c>
    </row>
    <row r="4954" spans="18:18" x14ac:dyDescent="0.3">
      <c r="R4954" t="s">
        <v>3806</v>
      </c>
    </row>
    <row r="4955" spans="18:18" x14ac:dyDescent="0.3">
      <c r="R4955" t="s">
        <v>968</v>
      </c>
    </row>
    <row r="4956" spans="18:18" x14ac:dyDescent="0.3">
      <c r="R4956" t="s">
        <v>2212</v>
      </c>
    </row>
    <row r="4957" spans="18:18" x14ac:dyDescent="0.3">
      <c r="R4957" t="s">
        <v>969</v>
      </c>
    </row>
    <row r="4958" spans="18:18" x14ac:dyDescent="0.3">
      <c r="R4958" t="s">
        <v>4896</v>
      </c>
    </row>
    <row r="4959" spans="18:18" x14ac:dyDescent="0.3">
      <c r="R4959" t="s">
        <v>4897</v>
      </c>
    </row>
    <row r="4960" spans="18:18" x14ac:dyDescent="0.3">
      <c r="R4960" t="s">
        <v>4898</v>
      </c>
    </row>
    <row r="4961" spans="18:18" x14ac:dyDescent="0.3">
      <c r="R4961" t="s">
        <v>4899</v>
      </c>
    </row>
    <row r="4962" spans="18:18" x14ac:dyDescent="0.3">
      <c r="R4962" t="s">
        <v>5028</v>
      </c>
    </row>
    <row r="4963" spans="18:18" x14ac:dyDescent="0.3">
      <c r="R4963" t="s">
        <v>3010</v>
      </c>
    </row>
    <row r="4964" spans="18:18" x14ac:dyDescent="0.3">
      <c r="R4964" t="s">
        <v>170</v>
      </c>
    </row>
    <row r="4965" spans="18:18" x14ac:dyDescent="0.3">
      <c r="R4965" t="s">
        <v>741</v>
      </c>
    </row>
    <row r="4966" spans="18:18" x14ac:dyDescent="0.3">
      <c r="R4966" t="s">
        <v>3011</v>
      </c>
    </row>
    <row r="4967" spans="18:18" x14ac:dyDescent="0.3">
      <c r="R4967" t="s">
        <v>5374</v>
      </c>
    </row>
    <row r="4968" spans="18:18" x14ac:dyDescent="0.3">
      <c r="R4968" t="s">
        <v>3012</v>
      </c>
    </row>
    <row r="4969" spans="18:18" x14ac:dyDescent="0.3">
      <c r="R4969" t="s">
        <v>1305</v>
      </c>
    </row>
    <row r="4970" spans="18:18" x14ac:dyDescent="0.3">
      <c r="R4970" t="s">
        <v>3013</v>
      </c>
    </row>
    <row r="4971" spans="18:18" x14ac:dyDescent="0.3">
      <c r="R4971" t="s">
        <v>1306</v>
      </c>
    </row>
    <row r="4972" spans="18:18" x14ac:dyDescent="0.3">
      <c r="R4972" t="s">
        <v>169</v>
      </c>
    </row>
    <row r="4973" spans="18:18" x14ac:dyDescent="0.3">
      <c r="R4973" t="s">
        <v>3014</v>
      </c>
    </row>
    <row r="4974" spans="18:18" x14ac:dyDescent="0.3">
      <c r="R4974" t="s">
        <v>379</v>
      </c>
    </row>
    <row r="4975" spans="18:18" x14ac:dyDescent="0.3">
      <c r="R4975" t="s">
        <v>742</v>
      </c>
    </row>
    <row r="4976" spans="18:18" x14ac:dyDescent="0.3">
      <c r="R4976" t="s">
        <v>3015</v>
      </c>
    </row>
    <row r="4977" spans="18:18" x14ac:dyDescent="0.3">
      <c r="R4977" t="s">
        <v>1146</v>
      </c>
    </row>
    <row r="4978" spans="18:18" x14ac:dyDescent="0.3">
      <c r="R4978" t="s">
        <v>1788</v>
      </c>
    </row>
    <row r="4979" spans="18:18" x14ac:dyDescent="0.3">
      <c r="R4979" t="s">
        <v>1147</v>
      </c>
    </row>
    <row r="4980" spans="18:18" x14ac:dyDescent="0.3">
      <c r="R4980" t="s">
        <v>4900</v>
      </c>
    </row>
    <row r="4981" spans="18:18" x14ac:dyDescent="0.3">
      <c r="R4981" t="s">
        <v>4203</v>
      </c>
    </row>
    <row r="4982" spans="18:18" x14ac:dyDescent="0.3">
      <c r="R4982" t="s">
        <v>2213</v>
      </c>
    </row>
    <row r="4983" spans="18:18" x14ac:dyDescent="0.3">
      <c r="R4983" t="s">
        <v>3016</v>
      </c>
    </row>
    <row r="4984" spans="18:18" x14ac:dyDescent="0.3">
      <c r="R4984" t="s">
        <v>3017</v>
      </c>
    </row>
    <row r="4985" spans="18:18" x14ac:dyDescent="0.3">
      <c r="R4985" t="s">
        <v>3018</v>
      </c>
    </row>
    <row r="4986" spans="18:18" x14ac:dyDescent="0.3">
      <c r="R4986" t="s">
        <v>4901</v>
      </c>
    </row>
    <row r="4987" spans="18:18" x14ac:dyDescent="0.3">
      <c r="R4987" t="s">
        <v>2215</v>
      </c>
    </row>
    <row r="4988" spans="18:18" x14ac:dyDescent="0.3">
      <c r="R4988" t="s">
        <v>4902</v>
      </c>
    </row>
    <row r="4989" spans="18:18" x14ac:dyDescent="0.3">
      <c r="R4989" t="s">
        <v>3019</v>
      </c>
    </row>
    <row r="4990" spans="18:18" x14ac:dyDescent="0.3">
      <c r="R4990" t="s">
        <v>146</v>
      </c>
    </row>
    <row r="4991" spans="18:18" x14ac:dyDescent="0.3">
      <c r="R4991" t="s">
        <v>4903</v>
      </c>
    </row>
    <row r="4992" spans="18:18" x14ac:dyDescent="0.3">
      <c r="R4992" t="s">
        <v>3020</v>
      </c>
    </row>
    <row r="4993" spans="18:18" x14ac:dyDescent="0.3">
      <c r="R4993" t="s">
        <v>3243</v>
      </c>
    </row>
    <row r="4994" spans="18:18" x14ac:dyDescent="0.3">
      <c r="R4994" t="s">
        <v>3159</v>
      </c>
    </row>
    <row r="4995" spans="18:18" x14ac:dyDescent="0.3">
      <c r="R4995" t="s">
        <v>4465</v>
      </c>
    </row>
    <row r="4996" spans="18:18" x14ac:dyDescent="0.3">
      <c r="R4996" t="s">
        <v>3807</v>
      </c>
    </row>
    <row r="4997" spans="18:18" x14ac:dyDescent="0.3">
      <c r="R4997" t="s">
        <v>3021</v>
      </c>
    </row>
    <row r="4998" spans="18:18" x14ac:dyDescent="0.3">
      <c r="R4998" t="s">
        <v>1511</v>
      </c>
    </row>
    <row r="4999" spans="18:18" x14ac:dyDescent="0.3">
      <c r="R4999" t="s">
        <v>1276</v>
      </c>
    </row>
    <row r="5000" spans="18:18" x14ac:dyDescent="0.3">
      <c r="R5000" t="s">
        <v>1512</v>
      </c>
    </row>
    <row r="5001" spans="18:18" x14ac:dyDescent="0.3">
      <c r="R5001" t="s">
        <v>3022</v>
      </c>
    </row>
    <row r="5002" spans="18:18" x14ac:dyDescent="0.3">
      <c r="R5002" t="s">
        <v>1307</v>
      </c>
    </row>
    <row r="5003" spans="18:18" x14ac:dyDescent="0.3">
      <c r="R5003" t="s">
        <v>1308</v>
      </c>
    </row>
    <row r="5004" spans="18:18" x14ac:dyDescent="0.3">
      <c r="R5004" t="s">
        <v>395</v>
      </c>
    </row>
    <row r="5005" spans="18:18" x14ac:dyDescent="0.3">
      <c r="R5005" t="s">
        <v>2214</v>
      </c>
    </row>
    <row r="5006" spans="18:18" x14ac:dyDescent="0.3">
      <c r="R5006" t="s">
        <v>3024</v>
      </c>
    </row>
    <row r="5007" spans="18:18" x14ac:dyDescent="0.3">
      <c r="R5007" t="s">
        <v>3023</v>
      </c>
    </row>
    <row r="5008" spans="18:18" x14ac:dyDescent="0.3">
      <c r="R5008" t="s">
        <v>2216</v>
      </c>
    </row>
    <row r="5009" spans="18:18" x14ac:dyDescent="0.3">
      <c r="R5009" t="s">
        <v>1513</v>
      </c>
    </row>
    <row r="5010" spans="18:18" x14ac:dyDescent="0.3">
      <c r="R5010" t="s">
        <v>3809</v>
      </c>
    </row>
    <row r="5011" spans="18:18" x14ac:dyDescent="0.3">
      <c r="R5011" t="s">
        <v>1309</v>
      </c>
    </row>
    <row r="5012" spans="18:18" x14ac:dyDescent="0.3">
      <c r="R5012" t="s">
        <v>5151</v>
      </c>
    </row>
    <row r="5013" spans="18:18" x14ac:dyDescent="0.3">
      <c r="R5013" t="s">
        <v>2217</v>
      </c>
    </row>
    <row r="5014" spans="18:18" x14ac:dyDescent="0.3">
      <c r="R5014" t="s">
        <v>1514</v>
      </c>
    </row>
    <row r="5015" spans="18:18" x14ac:dyDescent="0.3">
      <c r="R5015" t="s">
        <v>1673</v>
      </c>
    </row>
    <row r="5016" spans="18:18" x14ac:dyDescent="0.3">
      <c r="R5016" t="s">
        <v>3808</v>
      </c>
    </row>
    <row r="5017" spans="18:18" x14ac:dyDescent="0.3">
      <c r="R5017" t="s">
        <v>3025</v>
      </c>
    </row>
    <row r="5018" spans="18:18" x14ac:dyDescent="0.3">
      <c r="R5018" t="s">
        <v>743</v>
      </c>
    </row>
    <row r="5019" spans="18:18" x14ac:dyDescent="0.3">
      <c r="R5019" t="s">
        <v>5375</v>
      </c>
    </row>
    <row r="5020" spans="18:18" x14ac:dyDescent="0.3">
      <c r="R5020" t="s">
        <v>3026</v>
      </c>
    </row>
    <row r="5021" spans="18:18" x14ac:dyDescent="0.3">
      <c r="R5021" t="s">
        <v>4204</v>
      </c>
    </row>
    <row r="5022" spans="18:18" x14ac:dyDescent="0.3">
      <c r="R5022" t="s">
        <v>3027</v>
      </c>
    </row>
    <row r="5023" spans="18:18" x14ac:dyDescent="0.3">
      <c r="R5023" t="s">
        <v>1515</v>
      </c>
    </row>
    <row r="5024" spans="18:18" x14ac:dyDescent="0.3">
      <c r="R5024" t="s">
        <v>1310</v>
      </c>
    </row>
    <row r="5025" spans="18:18" x14ac:dyDescent="0.3">
      <c r="R5025" t="s">
        <v>1310</v>
      </c>
    </row>
    <row r="5026" spans="18:18" x14ac:dyDescent="0.3">
      <c r="R5026" t="s">
        <v>1311</v>
      </c>
    </row>
    <row r="5027" spans="18:18" x14ac:dyDescent="0.3">
      <c r="R5027" t="s">
        <v>1674</v>
      </c>
    </row>
    <row r="5028" spans="18:18" x14ac:dyDescent="0.3">
      <c r="R5028" t="s">
        <v>3028</v>
      </c>
    </row>
    <row r="5029" spans="18:18" x14ac:dyDescent="0.3">
      <c r="R5029" t="s">
        <v>2218</v>
      </c>
    </row>
    <row r="5030" spans="18:18" x14ac:dyDescent="0.3">
      <c r="R5030" t="s">
        <v>4205</v>
      </c>
    </row>
    <row r="5031" spans="18:18" x14ac:dyDescent="0.3">
      <c r="R5031" t="s">
        <v>1675</v>
      </c>
    </row>
    <row r="5032" spans="18:18" x14ac:dyDescent="0.3">
      <c r="R5032" t="s">
        <v>4206</v>
      </c>
    </row>
    <row r="5033" spans="18:18" x14ac:dyDescent="0.3">
      <c r="R5033" t="s">
        <v>4904</v>
      </c>
    </row>
    <row r="5034" spans="18:18" x14ac:dyDescent="0.3">
      <c r="R5034" t="s">
        <v>4905</v>
      </c>
    </row>
    <row r="5035" spans="18:18" x14ac:dyDescent="0.3">
      <c r="R5035" t="s">
        <v>1516</v>
      </c>
    </row>
    <row r="5036" spans="18:18" x14ac:dyDescent="0.3">
      <c r="R5036" t="s">
        <v>1516</v>
      </c>
    </row>
    <row r="5037" spans="18:18" x14ac:dyDescent="0.3">
      <c r="R5037" t="s">
        <v>3810</v>
      </c>
    </row>
    <row r="5038" spans="18:18" x14ac:dyDescent="0.3">
      <c r="R5038" t="s">
        <v>4906</v>
      </c>
    </row>
    <row r="5039" spans="18:18" x14ac:dyDescent="0.3">
      <c r="R5039" t="s">
        <v>3029</v>
      </c>
    </row>
    <row r="5040" spans="18:18" x14ac:dyDescent="0.3">
      <c r="R5040" t="s">
        <v>5027</v>
      </c>
    </row>
    <row r="5041" spans="18:18" x14ac:dyDescent="0.3">
      <c r="R5041" t="s">
        <v>3009</v>
      </c>
    </row>
    <row r="5042" spans="18:18" x14ac:dyDescent="0.3">
      <c r="R5042" t="s">
        <v>4907</v>
      </c>
    </row>
    <row r="5043" spans="18:18" x14ac:dyDescent="0.3">
      <c r="R5043" t="s">
        <v>1312</v>
      </c>
    </row>
    <row r="5044" spans="18:18" x14ac:dyDescent="0.3">
      <c r="R5044" t="s">
        <v>3811</v>
      </c>
    </row>
    <row r="5045" spans="18:18" x14ac:dyDescent="0.3">
      <c r="R5045" t="s">
        <v>4466</v>
      </c>
    </row>
    <row r="5046" spans="18:18" x14ac:dyDescent="0.3">
      <c r="R5046" t="s">
        <v>5029</v>
      </c>
    </row>
    <row r="5047" spans="18:18" x14ac:dyDescent="0.3">
      <c r="R5047" t="s">
        <v>970</v>
      </c>
    </row>
    <row r="5048" spans="18:18" x14ac:dyDescent="0.3">
      <c r="R5048" t="s">
        <v>3244</v>
      </c>
    </row>
    <row r="5049" spans="18:18" x14ac:dyDescent="0.3">
      <c r="R5049" t="s">
        <v>5376</v>
      </c>
    </row>
    <row r="5050" spans="18:18" x14ac:dyDescent="0.3">
      <c r="R5050" t="s">
        <v>535</v>
      </c>
    </row>
    <row r="5051" spans="18:18" x14ac:dyDescent="0.3">
      <c r="R5051" t="s">
        <v>4908</v>
      </c>
    </row>
    <row r="5052" spans="18:18" x14ac:dyDescent="0.3">
      <c r="R5052" t="s">
        <v>3030</v>
      </c>
    </row>
    <row r="5053" spans="18:18" x14ac:dyDescent="0.3">
      <c r="R5053" t="s">
        <v>3812</v>
      </c>
    </row>
    <row r="5054" spans="18:18" x14ac:dyDescent="0.3">
      <c r="R5054" t="s">
        <v>228</v>
      </c>
    </row>
    <row r="5055" spans="18:18" x14ac:dyDescent="0.3">
      <c r="R5055" t="s">
        <v>3031</v>
      </c>
    </row>
    <row r="5056" spans="18:18" x14ac:dyDescent="0.3">
      <c r="R5056" t="s">
        <v>1855</v>
      </c>
    </row>
    <row r="5057" spans="18:18" x14ac:dyDescent="0.3">
      <c r="R5057" t="s">
        <v>3032</v>
      </c>
    </row>
    <row r="5058" spans="18:18" x14ac:dyDescent="0.3">
      <c r="R5058" t="s">
        <v>971</v>
      </c>
    </row>
    <row r="5059" spans="18:18" x14ac:dyDescent="0.3">
      <c r="R5059" t="s">
        <v>2219</v>
      </c>
    </row>
    <row r="5060" spans="18:18" x14ac:dyDescent="0.3">
      <c r="R5060" t="s">
        <v>5377</v>
      </c>
    </row>
    <row r="5061" spans="18:18" x14ac:dyDescent="0.3">
      <c r="R5061" t="s">
        <v>3033</v>
      </c>
    </row>
    <row r="5062" spans="18:18" x14ac:dyDescent="0.3">
      <c r="R5062" t="s">
        <v>972</v>
      </c>
    </row>
    <row r="5063" spans="18:18" x14ac:dyDescent="0.3">
      <c r="R5063" t="s">
        <v>4909</v>
      </c>
    </row>
    <row r="5064" spans="18:18" x14ac:dyDescent="0.3">
      <c r="R5064" t="s">
        <v>5152</v>
      </c>
    </row>
    <row r="5065" spans="18:18" x14ac:dyDescent="0.3">
      <c r="R5065" t="s">
        <v>4207</v>
      </c>
    </row>
    <row r="5066" spans="18:18" x14ac:dyDescent="0.3">
      <c r="R5066" t="s">
        <v>1676</v>
      </c>
    </row>
    <row r="5067" spans="18:18" x14ac:dyDescent="0.3">
      <c r="R5067" t="s">
        <v>1856</v>
      </c>
    </row>
    <row r="5068" spans="18:18" x14ac:dyDescent="0.3">
      <c r="R5068" t="s">
        <v>5378</v>
      </c>
    </row>
    <row r="5069" spans="18:18" x14ac:dyDescent="0.3">
      <c r="R5069" t="s">
        <v>2220</v>
      </c>
    </row>
    <row r="5070" spans="18:18" x14ac:dyDescent="0.3">
      <c r="R5070" t="s">
        <v>2221</v>
      </c>
    </row>
    <row r="5071" spans="18:18" x14ac:dyDescent="0.3">
      <c r="R5071" t="s">
        <v>744</v>
      </c>
    </row>
    <row r="5072" spans="18:18" x14ac:dyDescent="0.3">
      <c r="R5072" t="s">
        <v>744</v>
      </c>
    </row>
    <row r="5073" spans="18:18" x14ac:dyDescent="0.3">
      <c r="R5073" t="s">
        <v>536</v>
      </c>
    </row>
    <row r="5074" spans="18:18" x14ac:dyDescent="0.3">
      <c r="R5074" t="s">
        <v>2222</v>
      </c>
    </row>
    <row r="5075" spans="18:18" x14ac:dyDescent="0.3">
      <c r="R5075" t="s">
        <v>2222</v>
      </c>
    </row>
    <row r="5076" spans="18:18" x14ac:dyDescent="0.3">
      <c r="R5076" t="s">
        <v>1517</v>
      </c>
    </row>
    <row r="5077" spans="18:18" x14ac:dyDescent="0.3">
      <c r="R5077" t="s">
        <v>1148</v>
      </c>
    </row>
    <row r="5078" spans="18:18" x14ac:dyDescent="0.3">
      <c r="R5078" t="s">
        <v>3034</v>
      </c>
    </row>
    <row r="5079" spans="18:18" x14ac:dyDescent="0.3">
      <c r="R5079" t="s">
        <v>3813</v>
      </c>
    </row>
    <row r="5080" spans="18:18" x14ac:dyDescent="0.3">
      <c r="R5080" t="s">
        <v>973</v>
      </c>
    </row>
    <row r="5081" spans="18:18" x14ac:dyDescent="0.3">
      <c r="R5081" t="s">
        <v>1518</v>
      </c>
    </row>
    <row r="5082" spans="18:18" x14ac:dyDescent="0.3">
      <c r="R5082" t="s">
        <v>1519</v>
      </c>
    </row>
    <row r="5083" spans="18:18" x14ac:dyDescent="0.3">
      <c r="R5083" t="s">
        <v>1519</v>
      </c>
    </row>
    <row r="5084" spans="18:18" x14ac:dyDescent="0.3">
      <c r="R5084" t="s">
        <v>3035</v>
      </c>
    </row>
    <row r="5085" spans="18:18" x14ac:dyDescent="0.3">
      <c r="R5085" t="s">
        <v>1678</v>
      </c>
    </row>
    <row r="5086" spans="18:18" x14ac:dyDescent="0.3">
      <c r="R5086" t="s">
        <v>1149</v>
      </c>
    </row>
    <row r="5087" spans="18:18" x14ac:dyDescent="0.3">
      <c r="R5087" t="s">
        <v>4467</v>
      </c>
    </row>
    <row r="5088" spans="18:18" x14ac:dyDescent="0.3">
      <c r="R5088" t="s">
        <v>5030</v>
      </c>
    </row>
    <row r="5089" spans="18:18" x14ac:dyDescent="0.3">
      <c r="R5089" t="s">
        <v>3160</v>
      </c>
    </row>
    <row r="5090" spans="18:18" x14ac:dyDescent="0.3">
      <c r="R5090" t="s">
        <v>3814</v>
      </c>
    </row>
    <row r="5091" spans="18:18" x14ac:dyDescent="0.3">
      <c r="R5091" t="s">
        <v>5153</v>
      </c>
    </row>
    <row r="5092" spans="18:18" x14ac:dyDescent="0.3">
      <c r="R5092" t="s">
        <v>1520</v>
      </c>
    </row>
    <row r="5093" spans="18:18" x14ac:dyDescent="0.3">
      <c r="R5093" t="s">
        <v>380</v>
      </c>
    </row>
    <row r="5094" spans="18:18" x14ac:dyDescent="0.3">
      <c r="R5094" t="s">
        <v>1521</v>
      </c>
    </row>
    <row r="5095" spans="18:18" x14ac:dyDescent="0.3">
      <c r="R5095" t="s">
        <v>2223</v>
      </c>
    </row>
    <row r="5096" spans="18:18" x14ac:dyDescent="0.3">
      <c r="R5096" t="s">
        <v>537</v>
      </c>
    </row>
    <row r="5097" spans="18:18" x14ac:dyDescent="0.3">
      <c r="R5097" t="s">
        <v>745</v>
      </c>
    </row>
    <row r="5098" spans="18:18" x14ac:dyDescent="0.3">
      <c r="R5098" t="s">
        <v>746</v>
      </c>
    </row>
    <row r="5099" spans="18:18" x14ac:dyDescent="0.3">
      <c r="R5099" t="s">
        <v>3815</v>
      </c>
    </row>
    <row r="5100" spans="18:18" x14ac:dyDescent="0.3">
      <c r="R5100" t="s">
        <v>4468</v>
      </c>
    </row>
    <row r="5101" spans="18:18" x14ac:dyDescent="0.3">
      <c r="R5101" t="s">
        <v>4208</v>
      </c>
    </row>
    <row r="5102" spans="18:18" x14ac:dyDescent="0.3">
      <c r="R5102" t="s">
        <v>3816</v>
      </c>
    </row>
    <row r="5103" spans="18:18" x14ac:dyDescent="0.3">
      <c r="R5103" t="s">
        <v>1522</v>
      </c>
    </row>
    <row r="5104" spans="18:18" x14ac:dyDescent="0.3">
      <c r="R5104" t="s">
        <v>3245</v>
      </c>
    </row>
    <row r="5105" spans="18:18" x14ac:dyDescent="0.3">
      <c r="R5105" t="s">
        <v>1679</v>
      </c>
    </row>
    <row r="5106" spans="18:18" x14ac:dyDescent="0.3">
      <c r="R5106" t="s">
        <v>974</v>
      </c>
    </row>
    <row r="5107" spans="18:18" x14ac:dyDescent="0.3">
      <c r="R5107" t="s">
        <v>3818</v>
      </c>
    </row>
    <row r="5108" spans="18:18" x14ac:dyDescent="0.3">
      <c r="R5108" t="s">
        <v>3817</v>
      </c>
    </row>
    <row r="5109" spans="18:18" x14ac:dyDescent="0.3">
      <c r="R5109" t="s">
        <v>4910</v>
      </c>
    </row>
    <row r="5110" spans="18:18" x14ac:dyDescent="0.3">
      <c r="R5110" t="s">
        <v>5154</v>
      </c>
    </row>
    <row r="5111" spans="18:18" x14ac:dyDescent="0.3">
      <c r="R5111" t="s">
        <v>3819</v>
      </c>
    </row>
    <row r="5112" spans="18:18" x14ac:dyDescent="0.3">
      <c r="R5112" t="s">
        <v>229</v>
      </c>
    </row>
    <row r="5113" spans="18:18" x14ac:dyDescent="0.3">
      <c r="R5113" t="s">
        <v>229</v>
      </c>
    </row>
    <row r="5114" spans="18:18" x14ac:dyDescent="0.3">
      <c r="R5114" t="s">
        <v>1680</v>
      </c>
    </row>
    <row r="5115" spans="18:18" x14ac:dyDescent="0.3">
      <c r="R5115" t="s">
        <v>3820</v>
      </c>
    </row>
    <row r="5116" spans="18:18" x14ac:dyDescent="0.3">
      <c r="R5116" t="s">
        <v>2224</v>
      </c>
    </row>
    <row r="5117" spans="18:18" x14ac:dyDescent="0.3">
      <c r="R5117" t="s">
        <v>1313</v>
      </c>
    </row>
    <row r="5118" spans="18:18" x14ac:dyDescent="0.3">
      <c r="R5118" t="s">
        <v>3036</v>
      </c>
    </row>
    <row r="5119" spans="18:18" x14ac:dyDescent="0.3">
      <c r="R5119" t="s">
        <v>1150</v>
      </c>
    </row>
    <row r="5120" spans="18:18" x14ac:dyDescent="0.3">
      <c r="R5120" t="s">
        <v>1681</v>
      </c>
    </row>
    <row r="5121" spans="18:18" x14ac:dyDescent="0.3">
      <c r="R5121" t="s">
        <v>1682</v>
      </c>
    </row>
    <row r="5122" spans="18:18" x14ac:dyDescent="0.3">
      <c r="R5122" t="s">
        <v>3821</v>
      </c>
    </row>
    <row r="5123" spans="18:18" x14ac:dyDescent="0.3">
      <c r="R5123" t="s">
        <v>1523</v>
      </c>
    </row>
    <row r="5124" spans="18:18" x14ac:dyDescent="0.3">
      <c r="R5124" t="s">
        <v>5031</v>
      </c>
    </row>
    <row r="5125" spans="18:18" x14ac:dyDescent="0.3">
      <c r="R5125" t="s">
        <v>3822</v>
      </c>
    </row>
    <row r="5126" spans="18:18" x14ac:dyDescent="0.3">
      <c r="R5126" t="s">
        <v>538</v>
      </c>
    </row>
    <row r="5127" spans="18:18" x14ac:dyDescent="0.3">
      <c r="R5127" t="s">
        <v>3823</v>
      </c>
    </row>
    <row r="5128" spans="18:18" x14ac:dyDescent="0.3">
      <c r="R5128" t="s">
        <v>381</v>
      </c>
    </row>
    <row r="5129" spans="18:18" x14ac:dyDescent="0.3">
      <c r="R5129" t="s">
        <v>4469</v>
      </c>
    </row>
    <row r="5130" spans="18:18" x14ac:dyDescent="0.3">
      <c r="R5130" t="s">
        <v>3037</v>
      </c>
    </row>
    <row r="5131" spans="18:18" x14ac:dyDescent="0.3">
      <c r="R5131" t="s">
        <v>539</v>
      </c>
    </row>
    <row r="5132" spans="18:18" x14ac:dyDescent="0.3">
      <c r="R5132" t="s">
        <v>1314</v>
      </c>
    </row>
    <row r="5133" spans="18:18" x14ac:dyDescent="0.3">
      <c r="R5133" t="s">
        <v>3824</v>
      </c>
    </row>
    <row r="5134" spans="18:18" x14ac:dyDescent="0.3">
      <c r="R5134" t="s">
        <v>540</v>
      </c>
    </row>
    <row r="5135" spans="18:18" x14ac:dyDescent="0.3">
      <c r="R5135" t="s">
        <v>1683</v>
      </c>
    </row>
    <row r="5136" spans="18:18" x14ac:dyDescent="0.3">
      <c r="R5136" t="s">
        <v>4209</v>
      </c>
    </row>
    <row r="5137" spans="18:18" x14ac:dyDescent="0.3">
      <c r="R5137" t="s">
        <v>3825</v>
      </c>
    </row>
    <row r="5138" spans="18:18" x14ac:dyDescent="0.3">
      <c r="R5138" t="s">
        <v>4210</v>
      </c>
    </row>
    <row r="5139" spans="18:18" x14ac:dyDescent="0.3">
      <c r="R5139" t="s">
        <v>1151</v>
      </c>
    </row>
    <row r="5140" spans="18:18" x14ac:dyDescent="0.3">
      <c r="R5140" t="s">
        <v>975</v>
      </c>
    </row>
    <row r="5141" spans="18:18" x14ac:dyDescent="0.3">
      <c r="R5141" t="s">
        <v>3826</v>
      </c>
    </row>
    <row r="5142" spans="18:18" x14ac:dyDescent="0.3">
      <c r="R5142" t="s">
        <v>1315</v>
      </c>
    </row>
    <row r="5143" spans="18:18" x14ac:dyDescent="0.3">
      <c r="R5143" t="s">
        <v>1315</v>
      </c>
    </row>
    <row r="5144" spans="18:18" x14ac:dyDescent="0.3">
      <c r="R5144" t="s">
        <v>5155</v>
      </c>
    </row>
    <row r="5145" spans="18:18" x14ac:dyDescent="0.3">
      <c r="R5145" t="s">
        <v>3246</v>
      </c>
    </row>
    <row r="5146" spans="18:18" x14ac:dyDescent="0.3">
      <c r="R5146" t="s">
        <v>2225</v>
      </c>
    </row>
    <row r="5147" spans="18:18" x14ac:dyDescent="0.3">
      <c r="R5147" t="s">
        <v>1789</v>
      </c>
    </row>
    <row r="5148" spans="18:18" x14ac:dyDescent="0.3">
      <c r="R5148" t="s">
        <v>976</v>
      </c>
    </row>
    <row r="5149" spans="18:18" x14ac:dyDescent="0.3">
      <c r="R5149" t="s">
        <v>2226</v>
      </c>
    </row>
    <row r="5150" spans="18:18" x14ac:dyDescent="0.3">
      <c r="R5150" t="s">
        <v>2227</v>
      </c>
    </row>
    <row r="5151" spans="18:18" x14ac:dyDescent="0.3">
      <c r="R5151" t="s">
        <v>3038</v>
      </c>
    </row>
    <row r="5152" spans="18:18" x14ac:dyDescent="0.3">
      <c r="R5152" t="s">
        <v>230</v>
      </c>
    </row>
    <row r="5153" spans="18:18" x14ac:dyDescent="0.3">
      <c r="R5153" t="s">
        <v>4211</v>
      </c>
    </row>
    <row r="5154" spans="18:18" x14ac:dyDescent="0.3">
      <c r="R5154" t="s">
        <v>4211</v>
      </c>
    </row>
    <row r="5155" spans="18:18" x14ac:dyDescent="0.3">
      <c r="R5155" t="s">
        <v>4911</v>
      </c>
    </row>
    <row r="5156" spans="18:18" x14ac:dyDescent="0.3">
      <c r="R5156" t="s">
        <v>1524</v>
      </c>
    </row>
    <row r="5157" spans="18:18" x14ac:dyDescent="0.3">
      <c r="R5157" t="s">
        <v>1524</v>
      </c>
    </row>
    <row r="5158" spans="18:18" x14ac:dyDescent="0.3">
      <c r="R5158" t="s">
        <v>4912</v>
      </c>
    </row>
    <row r="5159" spans="18:18" x14ac:dyDescent="0.3">
      <c r="R5159" t="s">
        <v>3039</v>
      </c>
    </row>
    <row r="5160" spans="18:18" x14ac:dyDescent="0.3">
      <c r="R5160" t="s">
        <v>3039</v>
      </c>
    </row>
    <row r="5161" spans="18:18" x14ac:dyDescent="0.3">
      <c r="R5161" t="s">
        <v>3040</v>
      </c>
    </row>
    <row r="5162" spans="18:18" x14ac:dyDescent="0.3">
      <c r="R5162" t="s">
        <v>3040</v>
      </c>
    </row>
    <row r="5163" spans="18:18" x14ac:dyDescent="0.3">
      <c r="R5163" t="s">
        <v>2228</v>
      </c>
    </row>
    <row r="5164" spans="18:18" x14ac:dyDescent="0.3">
      <c r="R5164" t="s">
        <v>3827</v>
      </c>
    </row>
    <row r="5165" spans="18:18" x14ac:dyDescent="0.3">
      <c r="R5165" t="s">
        <v>5156</v>
      </c>
    </row>
    <row r="5166" spans="18:18" x14ac:dyDescent="0.3">
      <c r="R5166" t="s">
        <v>4913</v>
      </c>
    </row>
    <row r="5167" spans="18:18" x14ac:dyDescent="0.3">
      <c r="R5167" t="s">
        <v>3041</v>
      </c>
    </row>
    <row r="5168" spans="18:18" x14ac:dyDescent="0.3">
      <c r="R5168" t="s">
        <v>3828</v>
      </c>
    </row>
    <row r="5169" spans="18:18" x14ac:dyDescent="0.3">
      <c r="R5169" t="s">
        <v>5379</v>
      </c>
    </row>
    <row r="5170" spans="18:18" x14ac:dyDescent="0.3">
      <c r="R5170" t="s">
        <v>1790</v>
      </c>
    </row>
    <row r="5171" spans="18:18" x14ac:dyDescent="0.3">
      <c r="R5171" t="s">
        <v>4914</v>
      </c>
    </row>
    <row r="5172" spans="18:18" x14ac:dyDescent="0.3">
      <c r="R5172" t="s">
        <v>3829</v>
      </c>
    </row>
    <row r="5173" spans="18:18" x14ac:dyDescent="0.3">
      <c r="R5173" t="s">
        <v>1684</v>
      </c>
    </row>
    <row r="5174" spans="18:18" x14ac:dyDescent="0.3">
      <c r="R5174" t="s">
        <v>3830</v>
      </c>
    </row>
    <row r="5175" spans="18:18" x14ac:dyDescent="0.3">
      <c r="R5175" t="s">
        <v>3831</v>
      </c>
    </row>
    <row r="5176" spans="18:18" x14ac:dyDescent="0.3">
      <c r="R5176" t="s">
        <v>4915</v>
      </c>
    </row>
    <row r="5177" spans="18:18" x14ac:dyDescent="0.3">
      <c r="R5177" t="s">
        <v>5032</v>
      </c>
    </row>
    <row r="5178" spans="18:18" x14ac:dyDescent="0.3">
      <c r="R5178" t="s">
        <v>3832</v>
      </c>
    </row>
    <row r="5179" spans="18:18" x14ac:dyDescent="0.3">
      <c r="R5179" t="s">
        <v>171</v>
      </c>
    </row>
    <row r="5180" spans="18:18" x14ac:dyDescent="0.3">
      <c r="R5180" t="s">
        <v>1152</v>
      </c>
    </row>
    <row r="5181" spans="18:18" x14ac:dyDescent="0.3">
      <c r="R5181" t="s">
        <v>409</v>
      </c>
    </row>
    <row r="5182" spans="18:18" x14ac:dyDescent="0.3">
      <c r="R5182" t="s">
        <v>3833</v>
      </c>
    </row>
    <row r="5183" spans="18:18" x14ac:dyDescent="0.3">
      <c r="R5183" t="s">
        <v>3042</v>
      </c>
    </row>
    <row r="5184" spans="18:18" x14ac:dyDescent="0.3">
      <c r="R5184" t="s">
        <v>747</v>
      </c>
    </row>
    <row r="5185" spans="18:18" x14ac:dyDescent="0.3">
      <c r="R5185" t="s">
        <v>3834</v>
      </c>
    </row>
    <row r="5186" spans="18:18" x14ac:dyDescent="0.3">
      <c r="R5186" t="s">
        <v>1153</v>
      </c>
    </row>
    <row r="5187" spans="18:18" x14ac:dyDescent="0.3">
      <c r="R5187" t="s">
        <v>3835</v>
      </c>
    </row>
    <row r="5188" spans="18:18" x14ac:dyDescent="0.3">
      <c r="R5188" t="s">
        <v>1525</v>
      </c>
    </row>
    <row r="5189" spans="18:18" x14ac:dyDescent="0.3">
      <c r="R5189" t="s">
        <v>1525</v>
      </c>
    </row>
    <row r="5190" spans="18:18" x14ac:dyDescent="0.3">
      <c r="R5190" t="s">
        <v>231</v>
      </c>
    </row>
    <row r="5191" spans="18:18" x14ac:dyDescent="0.3">
      <c r="R5191" t="s">
        <v>1526</v>
      </c>
    </row>
    <row r="5192" spans="18:18" x14ac:dyDescent="0.3">
      <c r="R5192" t="s">
        <v>2229</v>
      </c>
    </row>
    <row r="5193" spans="18:18" x14ac:dyDescent="0.3">
      <c r="R5193" t="s">
        <v>4212</v>
      </c>
    </row>
    <row r="5194" spans="18:18" x14ac:dyDescent="0.3">
      <c r="R5194" t="s">
        <v>3043</v>
      </c>
    </row>
    <row r="5195" spans="18:18" x14ac:dyDescent="0.3">
      <c r="R5195" t="s">
        <v>147</v>
      </c>
    </row>
    <row r="5196" spans="18:18" x14ac:dyDescent="0.3">
      <c r="R5196" t="s">
        <v>1154</v>
      </c>
    </row>
    <row r="5197" spans="18:18" x14ac:dyDescent="0.3">
      <c r="R5197" t="s">
        <v>3836</v>
      </c>
    </row>
    <row r="5198" spans="18:18" x14ac:dyDescent="0.3">
      <c r="R5198" t="s">
        <v>4213</v>
      </c>
    </row>
    <row r="5199" spans="18:18" x14ac:dyDescent="0.3">
      <c r="R5199" t="s">
        <v>1857</v>
      </c>
    </row>
    <row r="5200" spans="18:18" x14ac:dyDescent="0.3">
      <c r="R5200" t="s">
        <v>1316</v>
      </c>
    </row>
    <row r="5201" spans="18:18" x14ac:dyDescent="0.3">
      <c r="R5201" t="s">
        <v>1317</v>
      </c>
    </row>
    <row r="5202" spans="18:18" x14ac:dyDescent="0.3">
      <c r="R5202" t="s">
        <v>4916</v>
      </c>
    </row>
    <row r="5203" spans="18:18" x14ac:dyDescent="0.3">
      <c r="R5203" t="s">
        <v>1527</v>
      </c>
    </row>
    <row r="5204" spans="18:18" x14ac:dyDescent="0.3">
      <c r="R5204" t="s">
        <v>2230</v>
      </c>
    </row>
    <row r="5205" spans="18:18" x14ac:dyDescent="0.3">
      <c r="R5205" t="s">
        <v>2230</v>
      </c>
    </row>
    <row r="5206" spans="18:18" x14ac:dyDescent="0.3">
      <c r="R5206" t="s">
        <v>2231</v>
      </c>
    </row>
    <row r="5207" spans="18:18" x14ac:dyDescent="0.3">
      <c r="R5207" t="s">
        <v>3044</v>
      </c>
    </row>
    <row r="5208" spans="18:18" x14ac:dyDescent="0.3">
      <c r="R5208" t="s">
        <v>2232</v>
      </c>
    </row>
    <row r="5209" spans="18:18" x14ac:dyDescent="0.3">
      <c r="R5209" t="s">
        <v>1791</v>
      </c>
    </row>
    <row r="5210" spans="18:18" x14ac:dyDescent="0.3">
      <c r="R5210" t="s">
        <v>5033</v>
      </c>
    </row>
    <row r="5211" spans="18:18" x14ac:dyDescent="0.3">
      <c r="R5211" t="s">
        <v>977</v>
      </c>
    </row>
    <row r="5212" spans="18:18" x14ac:dyDescent="0.3">
      <c r="R5212" t="s">
        <v>5380</v>
      </c>
    </row>
    <row r="5213" spans="18:18" x14ac:dyDescent="0.3">
      <c r="R5213" t="s">
        <v>3247</v>
      </c>
    </row>
    <row r="5214" spans="18:18" x14ac:dyDescent="0.3">
      <c r="R5214" t="s">
        <v>1685</v>
      </c>
    </row>
    <row r="5215" spans="18:18" x14ac:dyDescent="0.3">
      <c r="R5215" t="s">
        <v>5381</v>
      </c>
    </row>
    <row r="5216" spans="18:18" x14ac:dyDescent="0.3">
      <c r="R5216" t="s">
        <v>382</v>
      </c>
    </row>
    <row r="5217" spans="18:18" x14ac:dyDescent="0.3">
      <c r="R5217" t="s">
        <v>4214</v>
      </c>
    </row>
    <row r="5218" spans="18:18" x14ac:dyDescent="0.3">
      <c r="R5218" t="s">
        <v>4917</v>
      </c>
    </row>
    <row r="5219" spans="18:18" x14ac:dyDescent="0.3">
      <c r="R5219" t="s">
        <v>1686</v>
      </c>
    </row>
    <row r="5220" spans="18:18" x14ac:dyDescent="0.3">
      <c r="R5220" t="s">
        <v>1686</v>
      </c>
    </row>
    <row r="5221" spans="18:18" x14ac:dyDescent="0.3">
      <c r="R5221" t="s">
        <v>5157</v>
      </c>
    </row>
    <row r="5222" spans="18:18" x14ac:dyDescent="0.3">
      <c r="R5222" t="s">
        <v>4215</v>
      </c>
    </row>
    <row r="5223" spans="18:18" x14ac:dyDescent="0.3">
      <c r="R5223" t="s">
        <v>3837</v>
      </c>
    </row>
    <row r="5224" spans="18:18" x14ac:dyDescent="0.3">
      <c r="R5224" t="s">
        <v>3837</v>
      </c>
    </row>
    <row r="5225" spans="18:18" x14ac:dyDescent="0.3">
      <c r="R5225" t="s">
        <v>383</v>
      </c>
    </row>
    <row r="5226" spans="18:18" x14ac:dyDescent="0.3">
      <c r="R5226" t="s">
        <v>5158</v>
      </c>
    </row>
    <row r="5227" spans="18:18" x14ac:dyDescent="0.3">
      <c r="R5227" t="s">
        <v>4918</v>
      </c>
    </row>
    <row r="5228" spans="18:18" x14ac:dyDescent="0.3">
      <c r="R5228" t="s">
        <v>148</v>
      </c>
    </row>
    <row r="5229" spans="18:18" x14ac:dyDescent="0.3">
      <c r="R5229" t="s">
        <v>1155</v>
      </c>
    </row>
    <row r="5230" spans="18:18" x14ac:dyDescent="0.3">
      <c r="R5230" t="s">
        <v>4216</v>
      </c>
    </row>
    <row r="5231" spans="18:18" x14ac:dyDescent="0.3">
      <c r="R5231" t="s">
        <v>1284</v>
      </c>
    </row>
    <row r="5232" spans="18:18" x14ac:dyDescent="0.3">
      <c r="R5232" t="s">
        <v>1318</v>
      </c>
    </row>
    <row r="5233" spans="18:18" x14ac:dyDescent="0.3">
      <c r="R5233" t="s">
        <v>3838</v>
      </c>
    </row>
    <row r="5234" spans="18:18" x14ac:dyDescent="0.3">
      <c r="R5234" t="s">
        <v>4470</v>
      </c>
    </row>
    <row r="5235" spans="18:18" x14ac:dyDescent="0.3">
      <c r="R5235" t="s">
        <v>4471</v>
      </c>
    </row>
    <row r="5236" spans="18:18" x14ac:dyDescent="0.3">
      <c r="R5236" t="s">
        <v>4217</v>
      </c>
    </row>
    <row r="5237" spans="18:18" x14ac:dyDescent="0.3">
      <c r="R5237" t="s">
        <v>1687</v>
      </c>
    </row>
    <row r="5238" spans="18:18" x14ac:dyDescent="0.3">
      <c r="R5238" t="s">
        <v>1319</v>
      </c>
    </row>
    <row r="5239" spans="18:18" x14ac:dyDescent="0.3">
      <c r="R5239" t="s">
        <v>4472</v>
      </c>
    </row>
    <row r="5240" spans="18:18" x14ac:dyDescent="0.3">
      <c r="R5240" t="s">
        <v>748</v>
      </c>
    </row>
    <row r="5241" spans="18:18" x14ac:dyDescent="0.3">
      <c r="R5241" t="s">
        <v>4473</v>
      </c>
    </row>
    <row r="5242" spans="18:18" x14ac:dyDescent="0.3">
      <c r="R5242" t="s">
        <v>4474</v>
      </c>
    </row>
    <row r="5243" spans="18:18" x14ac:dyDescent="0.3">
      <c r="R5243" t="s">
        <v>3839</v>
      </c>
    </row>
    <row r="5244" spans="18:18" x14ac:dyDescent="0.3">
      <c r="R5244" t="s">
        <v>749</v>
      </c>
    </row>
    <row r="5245" spans="18:18" x14ac:dyDescent="0.3">
      <c r="R5245" t="s">
        <v>3045</v>
      </c>
    </row>
    <row r="5246" spans="18:18" x14ac:dyDescent="0.3">
      <c r="R5246" t="s">
        <v>4919</v>
      </c>
    </row>
    <row r="5247" spans="18:18" x14ac:dyDescent="0.3">
      <c r="R5247" t="s">
        <v>3046</v>
      </c>
    </row>
    <row r="5248" spans="18:18" x14ac:dyDescent="0.3">
      <c r="R5248" t="s">
        <v>4920</v>
      </c>
    </row>
    <row r="5249" spans="18:18" x14ac:dyDescent="0.3">
      <c r="R5249" t="s">
        <v>3047</v>
      </c>
    </row>
    <row r="5250" spans="18:18" x14ac:dyDescent="0.3">
      <c r="R5250" t="s">
        <v>1858</v>
      </c>
    </row>
    <row r="5251" spans="18:18" x14ac:dyDescent="0.3">
      <c r="R5251" t="s">
        <v>542</v>
      </c>
    </row>
    <row r="5252" spans="18:18" x14ac:dyDescent="0.3">
      <c r="R5252" t="s">
        <v>543</v>
      </c>
    </row>
    <row r="5253" spans="18:18" x14ac:dyDescent="0.3">
      <c r="R5253" t="s">
        <v>3048</v>
      </c>
    </row>
    <row r="5254" spans="18:18" x14ac:dyDescent="0.3">
      <c r="R5254" t="s">
        <v>3049</v>
      </c>
    </row>
    <row r="5255" spans="18:18" x14ac:dyDescent="0.3">
      <c r="R5255" t="s">
        <v>3050</v>
      </c>
    </row>
    <row r="5256" spans="18:18" x14ac:dyDescent="0.3">
      <c r="R5256" t="s">
        <v>3050</v>
      </c>
    </row>
    <row r="5257" spans="18:18" x14ac:dyDescent="0.3">
      <c r="R5257" t="s">
        <v>1859</v>
      </c>
    </row>
    <row r="5258" spans="18:18" x14ac:dyDescent="0.3">
      <c r="R5258" t="s">
        <v>4218</v>
      </c>
    </row>
    <row r="5259" spans="18:18" x14ac:dyDescent="0.3">
      <c r="R5259" t="s">
        <v>3051</v>
      </c>
    </row>
    <row r="5260" spans="18:18" x14ac:dyDescent="0.3">
      <c r="R5260" t="s">
        <v>384</v>
      </c>
    </row>
    <row r="5261" spans="18:18" x14ac:dyDescent="0.3">
      <c r="R5261" t="s">
        <v>232</v>
      </c>
    </row>
    <row r="5262" spans="18:18" x14ac:dyDescent="0.3">
      <c r="R5262" t="s">
        <v>1688</v>
      </c>
    </row>
    <row r="5263" spans="18:18" x14ac:dyDescent="0.3">
      <c r="R5263" t="s">
        <v>5159</v>
      </c>
    </row>
    <row r="5264" spans="18:18" x14ac:dyDescent="0.3">
      <c r="R5264" t="s">
        <v>4921</v>
      </c>
    </row>
    <row r="5265" spans="18:18" x14ac:dyDescent="0.3">
      <c r="R5265" t="s">
        <v>3840</v>
      </c>
    </row>
    <row r="5266" spans="18:18" x14ac:dyDescent="0.3">
      <c r="R5266" t="s">
        <v>4922</v>
      </c>
    </row>
    <row r="5267" spans="18:18" x14ac:dyDescent="0.3">
      <c r="R5267" t="s">
        <v>3841</v>
      </c>
    </row>
    <row r="5268" spans="18:18" x14ac:dyDescent="0.3">
      <c r="R5268" t="s">
        <v>1320</v>
      </c>
    </row>
    <row r="5269" spans="18:18" x14ac:dyDescent="0.3">
      <c r="R5269" t="s">
        <v>3842</v>
      </c>
    </row>
    <row r="5270" spans="18:18" x14ac:dyDescent="0.3">
      <c r="R5270" t="s">
        <v>385</v>
      </c>
    </row>
    <row r="5271" spans="18:18" x14ac:dyDescent="0.3">
      <c r="R5271" t="s">
        <v>1689</v>
      </c>
    </row>
    <row r="5272" spans="18:18" x14ac:dyDescent="0.3">
      <c r="R5272" t="s">
        <v>1792</v>
      </c>
    </row>
    <row r="5273" spans="18:18" x14ac:dyDescent="0.3">
      <c r="R5273" t="s">
        <v>386</v>
      </c>
    </row>
    <row r="5274" spans="18:18" x14ac:dyDescent="0.3">
      <c r="R5274" t="s">
        <v>1156</v>
      </c>
    </row>
    <row r="5275" spans="18:18" x14ac:dyDescent="0.3">
      <c r="R5275" t="s">
        <v>3248</v>
      </c>
    </row>
    <row r="5276" spans="18:18" x14ac:dyDescent="0.3">
      <c r="R5276" t="s">
        <v>4923</v>
      </c>
    </row>
    <row r="5277" spans="18:18" x14ac:dyDescent="0.3">
      <c r="R5277" t="s">
        <v>4924</v>
      </c>
    </row>
    <row r="5278" spans="18:18" x14ac:dyDescent="0.3">
      <c r="R5278" t="s">
        <v>2233</v>
      </c>
    </row>
    <row r="5279" spans="18:18" x14ac:dyDescent="0.3">
      <c r="R5279" t="s">
        <v>3843</v>
      </c>
    </row>
    <row r="5280" spans="18:18" x14ac:dyDescent="0.3">
      <c r="R5280" t="s">
        <v>4925</v>
      </c>
    </row>
    <row r="5281" spans="18:18" x14ac:dyDescent="0.3">
      <c r="R5281" t="s">
        <v>4475</v>
      </c>
    </row>
    <row r="5282" spans="18:18" x14ac:dyDescent="0.3">
      <c r="R5282" t="s">
        <v>4219</v>
      </c>
    </row>
    <row r="5283" spans="18:18" x14ac:dyDescent="0.3">
      <c r="R5283" t="s">
        <v>4926</v>
      </c>
    </row>
    <row r="5284" spans="18:18" x14ac:dyDescent="0.3">
      <c r="R5284" t="s">
        <v>3052</v>
      </c>
    </row>
    <row r="5285" spans="18:18" x14ac:dyDescent="0.3">
      <c r="R5285" t="s">
        <v>4927</v>
      </c>
    </row>
    <row r="5286" spans="18:18" x14ac:dyDescent="0.3">
      <c r="R5286" t="s">
        <v>4928</v>
      </c>
    </row>
    <row r="5287" spans="18:18" x14ac:dyDescent="0.3">
      <c r="R5287" t="s">
        <v>4929</v>
      </c>
    </row>
    <row r="5288" spans="18:18" x14ac:dyDescent="0.3">
      <c r="R5288" t="s">
        <v>3844</v>
      </c>
    </row>
    <row r="5289" spans="18:18" x14ac:dyDescent="0.3">
      <c r="R5289" t="s">
        <v>5034</v>
      </c>
    </row>
    <row r="5290" spans="18:18" x14ac:dyDescent="0.3">
      <c r="R5290" t="s">
        <v>3053</v>
      </c>
    </row>
    <row r="5291" spans="18:18" x14ac:dyDescent="0.3">
      <c r="R5291" t="s">
        <v>4930</v>
      </c>
    </row>
    <row r="5292" spans="18:18" x14ac:dyDescent="0.3">
      <c r="R5292" t="s">
        <v>4931</v>
      </c>
    </row>
    <row r="5293" spans="18:18" x14ac:dyDescent="0.3">
      <c r="R5293" t="s">
        <v>3054</v>
      </c>
    </row>
    <row r="5294" spans="18:18" x14ac:dyDescent="0.3">
      <c r="R5294" t="s">
        <v>5382</v>
      </c>
    </row>
    <row r="5295" spans="18:18" x14ac:dyDescent="0.3">
      <c r="R5295" t="s">
        <v>3249</v>
      </c>
    </row>
    <row r="5296" spans="18:18" x14ac:dyDescent="0.3">
      <c r="R5296" t="s">
        <v>4476</v>
      </c>
    </row>
    <row r="5297" spans="18:18" x14ac:dyDescent="0.3">
      <c r="R5297" t="s">
        <v>4477</v>
      </c>
    </row>
    <row r="5298" spans="18:18" x14ac:dyDescent="0.3">
      <c r="R5298" t="s">
        <v>4478</v>
      </c>
    </row>
    <row r="5299" spans="18:18" x14ac:dyDescent="0.3">
      <c r="R5299" t="s">
        <v>1690</v>
      </c>
    </row>
    <row r="5300" spans="18:18" x14ac:dyDescent="0.3">
      <c r="R5300" t="s">
        <v>1690</v>
      </c>
    </row>
    <row r="5301" spans="18:18" x14ac:dyDescent="0.3">
      <c r="R5301" t="s">
        <v>4932</v>
      </c>
    </row>
    <row r="5302" spans="18:18" x14ac:dyDescent="0.3">
      <c r="R5302" t="s">
        <v>1528</v>
      </c>
    </row>
    <row r="5303" spans="18:18" x14ac:dyDescent="0.3">
      <c r="R5303" t="s">
        <v>1528</v>
      </c>
    </row>
    <row r="5304" spans="18:18" x14ac:dyDescent="0.3">
      <c r="R5304" t="s">
        <v>1528</v>
      </c>
    </row>
    <row r="5305" spans="18:18" x14ac:dyDescent="0.3">
      <c r="R5305" t="s">
        <v>1321</v>
      </c>
    </row>
    <row r="5306" spans="18:18" x14ac:dyDescent="0.3">
      <c r="R5306" t="s">
        <v>750</v>
      </c>
    </row>
    <row r="5307" spans="18:18" x14ac:dyDescent="0.3">
      <c r="R5307" t="s">
        <v>5383</v>
      </c>
    </row>
    <row r="5308" spans="18:18" x14ac:dyDescent="0.3">
      <c r="R5308" t="s">
        <v>4479</v>
      </c>
    </row>
    <row r="5309" spans="18:18" x14ac:dyDescent="0.3">
      <c r="R5309" t="s">
        <v>4480</v>
      </c>
    </row>
    <row r="5310" spans="18:18" x14ac:dyDescent="0.3">
      <c r="R5310" t="s">
        <v>2234</v>
      </c>
    </row>
    <row r="5311" spans="18:18" x14ac:dyDescent="0.3">
      <c r="R5311" t="s">
        <v>387</v>
      </c>
    </row>
    <row r="5312" spans="18:18" x14ac:dyDescent="0.3">
      <c r="R5312" t="s">
        <v>4933</v>
      </c>
    </row>
    <row r="5313" spans="18:18" x14ac:dyDescent="0.3">
      <c r="R5313" t="s">
        <v>388</v>
      </c>
    </row>
    <row r="5314" spans="18:18" x14ac:dyDescent="0.3">
      <c r="R5314" t="s">
        <v>751</v>
      </c>
    </row>
    <row r="5315" spans="18:18" x14ac:dyDescent="0.3">
      <c r="R5315" t="s">
        <v>3845</v>
      </c>
    </row>
    <row r="5316" spans="18:18" x14ac:dyDescent="0.3">
      <c r="R5316" t="s">
        <v>3055</v>
      </c>
    </row>
    <row r="5317" spans="18:18" x14ac:dyDescent="0.3">
      <c r="R5317" t="s">
        <v>4481</v>
      </c>
    </row>
    <row r="5318" spans="18:18" x14ac:dyDescent="0.3">
      <c r="R5318" t="s">
        <v>4934</v>
      </c>
    </row>
    <row r="5319" spans="18:18" x14ac:dyDescent="0.3">
      <c r="R5319" t="s">
        <v>4220</v>
      </c>
    </row>
    <row r="5320" spans="18:18" x14ac:dyDescent="0.3">
      <c r="R5320" t="s">
        <v>4221</v>
      </c>
    </row>
    <row r="5321" spans="18:18" x14ac:dyDescent="0.3">
      <c r="R5321" t="s">
        <v>752</v>
      </c>
    </row>
    <row r="5322" spans="18:18" x14ac:dyDescent="0.3">
      <c r="R5322" t="s">
        <v>3846</v>
      </c>
    </row>
    <row r="5323" spans="18:18" x14ac:dyDescent="0.3">
      <c r="R5323" t="s">
        <v>3056</v>
      </c>
    </row>
    <row r="5324" spans="18:18" x14ac:dyDescent="0.3">
      <c r="R5324" t="s">
        <v>1691</v>
      </c>
    </row>
    <row r="5325" spans="18:18" x14ac:dyDescent="0.3">
      <c r="R5325" t="s">
        <v>4935</v>
      </c>
    </row>
    <row r="5326" spans="18:18" x14ac:dyDescent="0.3">
      <c r="R5326" t="s">
        <v>4936</v>
      </c>
    </row>
    <row r="5327" spans="18:18" x14ac:dyDescent="0.3">
      <c r="R5327" t="s">
        <v>4937</v>
      </c>
    </row>
    <row r="5328" spans="18:18" x14ac:dyDescent="0.3">
      <c r="R5328" t="s">
        <v>4938</v>
      </c>
    </row>
    <row r="5329" spans="18:18" x14ac:dyDescent="0.3">
      <c r="R5329" t="s">
        <v>1692</v>
      </c>
    </row>
    <row r="5330" spans="18:18" x14ac:dyDescent="0.3">
      <c r="R5330" t="s">
        <v>4222</v>
      </c>
    </row>
    <row r="5331" spans="18:18" x14ac:dyDescent="0.3">
      <c r="R5331" t="s">
        <v>3847</v>
      </c>
    </row>
    <row r="5332" spans="18:18" x14ac:dyDescent="0.3">
      <c r="R5332" t="s">
        <v>544</v>
      </c>
    </row>
    <row r="5333" spans="18:18" x14ac:dyDescent="0.3">
      <c r="R5333" t="s">
        <v>545</v>
      </c>
    </row>
    <row r="5334" spans="18:18" x14ac:dyDescent="0.3">
      <c r="R5334" t="s">
        <v>753</v>
      </c>
    </row>
    <row r="5335" spans="18:18" x14ac:dyDescent="0.3">
      <c r="R5335" t="s">
        <v>754</v>
      </c>
    </row>
    <row r="5336" spans="18:18" x14ac:dyDescent="0.3">
      <c r="R5336" t="s">
        <v>3848</v>
      </c>
    </row>
    <row r="5337" spans="18:18" x14ac:dyDescent="0.3">
      <c r="R5337" t="s">
        <v>3057</v>
      </c>
    </row>
    <row r="5338" spans="18:18" x14ac:dyDescent="0.3">
      <c r="R5338" t="s">
        <v>3057</v>
      </c>
    </row>
    <row r="5339" spans="18:18" x14ac:dyDescent="0.3">
      <c r="R5339" t="s">
        <v>4939</v>
      </c>
    </row>
    <row r="5340" spans="18:18" x14ac:dyDescent="0.3">
      <c r="R5340" t="s">
        <v>1157</v>
      </c>
    </row>
    <row r="5341" spans="18:18" x14ac:dyDescent="0.3">
      <c r="R5341" t="s">
        <v>5384</v>
      </c>
    </row>
    <row r="5342" spans="18:18" x14ac:dyDescent="0.3">
      <c r="R5342" t="s">
        <v>5385</v>
      </c>
    </row>
    <row r="5343" spans="18:18" x14ac:dyDescent="0.3">
      <c r="R5343" t="s">
        <v>4223</v>
      </c>
    </row>
    <row r="5344" spans="18:18" x14ac:dyDescent="0.3">
      <c r="R5344" t="s">
        <v>4223</v>
      </c>
    </row>
    <row r="5345" spans="18:18" x14ac:dyDescent="0.3">
      <c r="R5345" t="s">
        <v>3058</v>
      </c>
    </row>
    <row r="5346" spans="18:18" x14ac:dyDescent="0.3">
      <c r="R5346" t="s">
        <v>755</v>
      </c>
    </row>
    <row r="5347" spans="18:18" x14ac:dyDescent="0.3">
      <c r="R5347" t="s">
        <v>233</v>
      </c>
    </row>
    <row r="5348" spans="18:18" x14ac:dyDescent="0.3">
      <c r="R5348" t="s">
        <v>2235</v>
      </c>
    </row>
    <row r="5349" spans="18:18" x14ac:dyDescent="0.3">
      <c r="R5349" t="s">
        <v>3059</v>
      </c>
    </row>
    <row r="5350" spans="18:18" x14ac:dyDescent="0.3">
      <c r="R5350" t="s">
        <v>3060</v>
      </c>
    </row>
    <row r="5351" spans="18:18" x14ac:dyDescent="0.3">
      <c r="R5351" t="s">
        <v>2236</v>
      </c>
    </row>
    <row r="5352" spans="18:18" x14ac:dyDescent="0.3">
      <c r="R5352" t="s">
        <v>2237</v>
      </c>
    </row>
    <row r="5353" spans="18:18" x14ac:dyDescent="0.3">
      <c r="R5353" t="s">
        <v>1158</v>
      </c>
    </row>
    <row r="5354" spans="18:18" x14ac:dyDescent="0.3">
      <c r="R5354" t="s">
        <v>3061</v>
      </c>
    </row>
    <row r="5355" spans="18:18" x14ac:dyDescent="0.3">
      <c r="R5355" t="s">
        <v>3849</v>
      </c>
    </row>
    <row r="5356" spans="18:18" x14ac:dyDescent="0.3">
      <c r="R5356" t="s">
        <v>2238</v>
      </c>
    </row>
    <row r="5357" spans="18:18" x14ac:dyDescent="0.3">
      <c r="R5357" t="s">
        <v>3850</v>
      </c>
    </row>
    <row r="5358" spans="18:18" x14ac:dyDescent="0.3">
      <c r="R5358" t="s">
        <v>3062</v>
      </c>
    </row>
    <row r="5359" spans="18:18" x14ac:dyDescent="0.3">
      <c r="R5359" t="s">
        <v>3063</v>
      </c>
    </row>
    <row r="5360" spans="18:18" x14ac:dyDescent="0.3">
      <c r="R5360" t="s">
        <v>3851</v>
      </c>
    </row>
    <row r="5361" spans="18:18" x14ac:dyDescent="0.3">
      <c r="R5361" t="s">
        <v>4224</v>
      </c>
    </row>
    <row r="5362" spans="18:18" x14ac:dyDescent="0.3">
      <c r="R5362" t="s">
        <v>4940</v>
      </c>
    </row>
    <row r="5363" spans="18:18" x14ac:dyDescent="0.3">
      <c r="R5363" t="s">
        <v>3852</v>
      </c>
    </row>
    <row r="5364" spans="18:18" x14ac:dyDescent="0.3">
      <c r="R5364" t="s">
        <v>2239</v>
      </c>
    </row>
    <row r="5365" spans="18:18" x14ac:dyDescent="0.3">
      <c r="R5365" t="s">
        <v>250</v>
      </c>
    </row>
    <row r="5366" spans="18:18" x14ac:dyDescent="0.3">
      <c r="R5366" t="s">
        <v>5386</v>
      </c>
    </row>
    <row r="5367" spans="18:18" x14ac:dyDescent="0.3">
      <c r="R5367" t="s">
        <v>1529</v>
      </c>
    </row>
    <row r="5368" spans="18:18" x14ac:dyDescent="0.3">
      <c r="R5368" t="s">
        <v>389</v>
      </c>
    </row>
    <row r="5369" spans="18:18" x14ac:dyDescent="0.3">
      <c r="R5369" t="s">
        <v>1159</v>
      </c>
    </row>
    <row r="5370" spans="18:18" x14ac:dyDescent="0.3">
      <c r="R5370" t="s">
        <v>1322</v>
      </c>
    </row>
    <row r="5371" spans="18:18" x14ac:dyDescent="0.3">
      <c r="R5371" t="s">
        <v>1860</v>
      </c>
    </row>
    <row r="5372" spans="18:18" x14ac:dyDescent="0.3">
      <c r="R5372" t="s">
        <v>2240</v>
      </c>
    </row>
    <row r="5373" spans="18:18" x14ac:dyDescent="0.3">
      <c r="R5373" t="s">
        <v>3064</v>
      </c>
    </row>
    <row r="5374" spans="18:18" x14ac:dyDescent="0.3">
      <c r="R5374" t="s">
        <v>1530</v>
      </c>
    </row>
    <row r="5375" spans="18:18" x14ac:dyDescent="0.3">
      <c r="R5375" t="s">
        <v>1160</v>
      </c>
    </row>
    <row r="5376" spans="18:18" x14ac:dyDescent="0.3">
      <c r="R5376" t="s">
        <v>4225</v>
      </c>
    </row>
    <row r="5377" spans="18:18" x14ac:dyDescent="0.3">
      <c r="R5377" t="s">
        <v>2241</v>
      </c>
    </row>
    <row r="5378" spans="18:18" x14ac:dyDescent="0.3">
      <c r="R5378" t="s">
        <v>3065</v>
      </c>
    </row>
    <row r="5379" spans="18:18" x14ac:dyDescent="0.3">
      <c r="R5379" t="s">
        <v>978</v>
      </c>
    </row>
    <row r="5380" spans="18:18" x14ac:dyDescent="0.3">
      <c r="R5380" t="s">
        <v>4941</v>
      </c>
    </row>
    <row r="5381" spans="18:18" x14ac:dyDescent="0.3">
      <c r="R5381" t="s">
        <v>4226</v>
      </c>
    </row>
    <row r="5382" spans="18:18" x14ac:dyDescent="0.3">
      <c r="R5382" t="s">
        <v>3066</v>
      </c>
    </row>
    <row r="5383" spans="18:18" x14ac:dyDescent="0.3">
      <c r="R5383" t="s">
        <v>4482</v>
      </c>
    </row>
    <row r="5384" spans="18:18" x14ac:dyDescent="0.3">
      <c r="R5384" t="s">
        <v>5160</v>
      </c>
    </row>
    <row r="5385" spans="18:18" x14ac:dyDescent="0.3">
      <c r="R5385" t="s">
        <v>1793</v>
      </c>
    </row>
    <row r="5386" spans="18:18" x14ac:dyDescent="0.3">
      <c r="R5386" t="s">
        <v>3853</v>
      </c>
    </row>
    <row r="5387" spans="18:18" x14ac:dyDescent="0.3">
      <c r="R5387" t="s">
        <v>4227</v>
      </c>
    </row>
    <row r="5388" spans="18:18" x14ac:dyDescent="0.3">
      <c r="R5388" t="s">
        <v>4942</v>
      </c>
    </row>
    <row r="5389" spans="18:18" x14ac:dyDescent="0.3">
      <c r="R5389" t="s">
        <v>1323</v>
      </c>
    </row>
    <row r="5390" spans="18:18" x14ac:dyDescent="0.3">
      <c r="R5390" t="s">
        <v>4228</v>
      </c>
    </row>
    <row r="5391" spans="18:18" x14ac:dyDescent="0.3">
      <c r="R5391" t="s">
        <v>2242</v>
      </c>
    </row>
    <row r="5392" spans="18:18" x14ac:dyDescent="0.3">
      <c r="R5392" t="s">
        <v>3854</v>
      </c>
    </row>
    <row r="5393" spans="18:18" x14ac:dyDescent="0.3">
      <c r="R5393" t="s">
        <v>756</v>
      </c>
    </row>
    <row r="5394" spans="18:18" x14ac:dyDescent="0.3">
      <c r="R5394" t="s">
        <v>3855</v>
      </c>
    </row>
    <row r="5395" spans="18:18" x14ac:dyDescent="0.3">
      <c r="R5395" t="s">
        <v>5387</v>
      </c>
    </row>
    <row r="5396" spans="18:18" x14ac:dyDescent="0.3">
      <c r="R5396" t="s">
        <v>5388</v>
      </c>
    </row>
    <row r="5397" spans="18:18" x14ac:dyDescent="0.3">
      <c r="R5397" t="s">
        <v>3067</v>
      </c>
    </row>
    <row r="5398" spans="18:18" x14ac:dyDescent="0.3">
      <c r="R5398" t="s">
        <v>390</v>
      </c>
    </row>
    <row r="5399" spans="18:18" x14ac:dyDescent="0.3">
      <c r="R5399" t="s">
        <v>4483</v>
      </c>
    </row>
    <row r="5400" spans="18:18" x14ac:dyDescent="0.3">
      <c r="R5400" t="s">
        <v>1161</v>
      </c>
    </row>
    <row r="5401" spans="18:18" x14ac:dyDescent="0.3">
      <c r="R5401" t="s">
        <v>3068</v>
      </c>
    </row>
    <row r="5402" spans="18:18" x14ac:dyDescent="0.3">
      <c r="R5402" t="s">
        <v>234</v>
      </c>
    </row>
    <row r="5403" spans="18:18" x14ac:dyDescent="0.3">
      <c r="R5403" t="s">
        <v>2243</v>
      </c>
    </row>
    <row r="5404" spans="18:18" x14ac:dyDescent="0.3">
      <c r="R5404" t="s">
        <v>979</v>
      </c>
    </row>
    <row r="5405" spans="18:18" x14ac:dyDescent="0.3">
      <c r="R5405" t="s">
        <v>3069</v>
      </c>
    </row>
    <row r="5406" spans="18:18" x14ac:dyDescent="0.3">
      <c r="R5406" t="s">
        <v>235</v>
      </c>
    </row>
    <row r="5407" spans="18:18" x14ac:dyDescent="0.3">
      <c r="R5407" t="s">
        <v>4943</v>
      </c>
    </row>
    <row r="5408" spans="18:18" x14ac:dyDescent="0.3">
      <c r="R5408" t="s">
        <v>1162</v>
      </c>
    </row>
    <row r="5409" spans="18:18" x14ac:dyDescent="0.3">
      <c r="R5409" t="s">
        <v>149</v>
      </c>
    </row>
    <row r="5410" spans="18:18" x14ac:dyDescent="0.3">
      <c r="R5410" t="s">
        <v>4484</v>
      </c>
    </row>
    <row r="5411" spans="18:18" x14ac:dyDescent="0.3">
      <c r="R5411" t="s">
        <v>3856</v>
      </c>
    </row>
    <row r="5412" spans="18:18" x14ac:dyDescent="0.3">
      <c r="R5412" t="s">
        <v>4485</v>
      </c>
    </row>
    <row r="5413" spans="18:18" x14ac:dyDescent="0.3">
      <c r="R5413" t="s">
        <v>5389</v>
      </c>
    </row>
    <row r="5414" spans="18:18" x14ac:dyDescent="0.3">
      <c r="R5414" t="s">
        <v>2244</v>
      </c>
    </row>
    <row r="5415" spans="18:18" x14ac:dyDescent="0.3">
      <c r="R5415" t="s">
        <v>4944</v>
      </c>
    </row>
    <row r="5416" spans="18:18" x14ac:dyDescent="0.3">
      <c r="R5416" t="s">
        <v>5161</v>
      </c>
    </row>
    <row r="5417" spans="18:18" x14ac:dyDescent="0.3">
      <c r="R5417" t="s">
        <v>150</v>
      </c>
    </row>
    <row r="5418" spans="18:18" x14ac:dyDescent="0.3">
      <c r="R5418" t="s">
        <v>151</v>
      </c>
    </row>
    <row r="5419" spans="18:18" x14ac:dyDescent="0.3">
      <c r="R5419" t="s">
        <v>4946</v>
      </c>
    </row>
    <row r="5420" spans="18:18" x14ac:dyDescent="0.3">
      <c r="R5420" t="s">
        <v>4947</v>
      </c>
    </row>
    <row r="5421" spans="18:18" x14ac:dyDescent="0.3">
      <c r="R5421" t="s">
        <v>4945</v>
      </c>
    </row>
    <row r="5422" spans="18:18" x14ac:dyDescent="0.3">
      <c r="R5422" t="s">
        <v>2245</v>
      </c>
    </row>
    <row r="5423" spans="18:18" x14ac:dyDescent="0.3">
      <c r="R5423" t="s">
        <v>2245</v>
      </c>
    </row>
    <row r="5424" spans="18:18" x14ac:dyDescent="0.3">
      <c r="R5424" t="s">
        <v>980</v>
      </c>
    </row>
    <row r="5425" spans="18:18" x14ac:dyDescent="0.3">
      <c r="R5425" t="s">
        <v>2246</v>
      </c>
    </row>
    <row r="5426" spans="18:18" x14ac:dyDescent="0.3">
      <c r="R5426" t="s">
        <v>3857</v>
      </c>
    </row>
    <row r="5427" spans="18:18" x14ac:dyDescent="0.3">
      <c r="R5427" t="s">
        <v>3858</v>
      </c>
    </row>
    <row r="5428" spans="18:18" x14ac:dyDescent="0.3">
      <c r="R5428" t="s">
        <v>3859</v>
      </c>
    </row>
    <row r="5429" spans="18:18" x14ac:dyDescent="0.3">
      <c r="R5429" t="s">
        <v>5390</v>
      </c>
    </row>
    <row r="5430" spans="18:18" x14ac:dyDescent="0.3">
      <c r="R5430" t="s">
        <v>4948</v>
      </c>
    </row>
    <row r="5431" spans="18:18" x14ac:dyDescent="0.3">
      <c r="R5431" t="s">
        <v>4486</v>
      </c>
    </row>
    <row r="5432" spans="18:18" x14ac:dyDescent="0.3">
      <c r="R5432" t="s">
        <v>3860</v>
      </c>
    </row>
    <row r="5433" spans="18:18" x14ac:dyDescent="0.3">
      <c r="R5433" t="s">
        <v>3860</v>
      </c>
    </row>
    <row r="5434" spans="18:18" x14ac:dyDescent="0.3">
      <c r="R5434" t="s">
        <v>3070</v>
      </c>
    </row>
    <row r="5435" spans="18:18" x14ac:dyDescent="0.3">
      <c r="R5435" t="s">
        <v>3161</v>
      </c>
    </row>
    <row r="5436" spans="18:18" x14ac:dyDescent="0.3">
      <c r="R5436" t="s">
        <v>3071</v>
      </c>
    </row>
    <row r="5437" spans="18:18" x14ac:dyDescent="0.3">
      <c r="R5437" t="s">
        <v>3071</v>
      </c>
    </row>
    <row r="5438" spans="18:18" x14ac:dyDescent="0.3">
      <c r="R5438" t="s">
        <v>757</v>
      </c>
    </row>
    <row r="5439" spans="18:18" x14ac:dyDescent="0.3">
      <c r="R5439" t="s">
        <v>3072</v>
      </c>
    </row>
    <row r="5440" spans="18:18" x14ac:dyDescent="0.3">
      <c r="R5440" t="s">
        <v>3861</v>
      </c>
    </row>
    <row r="5441" spans="18:18" x14ac:dyDescent="0.3">
      <c r="R5441" t="s">
        <v>3862</v>
      </c>
    </row>
    <row r="5442" spans="18:18" x14ac:dyDescent="0.3">
      <c r="R5442" t="s">
        <v>3073</v>
      </c>
    </row>
    <row r="5443" spans="18:18" x14ac:dyDescent="0.3">
      <c r="R5443" t="s">
        <v>5391</v>
      </c>
    </row>
    <row r="5444" spans="18:18" x14ac:dyDescent="0.3">
      <c r="R5444" t="s">
        <v>3074</v>
      </c>
    </row>
    <row r="5445" spans="18:18" x14ac:dyDescent="0.3">
      <c r="R5445" t="s">
        <v>1163</v>
      </c>
    </row>
    <row r="5446" spans="18:18" x14ac:dyDescent="0.3">
      <c r="R5446" t="s">
        <v>3250</v>
      </c>
    </row>
    <row r="5447" spans="18:18" x14ac:dyDescent="0.3">
      <c r="R5447" t="s">
        <v>1324</v>
      </c>
    </row>
    <row r="5448" spans="18:18" x14ac:dyDescent="0.3">
      <c r="R5448" t="s">
        <v>1324</v>
      </c>
    </row>
    <row r="5449" spans="18:18" x14ac:dyDescent="0.3">
      <c r="R5449" t="s">
        <v>1164</v>
      </c>
    </row>
    <row r="5450" spans="18:18" x14ac:dyDescent="0.3">
      <c r="R5450" t="s">
        <v>981</v>
      </c>
    </row>
    <row r="5451" spans="18:18" x14ac:dyDescent="0.3">
      <c r="R5451" t="s">
        <v>3075</v>
      </c>
    </row>
    <row r="5452" spans="18:18" x14ac:dyDescent="0.3">
      <c r="R5452" t="s">
        <v>2247</v>
      </c>
    </row>
    <row r="5453" spans="18:18" x14ac:dyDescent="0.3">
      <c r="R5453" t="s">
        <v>2248</v>
      </c>
    </row>
    <row r="5454" spans="18:18" x14ac:dyDescent="0.3">
      <c r="R5454" t="s">
        <v>982</v>
      </c>
    </row>
    <row r="5455" spans="18:18" x14ac:dyDescent="0.3">
      <c r="R5455" t="s">
        <v>982</v>
      </c>
    </row>
    <row r="5456" spans="18:18" x14ac:dyDescent="0.3">
      <c r="R5456" t="s">
        <v>2249</v>
      </c>
    </row>
    <row r="5457" spans="18:18" x14ac:dyDescent="0.3">
      <c r="R5457" t="s">
        <v>3863</v>
      </c>
    </row>
    <row r="5458" spans="18:18" x14ac:dyDescent="0.3">
      <c r="R5458" t="s">
        <v>2250</v>
      </c>
    </row>
    <row r="5459" spans="18:18" x14ac:dyDescent="0.3">
      <c r="R5459" t="s">
        <v>3076</v>
      </c>
    </row>
    <row r="5460" spans="18:18" x14ac:dyDescent="0.3">
      <c r="R5460" t="s">
        <v>3251</v>
      </c>
    </row>
    <row r="5461" spans="18:18" x14ac:dyDescent="0.3">
      <c r="R5461" t="s">
        <v>3077</v>
      </c>
    </row>
    <row r="5462" spans="18:18" x14ac:dyDescent="0.3">
      <c r="R5462" t="s">
        <v>4949</v>
      </c>
    </row>
    <row r="5463" spans="18:18" x14ac:dyDescent="0.3">
      <c r="R5463" t="s">
        <v>3162</v>
      </c>
    </row>
    <row r="5464" spans="18:18" x14ac:dyDescent="0.3">
      <c r="R5464" t="s">
        <v>1325</v>
      </c>
    </row>
    <row r="5465" spans="18:18" x14ac:dyDescent="0.3">
      <c r="R5465" t="s">
        <v>4229</v>
      </c>
    </row>
    <row r="5466" spans="18:18" x14ac:dyDescent="0.3">
      <c r="R5466" t="s">
        <v>1693</v>
      </c>
    </row>
    <row r="5467" spans="18:18" x14ac:dyDescent="0.3">
      <c r="R5467" t="s">
        <v>5162</v>
      </c>
    </row>
    <row r="5468" spans="18:18" x14ac:dyDescent="0.3">
      <c r="R5468" t="s">
        <v>1326</v>
      </c>
    </row>
    <row r="5469" spans="18:18" x14ac:dyDescent="0.3">
      <c r="R5469" t="s">
        <v>1326</v>
      </c>
    </row>
    <row r="5470" spans="18:18" x14ac:dyDescent="0.3">
      <c r="R5470" t="s">
        <v>1326</v>
      </c>
    </row>
    <row r="5471" spans="18:18" x14ac:dyDescent="0.3">
      <c r="R5471" t="s">
        <v>1326</v>
      </c>
    </row>
    <row r="5472" spans="18:18" x14ac:dyDescent="0.3">
      <c r="R5472" t="s">
        <v>4230</v>
      </c>
    </row>
    <row r="5473" spans="18:18" x14ac:dyDescent="0.3">
      <c r="R5473" t="s">
        <v>983</v>
      </c>
    </row>
    <row r="5474" spans="18:18" x14ac:dyDescent="0.3">
      <c r="R5474" t="s">
        <v>4950</v>
      </c>
    </row>
    <row r="5475" spans="18:18" x14ac:dyDescent="0.3">
      <c r="R5475" t="s">
        <v>1694</v>
      </c>
    </row>
    <row r="5476" spans="18:18" x14ac:dyDescent="0.3">
      <c r="R5476" t="s">
        <v>3078</v>
      </c>
    </row>
    <row r="5477" spans="18:18" x14ac:dyDescent="0.3">
      <c r="R5477" t="s">
        <v>4231</v>
      </c>
    </row>
    <row r="5478" spans="18:18" x14ac:dyDescent="0.3">
      <c r="R5478" t="s">
        <v>2251</v>
      </c>
    </row>
    <row r="5479" spans="18:18" x14ac:dyDescent="0.3">
      <c r="R5479" t="s">
        <v>3079</v>
      </c>
    </row>
    <row r="5480" spans="18:18" x14ac:dyDescent="0.3">
      <c r="R5480" t="s">
        <v>3080</v>
      </c>
    </row>
    <row r="5481" spans="18:18" x14ac:dyDescent="0.3">
      <c r="R5481" t="s">
        <v>3081</v>
      </c>
    </row>
    <row r="5482" spans="18:18" x14ac:dyDescent="0.3">
      <c r="R5482" t="s">
        <v>1695</v>
      </c>
    </row>
    <row r="5483" spans="18:18" x14ac:dyDescent="0.3">
      <c r="R5483" t="s">
        <v>1696</v>
      </c>
    </row>
    <row r="5484" spans="18:18" x14ac:dyDescent="0.3">
      <c r="R5484" t="s">
        <v>3082</v>
      </c>
    </row>
    <row r="5485" spans="18:18" x14ac:dyDescent="0.3">
      <c r="R5485" t="s">
        <v>4951</v>
      </c>
    </row>
    <row r="5486" spans="18:18" x14ac:dyDescent="0.3">
      <c r="R5486" t="s">
        <v>4952</v>
      </c>
    </row>
    <row r="5487" spans="18:18" x14ac:dyDescent="0.3">
      <c r="R5487" t="s">
        <v>4953</v>
      </c>
    </row>
    <row r="5488" spans="18:18" x14ac:dyDescent="0.3">
      <c r="R5488" t="s">
        <v>758</v>
      </c>
    </row>
    <row r="5489" spans="18:18" x14ac:dyDescent="0.3">
      <c r="R5489" t="s">
        <v>758</v>
      </c>
    </row>
    <row r="5490" spans="18:18" x14ac:dyDescent="0.3">
      <c r="R5490" t="s">
        <v>5392</v>
      </c>
    </row>
    <row r="5491" spans="18:18" x14ac:dyDescent="0.3">
      <c r="R5491" t="s">
        <v>1697</v>
      </c>
    </row>
    <row r="5492" spans="18:18" x14ac:dyDescent="0.3">
      <c r="R5492" t="s">
        <v>4954</v>
      </c>
    </row>
    <row r="5493" spans="18:18" x14ac:dyDescent="0.3">
      <c r="R5493" t="s">
        <v>5035</v>
      </c>
    </row>
    <row r="5494" spans="18:18" x14ac:dyDescent="0.3">
      <c r="R5494" t="s">
        <v>5393</v>
      </c>
    </row>
    <row r="5495" spans="18:18" x14ac:dyDescent="0.3">
      <c r="R5495" t="s">
        <v>1327</v>
      </c>
    </row>
    <row r="5496" spans="18:18" x14ac:dyDescent="0.3">
      <c r="R5496" t="s">
        <v>1327</v>
      </c>
    </row>
    <row r="5497" spans="18:18" x14ac:dyDescent="0.3">
      <c r="R5497" t="s">
        <v>1327</v>
      </c>
    </row>
    <row r="5498" spans="18:18" x14ac:dyDescent="0.3">
      <c r="R5498" t="s">
        <v>1165</v>
      </c>
    </row>
    <row r="5499" spans="18:18" x14ac:dyDescent="0.3">
      <c r="R5499" t="s">
        <v>4955</v>
      </c>
    </row>
    <row r="5500" spans="18:18" x14ac:dyDescent="0.3">
      <c r="R5500" t="s">
        <v>4487</v>
      </c>
    </row>
    <row r="5501" spans="18:18" x14ac:dyDescent="0.3">
      <c r="R5501" t="s">
        <v>4488</v>
      </c>
    </row>
    <row r="5502" spans="18:18" x14ac:dyDescent="0.3">
      <c r="R5502" t="s">
        <v>3083</v>
      </c>
    </row>
    <row r="5503" spans="18:18" x14ac:dyDescent="0.3">
      <c r="R5503" t="s">
        <v>1531</v>
      </c>
    </row>
    <row r="5504" spans="18:18" x14ac:dyDescent="0.3">
      <c r="R5504" t="s">
        <v>391</v>
      </c>
    </row>
    <row r="5505" spans="18:18" x14ac:dyDescent="0.3">
      <c r="R5505" t="s">
        <v>5097</v>
      </c>
    </row>
    <row r="5506" spans="18:18" x14ac:dyDescent="0.3">
      <c r="R5506" t="s">
        <v>5394</v>
      </c>
    </row>
    <row r="5507" spans="18:18" x14ac:dyDescent="0.3">
      <c r="R5507" t="s">
        <v>1328</v>
      </c>
    </row>
    <row r="5508" spans="18:18" x14ac:dyDescent="0.3">
      <c r="R5508" t="s">
        <v>4956</v>
      </c>
    </row>
    <row r="5509" spans="18:18" x14ac:dyDescent="0.3">
      <c r="R5509" t="s">
        <v>4957</v>
      </c>
    </row>
    <row r="5510" spans="18:18" x14ac:dyDescent="0.3">
      <c r="R5510" t="s">
        <v>4958</v>
      </c>
    </row>
    <row r="5511" spans="18:18" x14ac:dyDescent="0.3">
      <c r="R5511" t="s">
        <v>984</v>
      </c>
    </row>
    <row r="5512" spans="18:18" x14ac:dyDescent="0.3">
      <c r="R5512" t="s">
        <v>4959</v>
      </c>
    </row>
    <row r="5513" spans="18:18" x14ac:dyDescent="0.3">
      <c r="R5513" t="s">
        <v>759</v>
      </c>
    </row>
    <row r="5514" spans="18:18" x14ac:dyDescent="0.3">
      <c r="R5514" t="s">
        <v>3163</v>
      </c>
    </row>
    <row r="5515" spans="18:18" x14ac:dyDescent="0.3">
      <c r="R5515" t="s">
        <v>5395</v>
      </c>
    </row>
    <row r="5516" spans="18:18" x14ac:dyDescent="0.3">
      <c r="R5516" t="s">
        <v>5163</v>
      </c>
    </row>
    <row r="5517" spans="18:18" x14ac:dyDescent="0.3">
      <c r="R5517" t="s">
        <v>3164</v>
      </c>
    </row>
    <row r="5518" spans="18:18" x14ac:dyDescent="0.3">
      <c r="R5518" t="s">
        <v>3165</v>
      </c>
    </row>
    <row r="5519" spans="18:18" x14ac:dyDescent="0.3">
      <c r="R5519" t="s">
        <v>121</v>
      </c>
    </row>
    <row r="5520" spans="18:18" x14ac:dyDescent="0.3">
      <c r="R5520" t="s">
        <v>3864</v>
      </c>
    </row>
    <row r="5521" spans="18:18" x14ac:dyDescent="0.3">
      <c r="R5521" t="s">
        <v>3865</v>
      </c>
    </row>
    <row r="5522" spans="18:18" x14ac:dyDescent="0.3">
      <c r="R5522" t="s">
        <v>3085</v>
      </c>
    </row>
    <row r="5523" spans="18:18" x14ac:dyDescent="0.3">
      <c r="R5523" t="s">
        <v>3086</v>
      </c>
    </row>
    <row r="5524" spans="18:18" x14ac:dyDescent="0.3">
      <c r="R5524" t="s">
        <v>3087</v>
      </c>
    </row>
    <row r="5525" spans="18:18" x14ac:dyDescent="0.3">
      <c r="R5525" t="s">
        <v>3088</v>
      </c>
    </row>
    <row r="5526" spans="18:18" x14ac:dyDescent="0.3">
      <c r="R5526" t="s">
        <v>4233</v>
      </c>
    </row>
    <row r="5527" spans="18:18" x14ac:dyDescent="0.3">
      <c r="R5527" t="s">
        <v>3089</v>
      </c>
    </row>
    <row r="5528" spans="18:18" x14ac:dyDescent="0.3">
      <c r="R5528" t="s">
        <v>392</v>
      </c>
    </row>
    <row r="5529" spans="18:18" x14ac:dyDescent="0.3">
      <c r="R5529" t="s">
        <v>4960</v>
      </c>
    </row>
    <row r="5530" spans="18:18" x14ac:dyDescent="0.3">
      <c r="R5530" t="s">
        <v>3866</v>
      </c>
    </row>
    <row r="5531" spans="18:18" x14ac:dyDescent="0.3">
      <c r="R5531" t="s">
        <v>4961</v>
      </c>
    </row>
    <row r="5532" spans="18:18" x14ac:dyDescent="0.3">
      <c r="R5532" t="s">
        <v>4962</v>
      </c>
    </row>
    <row r="5533" spans="18:18" x14ac:dyDescent="0.3">
      <c r="R5533" t="s">
        <v>1397</v>
      </c>
    </row>
    <row r="5534" spans="18:18" x14ac:dyDescent="0.3">
      <c r="R5534" t="s">
        <v>4489</v>
      </c>
    </row>
    <row r="5535" spans="18:18" x14ac:dyDescent="0.3">
      <c r="R5535" t="s">
        <v>3166</v>
      </c>
    </row>
    <row r="5536" spans="18:18" x14ac:dyDescent="0.3">
      <c r="R5536" t="s">
        <v>3867</v>
      </c>
    </row>
    <row r="5537" spans="18:18" x14ac:dyDescent="0.3">
      <c r="R5537" t="s">
        <v>2252</v>
      </c>
    </row>
    <row r="5538" spans="18:18" x14ac:dyDescent="0.3">
      <c r="R5538" t="s">
        <v>4963</v>
      </c>
    </row>
    <row r="5539" spans="18:18" x14ac:dyDescent="0.3">
      <c r="R5539" t="s">
        <v>1698</v>
      </c>
    </row>
    <row r="5540" spans="18:18" x14ac:dyDescent="0.3">
      <c r="R5540" t="s">
        <v>410</v>
      </c>
    </row>
    <row r="5541" spans="18:18" x14ac:dyDescent="0.3">
      <c r="R5541" t="s">
        <v>760</v>
      </c>
    </row>
    <row r="5542" spans="18:18" x14ac:dyDescent="0.3">
      <c r="R5542" t="s">
        <v>393</v>
      </c>
    </row>
    <row r="5543" spans="18:18" x14ac:dyDescent="0.3">
      <c r="R5543" t="s">
        <v>4234</v>
      </c>
    </row>
    <row r="5544" spans="18:18" x14ac:dyDescent="0.3">
      <c r="R5544" t="s">
        <v>761</v>
      </c>
    </row>
    <row r="5545" spans="18:18" x14ac:dyDescent="0.3">
      <c r="R5545" t="s">
        <v>3090</v>
      </c>
    </row>
    <row r="5546" spans="18:18" x14ac:dyDescent="0.3">
      <c r="R5546" t="s">
        <v>3252</v>
      </c>
    </row>
    <row r="5547" spans="18:18" x14ac:dyDescent="0.3">
      <c r="R5547" t="s">
        <v>3868</v>
      </c>
    </row>
    <row r="5548" spans="18:18" x14ac:dyDescent="0.3">
      <c r="R5548" t="s">
        <v>3869</v>
      </c>
    </row>
    <row r="5549" spans="18:18" x14ac:dyDescent="0.3">
      <c r="R5549" t="s">
        <v>2253</v>
      </c>
    </row>
    <row r="5550" spans="18:18" x14ac:dyDescent="0.3">
      <c r="R5550" t="s">
        <v>985</v>
      </c>
    </row>
    <row r="5551" spans="18:18" x14ac:dyDescent="0.3">
      <c r="R5551" t="s">
        <v>546</v>
      </c>
    </row>
    <row r="5552" spans="18:18" x14ac:dyDescent="0.3">
      <c r="R5552" t="s">
        <v>2254</v>
      </c>
    </row>
    <row r="5553" spans="18:18" x14ac:dyDescent="0.3">
      <c r="R5553" t="s">
        <v>3091</v>
      </c>
    </row>
    <row r="5554" spans="18:18" x14ac:dyDescent="0.3">
      <c r="R5554" t="s">
        <v>3091</v>
      </c>
    </row>
    <row r="5555" spans="18:18" x14ac:dyDescent="0.3">
      <c r="R5555" t="s">
        <v>2255</v>
      </c>
    </row>
    <row r="5556" spans="18:18" x14ac:dyDescent="0.3">
      <c r="R5556" t="s">
        <v>4964</v>
      </c>
    </row>
    <row r="5557" spans="18:18" x14ac:dyDescent="0.3">
      <c r="R5557" t="s">
        <v>4490</v>
      </c>
    </row>
    <row r="5558" spans="18:18" x14ac:dyDescent="0.3">
      <c r="R5558" t="s">
        <v>547</v>
      </c>
    </row>
    <row r="5559" spans="18:18" x14ac:dyDescent="0.3">
      <c r="R5559" t="s">
        <v>4235</v>
      </c>
    </row>
    <row r="5560" spans="18:18" x14ac:dyDescent="0.3">
      <c r="R5560" t="s">
        <v>4965</v>
      </c>
    </row>
    <row r="5561" spans="18:18" x14ac:dyDescent="0.3">
      <c r="R5561" t="s">
        <v>4491</v>
      </c>
    </row>
    <row r="5562" spans="18:18" x14ac:dyDescent="0.3">
      <c r="R5562" t="s">
        <v>172</v>
      </c>
    </row>
    <row r="5563" spans="18:18" x14ac:dyDescent="0.3">
      <c r="R5563" t="s">
        <v>4492</v>
      </c>
    </row>
    <row r="5564" spans="18:18" x14ac:dyDescent="0.3">
      <c r="R5564" t="s">
        <v>4493</v>
      </c>
    </row>
    <row r="5565" spans="18:18" x14ac:dyDescent="0.3">
      <c r="R5565" t="s">
        <v>1699</v>
      </c>
    </row>
    <row r="5566" spans="18:18" x14ac:dyDescent="0.3">
      <c r="R5566" t="s">
        <v>394</v>
      </c>
    </row>
    <row r="5567" spans="18:18" x14ac:dyDescent="0.3">
      <c r="R5567" t="s">
        <v>2256</v>
      </c>
    </row>
    <row r="5568" spans="18:18" x14ac:dyDescent="0.3">
      <c r="R5568" t="s">
        <v>1532</v>
      </c>
    </row>
    <row r="5569" spans="18:18" x14ac:dyDescent="0.3">
      <c r="R5569" t="s">
        <v>3870</v>
      </c>
    </row>
    <row r="5570" spans="18:18" x14ac:dyDescent="0.3">
      <c r="R5570" t="s">
        <v>762</v>
      </c>
    </row>
    <row r="5571" spans="18:18" x14ac:dyDescent="0.3">
      <c r="R5571" t="s">
        <v>4494</v>
      </c>
    </row>
  </sheetData>
  <sortState xmlns:xlrd2="http://schemas.microsoft.com/office/spreadsheetml/2017/richdata2" ref="R2:R5571">
    <sortCondition ref="R2:R5571"/>
  </sortState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E671B0-B44C-4499-AC96-4E1CE74C725E}">
  <sheetPr codeName="Planilha11"/>
  <dimension ref="A1:S5571"/>
  <sheetViews>
    <sheetView showGridLines="0" workbookViewId="0">
      <selection activeCell="I14" sqref="I14"/>
    </sheetView>
  </sheetViews>
  <sheetFormatPr defaultRowHeight="14.4" x14ac:dyDescent="0.3"/>
  <cols>
    <col min="1" max="1" width="17.109375" customWidth="1"/>
    <col min="2" max="2" width="1" customWidth="1"/>
    <col min="3" max="3" width="20.88671875" customWidth="1"/>
    <col min="4" max="4" width="1" customWidth="1"/>
    <col min="5" max="5" width="19.44140625" bestFit="1" customWidth="1"/>
    <col min="6" max="6" width="1" customWidth="1"/>
    <col min="7" max="7" width="35.88671875" bestFit="1" customWidth="1"/>
    <col min="8" max="8" width="1" customWidth="1"/>
    <col min="9" max="9" width="26.21875" bestFit="1" customWidth="1"/>
    <col min="10" max="10" width="1" customWidth="1"/>
    <col min="11" max="11" width="30" bestFit="1" customWidth="1"/>
    <col min="12" max="12" width="1" customWidth="1"/>
    <col min="13" max="13" width="21.5546875" bestFit="1" customWidth="1"/>
    <col min="14" max="14" width="1" customWidth="1"/>
    <col min="15" max="15" width="13.88671875" bestFit="1" customWidth="1"/>
    <col min="16" max="16" width="0.88671875" customWidth="1"/>
    <col min="17" max="17" width="14.21875" bestFit="1" customWidth="1"/>
    <col min="18" max="18" width="0.88671875" customWidth="1"/>
    <col min="19" max="19" width="33.33203125" bestFit="1" customWidth="1"/>
  </cols>
  <sheetData>
    <row r="1" spans="1:19" s="23" customFormat="1" x14ac:dyDescent="0.3">
      <c r="A1" s="22" t="s">
        <v>3</v>
      </c>
      <c r="C1" s="22" t="s">
        <v>12</v>
      </c>
      <c r="E1" s="22" t="s">
        <v>13</v>
      </c>
      <c r="G1" s="22" t="s">
        <v>33</v>
      </c>
      <c r="I1" s="22" t="s">
        <v>5481</v>
      </c>
      <c r="K1" s="22" t="s">
        <v>5482</v>
      </c>
      <c r="M1" s="22" t="s">
        <v>67</v>
      </c>
      <c r="O1" s="22" t="s">
        <v>11053</v>
      </c>
      <c r="Q1" s="22" t="s">
        <v>11060</v>
      </c>
      <c r="S1" s="22" t="s">
        <v>11061</v>
      </c>
    </row>
    <row r="2" spans="1:19" x14ac:dyDescent="0.3">
      <c r="A2" t="s">
        <v>5</v>
      </c>
      <c r="C2" t="s">
        <v>19</v>
      </c>
      <c r="E2" t="s">
        <v>27</v>
      </c>
      <c r="G2" t="s">
        <v>11066</v>
      </c>
      <c r="I2" t="s">
        <v>11078</v>
      </c>
      <c r="K2" t="s">
        <v>10806</v>
      </c>
      <c r="M2" t="s">
        <v>11097</v>
      </c>
      <c r="O2" t="s">
        <v>11054</v>
      </c>
      <c r="Q2" t="s">
        <v>11112</v>
      </c>
      <c r="S2" t="s">
        <v>11119</v>
      </c>
    </row>
    <row r="3" spans="1:19" x14ac:dyDescent="0.3">
      <c r="A3" t="s">
        <v>6</v>
      </c>
      <c r="C3" t="s">
        <v>20</v>
      </c>
      <c r="E3" t="s">
        <v>28</v>
      </c>
      <c r="G3" t="s">
        <v>38</v>
      </c>
      <c r="I3" t="s">
        <v>11082</v>
      </c>
      <c r="K3" t="s">
        <v>7727</v>
      </c>
      <c r="M3" t="s">
        <v>11101</v>
      </c>
      <c r="O3" t="s">
        <v>11055</v>
      </c>
      <c r="Q3" t="s">
        <v>11113</v>
      </c>
      <c r="S3" t="s">
        <v>11062</v>
      </c>
    </row>
    <row r="4" spans="1:19" x14ac:dyDescent="0.3">
      <c r="A4" t="s">
        <v>7</v>
      </c>
      <c r="C4" t="s">
        <v>21</v>
      </c>
      <c r="E4" t="s">
        <v>29</v>
      </c>
      <c r="G4" t="s">
        <v>34</v>
      </c>
      <c r="I4" t="s">
        <v>11088</v>
      </c>
      <c r="K4" t="s">
        <v>10807</v>
      </c>
      <c r="M4" t="s">
        <v>11102</v>
      </c>
      <c r="O4" t="s">
        <v>11103</v>
      </c>
      <c r="Q4" t="s">
        <v>11116</v>
      </c>
      <c r="S4" t="s">
        <v>11118</v>
      </c>
    </row>
    <row r="5" spans="1:19" x14ac:dyDescent="0.3">
      <c r="A5" t="s">
        <v>8</v>
      </c>
      <c r="C5" t="s">
        <v>22</v>
      </c>
      <c r="E5" t="s">
        <v>30</v>
      </c>
      <c r="G5" t="s">
        <v>36</v>
      </c>
      <c r="I5" t="s">
        <v>11075</v>
      </c>
      <c r="K5" t="s">
        <v>7728</v>
      </c>
      <c r="M5" t="s">
        <v>11100</v>
      </c>
      <c r="O5" t="s">
        <v>11057</v>
      </c>
      <c r="Q5" t="s">
        <v>11109</v>
      </c>
      <c r="S5" t="s">
        <v>11063</v>
      </c>
    </row>
    <row r="6" spans="1:19" x14ac:dyDescent="0.3">
      <c r="A6" t="s">
        <v>9</v>
      </c>
      <c r="C6" t="s">
        <v>23</v>
      </c>
      <c r="E6" t="s">
        <v>31</v>
      </c>
      <c r="G6" t="s">
        <v>44</v>
      </c>
      <c r="I6" t="s">
        <v>11076</v>
      </c>
      <c r="K6" t="s">
        <v>5634</v>
      </c>
      <c r="M6" t="s">
        <v>73</v>
      </c>
      <c r="O6" t="s">
        <v>11056</v>
      </c>
      <c r="Q6" t="s">
        <v>11110</v>
      </c>
      <c r="S6" t="s">
        <v>11120</v>
      </c>
    </row>
    <row r="7" spans="1:19" x14ac:dyDescent="0.3">
      <c r="A7" t="s">
        <v>10</v>
      </c>
      <c r="C7" t="s">
        <v>24</v>
      </c>
      <c r="E7" t="s">
        <v>32</v>
      </c>
      <c r="G7" t="s">
        <v>11069</v>
      </c>
      <c r="I7" t="s">
        <v>11074</v>
      </c>
      <c r="K7" t="s">
        <v>6374</v>
      </c>
      <c r="M7" t="s">
        <v>11089</v>
      </c>
      <c r="O7" t="s">
        <v>11105</v>
      </c>
      <c r="Q7" t="s">
        <v>11117</v>
      </c>
    </row>
    <row r="8" spans="1:19" x14ac:dyDescent="0.3">
      <c r="C8" t="s">
        <v>25</v>
      </c>
      <c r="G8" t="s">
        <v>11068</v>
      </c>
      <c r="I8" t="s">
        <v>5463</v>
      </c>
      <c r="K8" t="s">
        <v>7310</v>
      </c>
      <c r="M8" t="s">
        <v>11094</v>
      </c>
      <c r="O8" t="s">
        <v>11108</v>
      </c>
      <c r="Q8" t="s">
        <v>11115</v>
      </c>
    </row>
    <row r="9" spans="1:19" x14ac:dyDescent="0.3">
      <c r="G9" t="s">
        <v>11067</v>
      </c>
      <c r="I9" t="s">
        <v>11077</v>
      </c>
      <c r="K9" t="s">
        <v>7311</v>
      </c>
      <c r="M9" t="s">
        <v>11093</v>
      </c>
      <c r="O9" t="s">
        <v>11106</v>
      </c>
      <c r="Q9" t="s">
        <v>11114</v>
      </c>
    </row>
    <row r="10" spans="1:19" x14ac:dyDescent="0.3">
      <c r="G10" t="s">
        <v>11071</v>
      </c>
      <c r="I10" t="s">
        <v>11087</v>
      </c>
      <c r="K10" t="s">
        <v>9395</v>
      </c>
      <c r="M10" t="s">
        <v>11092</v>
      </c>
      <c r="O10" t="s">
        <v>11107</v>
      </c>
      <c r="Q10" t="s">
        <v>11111</v>
      </c>
    </row>
    <row r="11" spans="1:19" x14ac:dyDescent="0.3">
      <c r="G11" t="s">
        <v>41</v>
      </c>
      <c r="I11" t="s">
        <v>11086</v>
      </c>
      <c r="K11" t="s">
        <v>9794</v>
      </c>
      <c r="M11" t="s">
        <v>74</v>
      </c>
      <c r="O11" t="s">
        <v>11104</v>
      </c>
    </row>
    <row r="12" spans="1:19" x14ac:dyDescent="0.3">
      <c r="G12" t="s">
        <v>39</v>
      </c>
      <c r="I12" t="s">
        <v>11085</v>
      </c>
      <c r="K12" t="s">
        <v>5635</v>
      </c>
      <c r="M12" t="s">
        <v>75</v>
      </c>
    </row>
    <row r="13" spans="1:19" x14ac:dyDescent="0.3">
      <c r="G13" t="s">
        <v>35</v>
      </c>
      <c r="I13" t="s">
        <v>11081</v>
      </c>
      <c r="K13" t="s">
        <v>9795</v>
      </c>
      <c r="M13" t="s">
        <v>11091</v>
      </c>
    </row>
    <row r="14" spans="1:19" x14ac:dyDescent="0.3">
      <c r="G14" t="s">
        <v>37</v>
      </c>
      <c r="I14" t="s">
        <v>11079</v>
      </c>
      <c r="K14" t="s">
        <v>7729</v>
      </c>
      <c r="M14" t="s">
        <v>71</v>
      </c>
    </row>
    <row r="15" spans="1:19" x14ac:dyDescent="0.3">
      <c r="G15" t="s">
        <v>11070</v>
      </c>
      <c r="I15" t="s">
        <v>11072</v>
      </c>
      <c r="K15" t="s">
        <v>6948</v>
      </c>
      <c r="M15" t="s">
        <v>72</v>
      </c>
    </row>
    <row r="16" spans="1:19" x14ac:dyDescent="0.3">
      <c r="G16" t="s">
        <v>45</v>
      </c>
      <c r="I16" t="s">
        <v>11073</v>
      </c>
      <c r="K16" t="s">
        <v>5794</v>
      </c>
      <c r="M16" t="s">
        <v>11096</v>
      </c>
    </row>
    <row r="17" spans="7:13" x14ac:dyDescent="0.3">
      <c r="G17" t="s">
        <v>40</v>
      </c>
      <c r="I17" t="s">
        <v>5467</v>
      </c>
      <c r="K17" t="s">
        <v>7730</v>
      </c>
      <c r="M17" t="s">
        <v>11099</v>
      </c>
    </row>
    <row r="18" spans="7:13" x14ac:dyDescent="0.3">
      <c r="G18" t="s">
        <v>42</v>
      </c>
      <c r="I18" t="s">
        <v>11080</v>
      </c>
      <c r="K18" t="s">
        <v>5933</v>
      </c>
      <c r="M18" t="s">
        <v>11098</v>
      </c>
    </row>
    <row r="19" spans="7:13" x14ac:dyDescent="0.3">
      <c r="G19" t="s">
        <v>43</v>
      </c>
      <c r="I19" t="s">
        <v>11084</v>
      </c>
      <c r="K19" t="s">
        <v>7312</v>
      </c>
      <c r="M19" t="s">
        <v>69</v>
      </c>
    </row>
    <row r="20" spans="7:13" x14ac:dyDescent="0.3">
      <c r="I20" t="s">
        <v>11083</v>
      </c>
      <c r="K20" t="s">
        <v>5636</v>
      </c>
      <c r="M20" t="s">
        <v>11095</v>
      </c>
    </row>
    <row r="21" spans="7:13" x14ac:dyDescent="0.3">
      <c r="I21" t="s">
        <v>5464</v>
      </c>
      <c r="K21" t="s">
        <v>6375</v>
      </c>
      <c r="M21" t="s">
        <v>68</v>
      </c>
    </row>
    <row r="22" spans="7:13" x14ac:dyDescent="0.3">
      <c r="I22" t="s">
        <v>5465</v>
      </c>
      <c r="K22" t="s">
        <v>6376</v>
      </c>
      <c r="M22" t="s">
        <v>11090</v>
      </c>
    </row>
    <row r="23" spans="7:13" x14ac:dyDescent="0.3">
      <c r="K23" t="s">
        <v>6558</v>
      </c>
    </row>
    <row r="24" spans="7:13" x14ac:dyDescent="0.3">
      <c r="K24" t="s">
        <v>6150</v>
      </c>
    </row>
    <row r="25" spans="7:13" x14ac:dyDescent="0.3">
      <c r="K25" t="s">
        <v>10089</v>
      </c>
    </row>
    <row r="26" spans="7:13" x14ac:dyDescent="0.3">
      <c r="K26" t="s">
        <v>6377</v>
      </c>
    </row>
    <row r="27" spans="7:13" x14ac:dyDescent="0.3">
      <c r="K27" t="s">
        <v>10665</v>
      </c>
    </row>
    <row r="28" spans="7:13" x14ac:dyDescent="0.3">
      <c r="K28" t="s">
        <v>5535</v>
      </c>
    </row>
    <row r="29" spans="7:13" x14ac:dyDescent="0.3">
      <c r="K29" t="s">
        <v>10808</v>
      </c>
    </row>
    <row r="30" spans="7:13" x14ac:dyDescent="0.3">
      <c r="K30" t="s">
        <v>6559</v>
      </c>
    </row>
    <row r="31" spans="7:13" x14ac:dyDescent="0.3">
      <c r="K31" t="s">
        <v>7731</v>
      </c>
    </row>
    <row r="32" spans="7:13" x14ac:dyDescent="0.3">
      <c r="K32" t="s">
        <v>8750</v>
      </c>
    </row>
    <row r="33" spans="11:11" x14ac:dyDescent="0.3">
      <c r="K33" t="s">
        <v>10809</v>
      </c>
    </row>
    <row r="34" spans="11:11" x14ac:dyDescent="0.3">
      <c r="K34" t="s">
        <v>8751</v>
      </c>
    </row>
    <row r="35" spans="11:11" x14ac:dyDescent="0.3">
      <c r="K35" t="s">
        <v>9396</v>
      </c>
    </row>
    <row r="36" spans="11:11" x14ac:dyDescent="0.3">
      <c r="K36" t="s">
        <v>7313</v>
      </c>
    </row>
    <row r="37" spans="11:11" x14ac:dyDescent="0.3">
      <c r="K37" t="s">
        <v>6949</v>
      </c>
    </row>
    <row r="38" spans="11:11" x14ac:dyDescent="0.3">
      <c r="K38" t="s">
        <v>6560</v>
      </c>
    </row>
    <row r="39" spans="11:11" x14ac:dyDescent="0.3">
      <c r="K39" t="s">
        <v>8580</v>
      </c>
    </row>
    <row r="40" spans="11:11" x14ac:dyDescent="0.3">
      <c r="K40" t="s">
        <v>5934</v>
      </c>
    </row>
    <row r="41" spans="11:11" x14ac:dyDescent="0.3">
      <c r="K41" t="s">
        <v>6950</v>
      </c>
    </row>
    <row r="42" spans="11:11" x14ac:dyDescent="0.3">
      <c r="K42" t="s">
        <v>5637</v>
      </c>
    </row>
    <row r="43" spans="11:11" x14ac:dyDescent="0.3">
      <c r="K43" t="s">
        <v>6951</v>
      </c>
    </row>
    <row r="44" spans="11:11" x14ac:dyDescent="0.3">
      <c r="K44" t="s">
        <v>6151</v>
      </c>
    </row>
    <row r="45" spans="11:11" x14ac:dyDescent="0.3">
      <c r="K45" t="s">
        <v>9796</v>
      </c>
    </row>
    <row r="46" spans="11:11" x14ac:dyDescent="0.3">
      <c r="K46" t="s">
        <v>9797</v>
      </c>
    </row>
    <row r="47" spans="11:11" x14ac:dyDescent="0.3">
      <c r="K47" t="s">
        <v>5638</v>
      </c>
    </row>
    <row r="48" spans="11:11" x14ac:dyDescent="0.3">
      <c r="K48" t="s">
        <v>7732</v>
      </c>
    </row>
    <row r="49" spans="11:11" x14ac:dyDescent="0.3">
      <c r="K49" t="s">
        <v>10666</v>
      </c>
    </row>
    <row r="50" spans="11:11" x14ac:dyDescent="0.3">
      <c r="K50" t="s">
        <v>7133</v>
      </c>
    </row>
    <row r="51" spans="11:11" x14ac:dyDescent="0.3">
      <c r="K51" t="s">
        <v>6725</v>
      </c>
    </row>
    <row r="52" spans="11:11" x14ac:dyDescent="0.3">
      <c r="K52" t="s">
        <v>6152</v>
      </c>
    </row>
    <row r="53" spans="11:11" x14ac:dyDescent="0.3">
      <c r="K53" t="s">
        <v>10586</v>
      </c>
    </row>
    <row r="54" spans="11:11" x14ac:dyDescent="0.3">
      <c r="K54" t="s">
        <v>7733</v>
      </c>
    </row>
    <row r="55" spans="11:11" x14ac:dyDescent="0.3">
      <c r="K55" t="s">
        <v>5935</v>
      </c>
    </row>
    <row r="56" spans="11:11" x14ac:dyDescent="0.3">
      <c r="K56" t="s">
        <v>8582</v>
      </c>
    </row>
    <row r="57" spans="11:11" x14ac:dyDescent="0.3">
      <c r="K57" t="s">
        <v>9798</v>
      </c>
    </row>
    <row r="58" spans="11:11" x14ac:dyDescent="0.3">
      <c r="K58" t="s">
        <v>10810</v>
      </c>
    </row>
    <row r="59" spans="11:11" x14ac:dyDescent="0.3">
      <c r="K59" t="s">
        <v>7314</v>
      </c>
    </row>
    <row r="60" spans="11:11" x14ac:dyDescent="0.3">
      <c r="K60" t="s">
        <v>10811</v>
      </c>
    </row>
    <row r="61" spans="11:11" x14ac:dyDescent="0.3">
      <c r="K61" t="s">
        <v>6561</v>
      </c>
    </row>
    <row r="62" spans="11:11" x14ac:dyDescent="0.3">
      <c r="K62" t="s">
        <v>6952</v>
      </c>
    </row>
    <row r="63" spans="11:11" x14ac:dyDescent="0.3">
      <c r="K63" t="s">
        <v>10090</v>
      </c>
    </row>
    <row r="64" spans="11:11" x14ac:dyDescent="0.3">
      <c r="K64" t="s">
        <v>8752</v>
      </c>
    </row>
    <row r="65" spans="11:11" x14ac:dyDescent="0.3">
      <c r="K65" t="s">
        <v>7734</v>
      </c>
    </row>
    <row r="66" spans="11:11" x14ac:dyDescent="0.3">
      <c r="K66" t="s">
        <v>6953</v>
      </c>
    </row>
    <row r="67" spans="11:11" x14ac:dyDescent="0.3">
      <c r="K67" t="s">
        <v>8753</v>
      </c>
    </row>
    <row r="68" spans="11:11" x14ac:dyDescent="0.3">
      <c r="K68" t="s">
        <v>9799</v>
      </c>
    </row>
    <row r="69" spans="11:11" x14ac:dyDescent="0.3">
      <c r="K69" t="s">
        <v>8754</v>
      </c>
    </row>
    <row r="70" spans="11:11" x14ac:dyDescent="0.3">
      <c r="K70" t="s">
        <v>8755</v>
      </c>
    </row>
    <row r="71" spans="11:11" x14ac:dyDescent="0.3">
      <c r="K71" t="s">
        <v>8756</v>
      </c>
    </row>
    <row r="72" spans="11:11" x14ac:dyDescent="0.3">
      <c r="K72" t="s">
        <v>7735</v>
      </c>
    </row>
    <row r="73" spans="11:11" x14ac:dyDescent="0.3">
      <c r="K73" t="s">
        <v>9800</v>
      </c>
    </row>
    <row r="74" spans="11:11" x14ac:dyDescent="0.3">
      <c r="K74" t="s">
        <v>10812</v>
      </c>
    </row>
    <row r="75" spans="11:11" x14ac:dyDescent="0.3">
      <c r="K75" t="s">
        <v>9801</v>
      </c>
    </row>
    <row r="76" spans="11:11" x14ac:dyDescent="0.3">
      <c r="K76" t="s">
        <v>7736</v>
      </c>
    </row>
    <row r="77" spans="11:11" x14ac:dyDescent="0.3">
      <c r="K77" t="s">
        <v>10091</v>
      </c>
    </row>
    <row r="78" spans="11:11" x14ac:dyDescent="0.3">
      <c r="K78" t="s">
        <v>9397</v>
      </c>
    </row>
    <row r="79" spans="11:11" x14ac:dyDescent="0.3">
      <c r="K79" t="s">
        <v>8757</v>
      </c>
    </row>
    <row r="80" spans="11:11" x14ac:dyDescent="0.3">
      <c r="K80" t="s">
        <v>8581</v>
      </c>
    </row>
    <row r="81" spans="11:11" x14ac:dyDescent="0.3">
      <c r="K81" t="s">
        <v>6726</v>
      </c>
    </row>
    <row r="82" spans="11:11" x14ac:dyDescent="0.3">
      <c r="K82" t="s">
        <v>5795</v>
      </c>
    </row>
    <row r="83" spans="11:11" x14ac:dyDescent="0.3">
      <c r="K83" t="s">
        <v>7737</v>
      </c>
    </row>
    <row r="84" spans="11:11" x14ac:dyDescent="0.3">
      <c r="K84" t="s">
        <v>7316</v>
      </c>
    </row>
    <row r="85" spans="11:11" x14ac:dyDescent="0.3">
      <c r="K85" t="s">
        <v>6378</v>
      </c>
    </row>
    <row r="86" spans="11:11" x14ac:dyDescent="0.3">
      <c r="K86" t="s">
        <v>7738</v>
      </c>
    </row>
    <row r="87" spans="11:11" x14ac:dyDescent="0.3">
      <c r="K87" t="s">
        <v>10092</v>
      </c>
    </row>
    <row r="88" spans="11:11" x14ac:dyDescent="0.3">
      <c r="K88" t="s">
        <v>6727</v>
      </c>
    </row>
    <row r="89" spans="11:11" x14ac:dyDescent="0.3">
      <c r="K89" t="s">
        <v>6728</v>
      </c>
    </row>
    <row r="90" spans="11:11" x14ac:dyDescent="0.3">
      <c r="K90" t="s">
        <v>7739</v>
      </c>
    </row>
    <row r="91" spans="11:11" x14ac:dyDescent="0.3">
      <c r="K91" t="s">
        <v>6153</v>
      </c>
    </row>
    <row r="92" spans="11:11" x14ac:dyDescent="0.3">
      <c r="K92" t="s">
        <v>6729</v>
      </c>
    </row>
    <row r="93" spans="11:11" x14ac:dyDescent="0.3">
      <c r="K93" t="s">
        <v>6954</v>
      </c>
    </row>
    <row r="94" spans="11:11" x14ac:dyDescent="0.3">
      <c r="K94" t="s">
        <v>7317</v>
      </c>
    </row>
    <row r="95" spans="11:11" x14ac:dyDescent="0.3">
      <c r="K95" t="s">
        <v>8758</v>
      </c>
    </row>
    <row r="96" spans="11:11" x14ac:dyDescent="0.3">
      <c r="K96" t="s">
        <v>7740</v>
      </c>
    </row>
    <row r="97" spans="11:11" x14ac:dyDescent="0.3">
      <c r="K97" t="s">
        <v>5936</v>
      </c>
    </row>
    <row r="98" spans="11:11" x14ac:dyDescent="0.3">
      <c r="K98" t="s">
        <v>6379</v>
      </c>
    </row>
    <row r="99" spans="11:11" x14ac:dyDescent="0.3">
      <c r="K99" t="s">
        <v>6730</v>
      </c>
    </row>
    <row r="100" spans="11:11" x14ac:dyDescent="0.3">
      <c r="K100" t="s">
        <v>10587</v>
      </c>
    </row>
    <row r="101" spans="11:11" x14ac:dyDescent="0.3">
      <c r="K101" t="s">
        <v>7318</v>
      </c>
    </row>
    <row r="102" spans="11:11" x14ac:dyDescent="0.3">
      <c r="K102" t="s">
        <v>5937</v>
      </c>
    </row>
    <row r="103" spans="11:11" x14ac:dyDescent="0.3">
      <c r="K103" t="s">
        <v>10093</v>
      </c>
    </row>
    <row r="104" spans="11:11" x14ac:dyDescent="0.3">
      <c r="K104" t="s">
        <v>8583</v>
      </c>
    </row>
    <row r="105" spans="11:11" x14ac:dyDescent="0.3">
      <c r="K105" t="s">
        <v>6154</v>
      </c>
    </row>
    <row r="106" spans="11:11" x14ac:dyDescent="0.3">
      <c r="K106" t="s">
        <v>10094</v>
      </c>
    </row>
    <row r="107" spans="11:11" x14ac:dyDescent="0.3">
      <c r="K107" t="s">
        <v>10095</v>
      </c>
    </row>
    <row r="108" spans="11:11" x14ac:dyDescent="0.3">
      <c r="K108" t="s">
        <v>7741</v>
      </c>
    </row>
    <row r="109" spans="11:11" x14ac:dyDescent="0.3">
      <c r="K109" t="s">
        <v>5639</v>
      </c>
    </row>
    <row r="110" spans="11:11" x14ac:dyDescent="0.3">
      <c r="K110" t="s">
        <v>6562</v>
      </c>
    </row>
    <row r="111" spans="11:11" x14ac:dyDescent="0.3">
      <c r="K111" t="s">
        <v>10813</v>
      </c>
    </row>
    <row r="112" spans="11:11" x14ac:dyDescent="0.3">
      <c r="K112" t="s">
        <v>7742</v>
      </c>
    </row>
    <row r="113" spans="11:11" x14ac:dyDescent="0.3">
      <c r="K113" t="s">
        <v>8584</v>
      </c>
    </row>
    <row r="114" spans="11:11" x14ac:dyDescent="0.3">
      <c r="K114" t="s">
        <v>8759</v>
      </c>
    </row>
    <row r="115" spans="11:11" x14ac:dyDescent="0.3">
      <c r="K115" t="s">
        <v>7743</v>
      </c>
    </row>
    <row r="116" spans="11:11" x14ac:dyDescent="0.3">
      <c r="K116" t="s">
        <v>9802</v>
      </c>
    </row>
    <row r="117" spans="11:11" x14ac:dyDescent="0.3">
      <c r="K117" t="s">
        <v>6731</v>
      </c>
    </row>
    <row r="118" spans="11:11" x14ac:dyDescent="0.3">
      <c r="K118" t="s">
        <v>6732</v>
      </c>
    </row>
    <row r="119" spans="11:11" x14ac:dyDescent="0.3">
      <c r="K119" t="s">
        <v>5796</v>
      </c>
    </row>
    <row r="120" spans="11:11" x14ac:dyDescent="0.3">
      <c r="K120" t="s">
        <v>6955</v>
      </c>
    </row>
    <row r="121" spans="11:11" x14ac:dyDescent="0.3">
      <c r="K121" t="s">
        <v>7319</v>
      </c>
    </row>
    <row r="122" spans="11:11" x14ac:dyDescent="0.3">
      <c r="K122" t="s">
        <v>5797</v>
      </c>
    </row>
    <row r="123" spans="11:11" x14ac:dyDescent="0.3">
      <c r="K123" t="s">
        <v>5640</v>
      </c>
    </row>
    <row r="124" spans="11:11" x14ac:dyDescent="0.3">
      <c r="K124" t="s">
        <v>7744</v>
      </c>
    </row>
    <row r="125" spans="11:11" x14ac:dyDescent="0.3">
      <c r="K125" t="s">
        <v>6563</v>
      </c>
    </row>
    <row r="126" spans="11:11" x14ac:dyDescent="0.3">
      <c r="K126" t="s">
        <v>10096</v>
      </c>
    </row>
    <row r="127" spans="11:11" x14ac:dyDescent="0.3">
      <c r="K127" t="s">
        <v>9398</v>
      </c>
    </row>
    <row r="128" spans="11:11" x14ac:dyDescent="0.3">
      <c r="K128" t="s">
        <v>10814</v>
      </c>
    </row>
    <row r="129" spans="11:11" x14ac:dyDescent="0.3">
      <c r="K129" t="s">
        <v>7745</v>
      </c>
    </row>
    <row r="130" spans="11:11" x14ac:dyDescent="0.3">
      <c r="K130" t="s">
        <v>10097</v>
      </c>
    </row>
    <row r="131" spans="11:11" x14ac:dyDescent="0.3">
      <c r="K131" t="s">
        <v>7746</v>
      </c>
    </row>
    <row r="132" spans="11:11" x14ac:dyDescent="0.3">
      <c r="K132" t="s">
        <v>5483</v>
      </c>
    </row>
    <row r="133" spans="11:11" x14ac:dyDescent="0.3">
      <c r="K133" t="s">
        <v>10667</v>
      </c>
    </row>
    <row r="134" spans="11:11" x14ac:dyDescent="0.3">
      <c r="K134" t="s">
        <v>8760</v>
      </c>
    </row>
    <row r="135" spans="11:11" x14ac:dyDescent="0.3">
      <c r="K135" t="s">
        <v>5938</v>
      </c>
    </row>
    <row r="136" spans="11:11" x14ac:dyDescent="0.3">
      <c r="K136" t="s">
        <v>9399</v>
      </c>
    </row>
    <row r="137" spans="11:11" x14ac:dyDescent="0.3">
      <c r="K137" t="s">
        <v>5641</v>
      </c>
    </row>
    <row r="138" spans="11:11" x14ac:dyDescent="0.3">
      <c r="K138" t="s">
        <v>6380</v>
      </c>
    </row>
    <row r="139" spans="11:11" x14ac:dyDescent="0.3">
      <c r="K139" t="s">
        <v>7747</v>
      </c>
    </row>
    <row r="140" spans="11:11" x14ac:dyDescent="0.3">
      <c r="K140" t="s">
        <v>6956</v>
      </c>
    </row>
    <row r="141" spans="11:11" x14ac:dyDescent="0.3">
      <c r="K141" t="s">
        <v>8761</v>
      </c>
    </row>
    <row r="142" spans="11:11" x14ac:dyDescent="0.3">
      <c r="K142" t="s">
        <v>5939</v>
      </c>
    </row>
    <row r="143" spans="11:11" x14ac:dyDescent="0.3">
      <c r="K143" t="s">
        <v>5940</v>
      </c>
    </row>
    <row r="144" spans="11:11" x14ac:dyDescent="0.3">
      <c r="K144" t="s">
        <v>5508</v>
      </c>
    </row>
    <row r="145" spans="11:11" x14ac:dyDescent="0.3">
      <c r="K145" t="s">
        <v>5620</v>
      </c>
    </row>
    <row r="146" spans="11:11" x14ac:dyDescent="0.3">
      <c r="K146" t="s">
        <v>10098</v>
      </c>
    </row>
    <row r="147" spans="11:11" x14ac:dyDescent="0.3">
      <c r="K147" t="s">
        <v>8762</v>
      </c>
    </row>
    <row r="148" spans="11:11" x14ac:dyDescent="0.3">
      <c r="K148" t="s">
        <v>10668</v>
      </c>
    </row>
    <row r="149" spans="11:11" x14ac:dyDescent="0.3">
      <c r="K149" t="s">
        <v>9803</v>
      </c>
    </row>
    <row r="150" spans="11:11" x14ac:dyDescent="0.3">
      <c r="K150" t="s">
        <v>10669</v>
      </c>
    </row>
    <row r="151" spans="11:11" x14ac:dyDescent="0.3">
      <c r="K151" t="s">
        <v>7748</v>
      </c>
    </row>
    <row r="152" spans="11:11" x14ac:dyDescent="0.3">
      <c r="K152" t="s">
        <v>6564</v>
      </c>
    </row>
    <row r="153" spans="11:11" x14ac:dyDescent="0.3">
      <c r="K153" t="s">
        <v>10099</v>
      </c>
    </row>
    <row r="154" spans="11:11" x14ac:dyDescent="0.3">
      <c r="K154" t="s">
        <v>10670</v>
      </c>
    </row>
    <row r="155" spans="11:11" x14ac:dyDescent="0.3">
      <c r="K155" t="s">
        <v>10815</v>
      </c>
    </row>
    <row r="156" spans="11:11" x14ac:dyDescent="0.3">
      <c r="K156" t="s">
        <v>8350</v>
      </c>
    </row>
    <row r="157" spans="11:11" x14ac:dyDescent="0.3">
      <c r="K157" t="s">
        <v>6155</v>
      </c>
    </row>
    <row r="158" spans="11:11" x14ac:dyDescent="0.3">
      <c r="K158" t="s">
        <v>10671</v>
      </c>
    </row>
    <row r="159" spans="11:11" x14ac:dyDescent="0.3">
      <c r="K159" t="s">
        <v>10816</v>
      </c>
    </row>
    <row r="160" spans="11:11" x14ac:dyDescent="0.3">
      <c r="K160" t="s">
        <v>5509</v>
      </c>
    </row>
    <row r="161" spans="11:11" x14ac:dyDescent="0.3">
      <c r="K161" t="s">
        <v>9401</v>
      </c>
    </row>
    <row r="162" spans="11:11" x14ac:dyDescent="0.3">
      <c r="K162" t="s">
        <v>5941</v>
      </c>
    </row>
    <row r="163" spans="11:11" x14ac:dyDescent="0.3">
      <c r="K163" t="s">
        <v>9402</v>
      </c>
    </row>
    <row r="164" spans="11:11" x14ac:dyDescent="0.3">
      <c r="K164" t="s">
        <v>7749</v>
      </c>
    </row>
    <row r="165" spans="11:11" x14ac:dyDescent="0.3">
      <c r="K165" t="s">
        <v>8585</v>
      </c>
    </row>
    <row r="166" spans="11:11" x14ac:dyDescent="0.3">
      <c r="K166" t="s">
        <v>6381</v>
      </c>
    </row>
    <row r="167" spans="11:11" x14ac:dyDescent="0.3">
      <c r="K167" t="s">
        <v>10672</v>
      </c>
    </row>
    <row r="168" spans="11:11" x14ac:dyDescent="0.3">
      <c r="K168" t="s">
        <v>9400</v>
      </c>
    </row>
    <row r="169" spans="11:11" x14ac:dyDescent="0.3">
      <c r="K169" t="s">
        <v>6156</v>
      </c>
    </row>
    <row r="170" spans="11:11" x14ac:dyDescent="0.3">
      <c r="K170" t="s">
        <v>8763</v>
      </c>
    </row>
    <row r="171" spans="11:11" x14ac:dyDescent="0.3">
      <c r="K171" t="s">
        <v>5557</v>
      </c>
    </row>
    <row r="172" spans="11:11" x14ac:dyDescent="0.3">
      <c r="K172" t="s">
        <v>7750</v>
      </c>
    </row>
    <row r="173" spans="11:11" x14ac:dyDescent="0.3">
      <c r="K173" t="s">
        <v>8764</v>
      </c>
    </row>
    <row r="174" spans="11:11" x14ac:dyDescent="0.3">
      <c r="K174" t="s">
        <v>8765</v>
      </c>
    </row>
    <row r="175" spans="11:11" x14ac:dyDescent="0.3">
      <c r="K175" t="s">
        <v>8766</v>
      </c>
    </row>
    <row r="176" spans="11:11" x14ac:dyDescent="0.3">
      <c r="K176" t="s">
        <v>8767</v>
      </c>
    </row>
    <row r="177" spans="11:11" x14ac:dyDescent="0.3">
      <c r="K177" t="s">
        <v>7751</v>
      </c>
    </row>
    <row r="178" spans="11:11" x14ac:dyDescent="0.3">
      <c r="K178" t="s">
        <v>5507</v>
      </c>
    </row>
    <row r="179" spans="11:11" x14ac:dyDescent="0.3">
      <c r="K179" t="s">
        <v>7752</v>
      </c>
    </row>
    <row r="180" spans="11:11" x14ac:dyDescent="0.3">
      <c r="K180" t="s">
        <v>6157</v>
      </c>
    </row>
    <row r="181" spans="11:11" x14ac:dyDescent="0.3">
      <c r="K181" t="s">
        <v>10817</v>
      </c>
    </row>
    <row r="182" spans="11:11" x14ac:dyDescent="0.3">
      <c r="K182" t="s">
        <v>9403</v>
      </c>
    </row>
    <row r="183" spans="11:11" x14ac:dyDescent="0.3">
      <c r="K183" t="s">
        <v>10100</v>
      </c>
    </row>
    <row r="184" spans="11:11" x14ac:dyDescent="0.3">
      <c r="K184" t="s">
        <v>5798</v>
      </c>
    </row>
    <row r="185" spans="11:11" x14ac:dyDescent="0.3">
      <c r="K185" t="s">
        <v>5619</v>
      </c>
    </row>
    <row r="186" spans="11:11" x14ac:dyDescent="0.3">
      <c r="K186" t="s">
        <v>10588</v>
      </c>
    </row>
    <row r="187" spans="11:11" x14ac:dyDescent="0.3">
      <c r="K187" t="s">
        <v>5942</v>
      </c>
    </row>
    <row r="188" spans="11:11" x14ac:dyDescent="0.3">
      <c r="K188" t="s">
        <v>5779</v>
      </c>
    </row>
    <row r="189" spans="11:11" x14ac:dyDescent="0.3">
      <c r="K189" t="s">
        <v>9404</v>
      </c>
    </row>
    <row r="190" spans="11:11" x14ac:dyDescent="0.3">
      <c r="K190" t="s">
        <v>6957</v>
      </c>
    </row>
    <row r="191" spans="11:11" x14ac:dyDescent="0.3">
      <c r="K191" t="s">
        <v>10101</v>
      </c>
    </row>
    <row r="192" spans="11:11" x14ac:dyDescent="0.3">
      <c r="K192" t="s">
        <v>10818</v>
      </c>
    </row>
    <row r="193" spans="11:11" x14ac:dyDescent="0.3">
      <c r="K193" t="s">
        <v>5943</v>
      </c>
    </row>
    <row r="194" spans="11:11" x14ac:dyDescent="0.3">
      <c r="K194" t="s">
        <v>6158</v>
      </c>
    </row>
    <row r="195" spans="11:11" x14ac:dyDescent="0.3">
      <c r="K195" t="s">
        <v>7320</v>
      </c>
    </row>
    <row r="196" spans="11:11" x14ac:dyDescent="0.3">
      <c r="K196" t="s">
        <v>5558</v>
      </c>
    </row>
    <row r="197" spans="11:11" x14ac:dyDescent="0.3">
      <c r="K197" t="s">
        <v>7321</v>
      </c>
    </row>
    <row r="198" spans="11:11" x14ac:dyDescent="0.3">
      <c r="K198" t="s">
        <v>7322</v>
      </c>
    </row>
    <row r="199" spans="11:11" x14ac:dyDescent="0.3">
      <c r="K199" t="s">
        <v>8768</v>
      </c>
    </row>
    <row r="200" spans="11:11" x14ac:dyDescent="0.3">
      <c r="K200" t="s">
        <v>10819</v>
      </c>
    </row>
    <row r="201" spans="11:11" x14ac:dyDescent="0.3">
      <c r="K201" t="s">
        <v>8769</v>
      </c>
    </row>
    <row r="202" spans="11:11" x14ac:dyDescent="0.3">
      <c r="K202" t="s">
        <v>8770</v>
      </c>
    </row>
    <row r="203" spans="11:11" x14ac:dyDescent="0.3">
      <c r="K203" t="s">
        <v>10102</v>
      </c>
    </row>
    <row r="204" spans="11:11" x14ac:dyDescent="0.3">
      <c r="K204" t="s">
        <v>6382</v>
      </c>
    </row>
    <row r="205" spans="11:11" x14ac:dyDescent="0.3">
      <c r="K205" t="s">
        <v>10820</v>
      </c>
    </row>
    <row r="206" spans="11:11" x14ac:dyDescent="0.3">
      <c r="K206" t="s">
        <v>7235</v>
      </c>
    </row>
    <row r="207" spans="11:11" x14ac:dyDescent="0.3">
      <c r="K207" t="s">
        <v>7753</v>
      </c>
    </row>
    <row r="208" spans="11:11" x14ac:dyDescent="0.3">
      <c r="K208" t="s">
        <v>6734</v>
      </c>
    </row>
    <row r="209" spans="11:11" x14ac:dyDescent="0.3">
      <c r="K209" t="s">
        <v>8771</v>
      </c>
    </row>
    <row r="210" spans="11:11" x14ac:dyDescent="0.3">
      <c r="K210" t="s">
        <v>9405</v>
      </c>
    </row>
    <row r="211" spans="11:11" x14ac:dyDescent="0.3">
      <c r="K211" t="s">
        <v>7134</v>
      </c>
    </row>
    <row r="212" spans="11:11" x14ac:dyDescent="0.3">
      <c r="K212" t="s">
        <v>7323</v>
      </c>
    </row>
    <row r="213" spans="11:11" x14ac:dyDescent="0.3">
      <c r="K213" t="s">
        <v>9406</v>
      </c>
    </row>
    <row r="214" spans="11:11" x14ac:dyDescent="0.3">
      <c r="K214" t="s">
        <v>5642</v>
      </c>
    </row>
    <row r="215" spans="11:11" x14ac:dyDescent="0.3">
      <c r="K215" t="s">
        <v>5944</v>
      </c>
    </row>
    <row r="216" spans="11:11" x14ac:dyDescent="0.3">
      <c r="K216" t="s">
        <v>8772</v>
      </c>
    </row>
    <row r="217" spans="11:11" x14ac:dyDescent="0.3">
      <c r="K217" t="s">
        <v>5559</v>
      </c>
    </row>
    <row r="218" spans="11:11" x14ac:dyDescent="0.3">
      <c r="K218" t="s">
        <v>5799</v>
      </c>
    </row>
    <row r="219" spans="11:11" x14ac:dyDescent="0.3">
      <c r="K219" t="s">
        <v>5643</v>
      </c>
    </row>
    <row r="220" spans="11:11" x14ac:dyDescent="0.3">
      <c r="K220" t="s">
        <v>10821</v>
      </c>
    </row>
    <row r="221" spans="11:11" x14ac:dyDescent="0.3">
      <c r="K221" t="s">
        <v>5644</v>
      </c>
    </row>
    <row r="222" spans="11:11" x14ac:dyDescent="0.3">
      <c r="K222" t="s">
        <v>5945</v>
      </c>
    </row>
    <row r="223" spans="11:11" x14ac:dyDescent="0.3">
      <c r="K223" t="s">
        <v>10589</v>
      </c>
    </row>
    <row r="224" spans="11:11" x14ac:dyDescent="0.3">
      <c r="K224" t="s">
        <v>10590</v>
      </c>
    </row>
    <row r="225" spans="11:11" x14ac:dyDescent="0.3">
      <c r="K225" t="s">
        <v>8586</v>
      </c>
    </row>
    <row r="226" spans="11:11" x14ac:dyDescent="0.3">
      <c r="K226" t="s">
        <v>9804</v>
      </c>
    </row>
    <row r="227" spans="11:11" x14ac:dyDescent="0.3">
      <c r="K227" t="s">
        <v>7324</v>
      </c>
    </row>
    <row r="228" spans="11:11" x14ac:dyDescent="0.3">
      <c r="K228" t="s">
        <v>9407</v>
      </c>
    </row>
    <row r="229" spans="11:11" x14ac:dyDescent="0.3">
      <c r="K229" t="s">
        <v>7325</v>
      </c>
    </row>
    <row r="230" spans="11:11" x14ac:dyDescent="0.3">
      <c r="K230" t="s">
        <v>7754</v>
      </c>
    </row>
    <row r="231" spans="11:11" x14ac:dyDescent="0.3">
      <c r="K231" t="s">
        <v>8773</v>
      </c>
    </row>
    <row r="232" spans="11:11" x14ac:dyDescent="0.3">
      <c r="K232" t="s">
        <v>10103</v>
      </c>
    </row>
    <row r="233" spans="11:11" x14ac:dyDescent="0.3">
      <c r="K233" t="s">
        <v>7756</v>
      </c>
    </row>
    <row r="234" spans="11:11" x14ac:dyDescent="0.3">
      <c r="K234" t="s">
        <v>8774</v>
      </c>
    </row>
    <row r="235" spans="11:11" x14ac:dyDescent="0.3">
      <c r="K235" t="s">
        <v>7757</v>
      </c>
    </row>
    <row r="236" spans="11:11" x14ac:dyDescent="0.3">
      <c r="K236" t="s">
        <v>10591</v>
      </c>
    </row>
    <row r="237" spans="11:11" x14ac:dyDescent="0.3">
      <c r="K237" t="s">
        <v>6958</v>
      </c>
    </row>
    <row r="238" spans="11:11" x14ac:dyDescent="0.3">
      <c r="K238" t="s">
        <v>9805</v>
      </c>
    </row>
    <row r="239" spans="11:11" x14ac:dyDescent="0.3">
      <c r="K239" t="s">
        <v>6159</v>
      </c>
    </row>
    <row r="240" spans="11:11" x14ac:dyDescent="0.3">
      <c r="K240" t="s">
        <v>7326</v>
      </c>
    </row>
    <row r="241" spans="11:11" x14ac:dyDescent="0.3">
      <c r="K241" t="s">
        <v>5800</v>
      </c>
    </row>
    <row r="242" spans="11:11" x14ac:dyDescent="0.3">
      <c r="K242" t="s">
        <v>6565</v>
      </c>
    </row>
    <row r="243" spans="11:11" x14ac:dyDescent="0.3">
      <c r="K243" t="s">
        <v>8658</v>
      </c>
    </row>
    <row r="244" spans="11:11" x14ac:dyDescent="0.3">
      <c r="K244" t="s">
        <v>7327</v>
      </c>
    </row>
    <row r="245" spans="11:11" x14ac:dyDescent="0.3">
      <c r="K245" t="s">
        <v>9408</v>
      </c>
    </row>
    <row r="246" spans="11:11" x14ac:dyDescent="0.3">
      <c r="K246" t="s">
        <v>10822</v>
      </c>
    </row>
    <row r="247" spans="11:11" x14ac:dyDescent="0.3">
      <c r="K247" t="s">
        <v>8775</v>
      </c>
    </row>
    <row r="248" spans="11:11" x14ac:dyDescent="0.3">
      <c r="K248" t="s">
        <v>8776</v>
      </c>
    </row>
    <row r="249" spans="11:11" x14ac:dyDescent="0.3">
      <c r="K249" t="s">
        <v>10823</v>
      </c>
    </row>
    <row r="250" spans="11:11" x14ac:dyDescent="0.3">
      <c r="K250" t="s">
        <v>6160</v>
      </c>
    </row>
    <row r="251" spans="11:11" x14ac:dyDescent="0.3">
      <c r="K251" t="s">
        <v>9806</v>
      </c>
    </row>
    <row r="252" spans="11:11" x14ac:dyDescent="0.3">
      <c r="K252" t="s">
        <v>9807</v>
      </c>
    </row>
    <row r="253" spans="11:11" x14ac:dyDescent="0.3">
      <c r="K253" t="s">
        <v>5560</v>
      </c>
    </row>
    <row r="254" spans="11:11" x14ac:dyDescent="0.3">
      <c r="K254" t="s">
        <v>10104</v>
      </c>
    </row>
    <row r="255" spans="11:11" x14ac:dyDescent="0.3">
      <c r="K255" t="s">
        <v>7328</v>
      </c>
    </row>
    <row r="256" spans="11:11" x14ac:dyDescent="0.3">
      <c r="K256" t="s">
        <v>6383</v>
      </c>
    </row>
    <row r="257" spans="11:11" x14ac:dyDescent="0.3">
      <c r="K257" t="s">
        <v>9409</v>
      </c>
    </row>
    <row r="258" spans="11:11" x14ac:dyDescent="0.3">
      <c r="K258" t="s">
        <v>6161</v>
      </c>
    </row>
    <row r="259" spans="11:11" x14ac:dyDescent="0.3">
      <c r="K259" t="s">
        <v>7329</v>
      </c>
    </row>
    <row r="260" spans="11:11" x14ac:dyDescent="0.3">
      <c r="K260" t="s">
        <v>7758</v>
      </c>
    </row>
    <row r="261" spans="11:11" x14ac:dyDescent="0.3">
      <c r="K261" t="s">
        <v>9808</v>
      </c>
    </row>
    <row r="262" spans="11:11" x14ac:dyDescent="0.3">
      <c r="K262" t="s">
        <v>7759</v>
      </c>
    </row>
    <row r="263" spans="11:11" x14ac:dyDescent="0.3">
      <c r="K263" t="s">
        <v>7330</v>
      </c>
    </row>
    <row r="264" spans="11:11" x14ac:dyDescent="0.3">
      <c r="K264" t="s">
        <v>10592</v>
      </c>
    </row>
    <row r="265" spans="11:11" x14ac:dyDescent="0.3">
      <c r="K265" t="s">
        <v>6566</v>
      </c>
    </row>
    <row r="266" spans="11:11" x14ac:dyDescent="0.3">
      <c r="K266" t="s">
        <v>9410</v>
      </c>
    </row>
    <row r="267" spans="11:11" x14ac:dyDescent="0.3">
      <c r="K267" t="s">
        <v>7760</v>
      </c>
    </row>
    <row r="268" spans="11:11" x14ac:dyDescent="0.3">
      <c r="K268" t="s">
        <v>10105</v>
      </c>
    </row>
    <row r="269" spans="11:11" x14ac:dyDescent="0.3">
      <c r="K269" t="s">
        <v>8778</v>
      </c>
    </row>
    <row r="270" spans="11:11" x14ac:dyDescent="0.3">
      <c r="K270" t="s">
        <v>10824</v>
      </c>
    </row>
    <row r="271" spans="11:11" x14ac:dyDescent="0.3">
      <c r="K271" t="s">
        <v>10825</v>
      </c>
    </row>
    <row r="272" spans="11:11" x14ac:dyDescent="0.3">
      <c r="K272" t="s">
        <v>5801</v>
      </c>
    </row>
    <row r="273" spans="11:11" x14ac:dyDescent="0.3">
      <c r="K273" t="s">
        <v>10593</v>
      </c>
    </row>
    <row r="274" spans="11:11" x14ac:dyDescent="0.3">
      <c r="K274" t="s">
        <v>6735</v>
      </c>
    </row>
    <row r="275" spans="11:11" x14ac:dyDescent="0.3">
      <c r="K275" t="s">
        <v>8777</v>
      </c>
    </row>
    <row r="276" spans="11:11" x14ac:dyDescent="0.3">
      <c r="K276" t="s">
        <v>8659</v>
      </c>
    </row>
    <row r="277" spans="11:11" x14ac:dyDescent="0.3">
      <c r="K277" t="s">
        <v>8587</v>
      </c>
    </row>
    <row r="278" spans="11:11" x14ac:dyDescent="0.3">
      <c r="K278" t="s">
        <v>10673</v>
      </c>
    </row>
    <row r="279" spans="11:11" x14ac:dyDescent="0.3">
      <c r="K279" t="s">
        <v>8779</v>
      </c>
    </row>
    <row r="280" spans="11:11" x14ac:dyDescent="0.3">
      <c r="K280" t="s">
        <v>5946</v>
      </c>
    </row>
    <row r="281" spans="11:11" x14ac:dyDescent="0.3">
      <c r="K281" t="s">
        <v>9809</v>
      </c>
    </row>
    <row r="282" spans="11:11" x14ac:dyDescent="0.3">
      <c r="K282" t="s">
        <v>6567</v>
      </c>
    </row>
    <row r="283" spans="11:11" x14ac:dyDescent="0.3">
      <c r="K283" t="s">
        <v>7331</v>
      </c>
    </row>
    <row r="284" spans="11:11" x14ac:dyDescent="0.3">
      <c r="K284" t="s">
        <v>10826</v>
      </c>
    </row>
    <row r="285" spans="11:11" x14ac:dyDescent="0.3">
      <c r="K285" t="s">
        <v>7332</v>
      </c>
    </row>
    <row r="286" spans="11:11" x14ac:dyDescent="0.3">
      <c r="K286" t="s">
        <v>9411</v>
      </c>
    </row>
    <row r="287" spans="11:11" x14ac:dyDescent="0.3">
      <c r="K287" t="s">
        <v>5561</v>
      </c>
    </row>
    <row r="288" spans="11:11" x14ac:dyDescent="0.3">
      <c r="K288" t="s">
        <v>6384</v>
      </c>
    </row>
    <row r="289" spans="11:11" x14ac:dyDescent="0.3">
      <c r="K289" t="s">
        <v>7236</v>
      </c>
    </row>
    <row r="290" spans="11:11" x14ac:dyDescent="0.3">
      <c r="K290" t="s">
        <v>10594</v>
      </c>
    </row>
    <row r="291" spans="11:11" x14ac:dyDescent="0.3">
      <c r="K291" t="s">
        <v>6385</v>
      </c>
    </row>
    <row r="292" spans="11:11" x14ac:dyDescent="0.3">
      <c r="K292" t="s">
        <v>9810</v>
      </c>
    </row>
    <row r="293" spans="11:11" x14ac:dyDescent="0.3">
      <c r="K293" t="s">
        <v>6736</v>
      </c>
    </row>
    <row r="294" spans="11:11" x14ac:dyDescent="0.3">
      <c r="K294" t="s">
        <v>7761</v>
      </c>
    </row>
    <row r="295" spans="11:11" x14ac:dyDescent="0.3">
      <c r="K295" t="s">
        <v>7237</v>
      </c>
    </row>
    <row r="296" spans="11:11" x14ac:dyDescent="0.3">
      <c r="K296" t="s">
        <v>8780</v>
      </c>
    </row>
    <row r="297" spans="11:11" x14ac:dyDescent="0.3">
      <c r="K297" t="s">
        <v>7334</v>
      </c>
    </row>
    <row r="298" spans="11:11" x14ac:dyDescent="0.3">
      <c r="K298" t="s">
        <v>6386</v>
      </c>
    </row>
    <row r="299" spans="11:11" x14ac:dyDescent="0.3">
      <c r="K299" t="s">
        <v>7333</v>
      </c>
    </row>
    <row r="300" spans="11:11" x14ac:dyDescent="0.3">
      <c r="K300" t="s">
        <v>8781</v>
      </c>
    </row>
    <row r="301" spans="11:11" x14ac:dyDescent="0.3">
      <c r="K301" t="s">
        <v>7335</v>
      </c>
    </row>
    <row r="302" spans="11:11" x14ac:dyDescent="0.3">
      <c r="K302" t="s">
        <v>7762</v>
      </c>
    </row>
    <row r="303" spans="11:11" x14ac:dyDescent="0.3">
      <c r="K303" t="s">
        <v>8782</v>
      </c>
    </row>
    <row r="304" spans="11:11" x14ac:dyDescent="0.3">
      <c r="K304" t="s">
        <v>6387</v>
      </c>
    </row>
    <row r="305" spans="11:11" x14ac:dyDescent="0.3">
      <c r="K305" t="s">
        <v>6959</v>
      </c>
    </row>
    <row r="306" spans="11:11" x14ac:dyDescent="0.3">
      <c r="K306" t="s">
        <v>8588</v>
      </c>
    </row>
    <row r="307" spans="11:11" x14ac:dyDescent="0.3">
      <c r="K307" t="s">
        <v>10827</v>
      </c>
    </row>
    <row r="308" spans="11:11" x14ac:dyDescent="0.3">
      <c r="K308" t="s">
        <v>7763</v>
      </c>
    </row>
    <row r="309" spans="11:11" x14ac:dyDescent="0.3">
      <c r="K309" t="s">
        <v>10828</v>
      </c>
    </row>
    <row r="310" spans="11:11" x14ac:dyDescent="0.3">
      <c r="K310" t="s">
        <v>10829</v>
      </c>
    </row>
    <row r="311" spans="11:11" x14ac:dyDescent="0.3">
      <c r="K311" t="s">
        <v>5802</v>
      </c>
    </row>
    <row r="312" spans="11:11" x14ac:dyDescent="0.3">
      <c r="K312" t="s">
        <v>5803</v>
      </c>
    </row>
    <row r="313" spans="11:11" x14ac:dyDescent="0.3">
      <c r="K313" t="s">
        <v>5804</v>
      </c>
    </row>
    <row r="314" spans="11:11" x14ac:dyDescent="0.3">
      <c r="K314" t="s">
        <v>10674</v>
      </c>
    </row>
    <row r="315" spans="11:11" x14ac:dyDescent="0.3">
      <c r="K315" t="s">
        <v>5805</v>
      </c>
    </row>
    <row r="316" spans="11:11" x14ac:dyDescent="0.3">
      <c r="K316" t="s">
        <v>10675</v>
      </c>
    </row>
    <row r="317" spans="11:11" x14ac:dyDescent="0.3">
      <c r="K317" t="s">
        <v>5947</v>
      </c>
    </row>
    <row r="318" spans="11:11" x14ac:dyDescent="0.3">
      <c r="K318" t="s">
        <v>5806</v>
      </c>
    </row>
    <row r="319" spans="11:11" x14ac:dyDescent="0.3">
      <c r="K319" t="s">
        <v>10830</v>
      </c>
    </row>
    <row r="320" spans="11:11" x14ac:dyDescent="0.3">
      <c r="K320" t="s">
        <v>7764</v>
      </c>
    </row>
    <row r="321" spans="11:11" x14ac:dyDescent="0.3">
      <c r="K321" t="s">
        <v>5807</v>
      </c>
    </row>
    <row r="322" spans="11:11" x14ac:dyDescent="0.3">
      <c r="K322" t="s">
        <v>5948</v>
      </c>
    </row>
    <row r="323" spans="11:11" x14ac:dyDescent="0.3">
      <c r="K323" t="s">
        <v>10595</v>
      </c>
    </row>
    <row r="324" spans="11:11" x14ac:dyDescent="0.3">
      <c r="K324" t="s">
        <v>7336</v>
      </c>
    </row>
    <row r="325" spans="11:11" x14ac:dyDescent="0.3">
      <c r="K325" t="s">
        <v>10106</v>
      </c>
    </row>
    <row r="326" spans="11:11" x14ac:dyDescent="0.3">
      <c r="K326" t="s">
        <v>5949</v>
      </c>
    </row>
    <row r="327" spans="11:11" x14ac:dyDescent="0.3">
      <c r="K327" t="s">
        <v>8783</v>
      </c>
    </row>
    <row r="328" spans="11:11" x14ac:dyDescent="0.3">
      <c r="K328" t="s">
        <v>8784</v>
      </c>
    </row>
    <row r="329" spans="11:11" x14ac:dyDescent="0.3">
      <c r="K329" t="s">
        <v>7765</v>
      </c>
    </row>
    <row r="330" spans="11:11" x14ac:dyDescent="0.3">
      <c r="K330" t="s">
        <v>8785</v>
      </c>
    </row>
    <row r="331" spans="11:11" x14ac:dyDescent="0.3">
      <c r="K331" t="s">
        <v>7135</v>
      </c>
    </row>
    <row r="332" spans="11:11" x14ac:dyDescent="0.3">
      <c r="K332" t="s">
        <v>5808</v>
      </c>
    </row>
    <row r="333" spans="11:11" x14ac:dyDescent="0.3">
      <c r="K333" t="s">
        <v>7766</v>
      </c>
    </row>
    <row r="334" spans="11:11" x14ac:dyDescent="0.3">
      <c r="K334" t="s">
        <v>9412</v>
      </c>
    </row>
    <row r="335" spans="11:11" x14ac:dyDescent="0.3">
      <c r="K335" t="s">
        <v>7767</v>
      </c>
    </row>
    <row r="336" spans="11:11" x14ac:dyDescent="0.3">
      <c r="K336" t="s">
        <v>9413</v>
      </c>
    </row>
    <row r="337" spans="11:11" x14ac:dyDescent="0.3">
      <c r="K337" t="s">
        <v>7768</v>
      </c>
    </row>
    <row r="338" spans="11:11" x14ac:dyDescent="0.3">
      <c r="K338" t="s">
        <v>9414</v>
      </c>
    </row>
    <row r="339" spans="11:11" x14ac:dyDescent="0.3">
      <c r="K339" t="s">
        <v>10676</v>
      </c>
    </row>
    <row r="340" spans="11:11" x14ac:dyDescent="0.3">
      <c r="K340" t="s">
        <v>9811</v>
      </c>
    </row>
    <row r="341" spans="11:11" x14ac:dyDescent="0.3">
      <c r="K341" t="s">
        <v>6737</v>
      </c>
    </row>
    <row r="342" spans="11:11" x14ac:dyDescent="0.3">
      <c r="K342" t="s">
        <v>9812</v>
      </c>
    </row>
    <row r="343" spans="11:11" x14ac:dyDescent="0.3">
      <c r="K343" t="s">
        <v>8786</v>
      </c>
    </row>
    <row r="344" spans="11:11" x14ac:dyDescent="0.3">
      <c r="K344" t="s">
        <v>8787</v>
      </c>
    </row>
    <row r="345" spans="11:11" x14ac:dyDescent="0.3">
      <c r="K345" t="s">
        <v>6388</v>
      </c>
    </row>
    <row r="346" spans="11:11" x14ac:dyDescent="0.3">
      <c r="K346" t="s">
        <v>5950</v>
      </c>
    </row>
    <row r="347" spans="11:11" x14ac:dyDescent="0.3">
      <c r="K347" t="s">
        <v>10107</v>
      </c>
    </row>
    <row r="348" spans="11:11" x14ac:dyDescent="0.3">
      <c r="K348" t="s">
        <v>6389</v>
      </c>
    </row>
    <row r="349" spans="11:11" x14ac:dyDescent="0.3">
      <c r="K349" t="s">
        <v>6960</v>
      </c>
    </row>
    <row r="350" spans="11:11" x14ac:dyDescent="0.3">
      <c r="K350" t="s">
        <v>8660</v>
      </c>
    </row>
    <row r="351" spans="11:11" x14ac:dyDescent="0.3">
      <c r="K351" t="s">
        <v>6738</v>
      </c>
    </row>
    <row r="352" spans="11:11" x14ac:dyDescent="0.3">
      <c r="K352" t="s">
        <v>9415</v>
      </c>
    </row>
    <row r="353" spans="11:11" x14ac:dyDescent="0.3">
      <c r="K353" t="s">
        <v>7337</v>
      </c>
    </row>
    <row r="354" spans="11:11" x14ac:dyDescent="0.3">
      <c r="K354" t="s">
        <v>10108</v>
      </c>
    </row>
    <row r="355" spans="11:11" x14ac:dyDescent="0.3">
      <c r="K355" t="s">
        <v>6390</v>
      </c>
    </row>
    <row r="356" spans="11:11" x14ac:dyDescent="0.3">
      <c r="K356" t="s">
        <v>7338</v>
      </c>
    </row>
    <row r="357" spans="11:11" x14ac:dyDescent="0.3">
      <c r="K357" t="s">
        <v>7238</v>
      </c>
    </row>
    <row r="358" spans="11:11" x14ac:dyDescent="0.3">
      <c r="K358" t="s">
        <v>9416</v>
      </c>
    </row>
    <row r="359" spans="11:11" x14ac:dyDescent="0.3">
      <c r="K359" t="s">
        <v>7769</v>
      </c>
    </row>
    <row r="360" spans="11:11" x14ac:dyDescent="0.3">
      <c r="K360" t="s">
        <v>7770</v>
      </c>
    </row>
    <row r="361" spans="11:11" x14ac:dyDescent="0.3">
      <c r="K361" t="s">
        <v>7771</v>
      </c>
    </row>
    <row r="362" spans="11:11" x14ac:dyDescent="0.3">
      <c r="K362" t="s">
        <v>8788</v>
      </c>
    </row>
    <row r="363" spans="11:11" x14ac:dyDescent="0.3">
      <c r="K363" t="s">
        <v>7772</v>
      </c>
    </row>
    <row r="364" spans="11:11" x14ac:dyDescent="0.3">
      <c r="K364" t="s">
        <v>6961</v>
      </c>
    </row>
    <row r="365" spans="11:11" x14ac:dyDescent="0.3">
      <c r="K365" t="s">
        <v>7773</v>
      </c>
    </row>
    <row r="366" spans="11:11" x14ac:dyDescent="0.3">
      <c r="K366" t="s">
        <v>8661</v>
      </c>
    </row>
    <row r="367" spans="11:11" x14ac:dyDescent="0.3">
      <c r="K367" t="s">
        <v>8789</v>
      </c>
    </row>
    <row r="368" spans="11:11" x14ac:dyDescent="0.3">
      <c r="K368" t="s">
        <v>6568</v>
      </c>
    </row>
    <row r="369" spans="11:11" x14ac:dyDescent="0.3">
      <c r="K369" t="s">
        <v>7239</v>
      </c>
    </row>
    <row r="370" spans="11:11" x14ac:dyDescent="0.3">
      <c r="K370" t="s">
        <v>6740</v>
      </c>
    </row>
    <row r="371" spans="11:11" x14ac:dyDescent="0.3">
      <c r="K371" t="s">
        <v>6739</v>
      </c>
    </row>
    <row r="372" spans="11:11" x14ac:dyDescent="0.3">
      <c r="K372" t="s">
        <v>6741</v>
      </c>
    </row>
    <row r="373" spans="11:11" x14ac:dyDescent="0.3">
      <c r="K373" t="s">
        <v>8790</v>
      </c>
    </row>
    <row r="374" spans="11:11" x14ac:dyDescent="0.3">
      <c r="K374" t="s">
        <v>8791</v>
      </c>
    </row>
    <row r="375" spans="11:11" x14ac:dyDescent="0.3">
      <c r="K375" t="s">
        <v>10677</v>
      </c>
    </row>
    <row r="376" spans="11:11" x14ac:dyDescent="0.3">
      <c r="K376" t="s">
        <v>10831</v>
      </c>
    </row>
    <row r="377" spans="11:11" x14ac:dyDescent="0.3">
      <c r="K377" t="s">
        <v>6569</v>
      </c>
    </row>
    <row r="378" spans="11:11" x14ac:dyDescent="0.3">
      <c r="K378" t="s">
        <v>7774</v>
      </c>
    </row>
    <row r="379" spans="11:11" x14ac:dyDescent="0.3">
      <c r="K379" t="s">
        <v>7775</v>
      </c>
    </row>
    <row r="380" spans="11:11" x14ac:dyDescent="0.3">
      <c r="K380" t="s">
        <v>7776</v>
      </c>
    </row>
    <row r="381" spans="11:11" x14ac:dyDescent="0.3">
      <c r="K381" t="s">
        <v>10678</v>
      </c>
    </row>
    <row r="382" spans="11:11" x14ac:dyDescent="0.3">
      <c r="K382" t="s">
        <v>5484</v>
      </c>
    </row>
    <row r="383" spans="11:11" x14ac:dyDescent="0.3">
      <c r="K383" t="s">
        <v>9417</v>
      </c>
    </row>
    <row r="384" spans="11:11" x14ac:dyDescent="0.3">
      <c r="K384" t="s">
        <v>8792</v>
      </c>
    </row>
    <row r="385" spans="11:11" x14ac:dyDescent="0.3">
      <c r="K385" t="s">
        <v>8662</v>
      </c>
    </row>
    <row r="386" spans="11:11" x14ac:dyDescent="0.3">
      <c r="K386" t="s">
        <v>9813</v>
      </c>
    </row>
    <row r="387" spans="11:11" x14ac:dyDescent="0.3">
      <c r="K387" t="s">
        <v>6391</v>
      </c>
    </row>
    <row r="388" spans="11:11" x14ac:dyDescent="0.3">
      <c r="K388" t="s">
        <v>6162</v>
      </c>
    </row>
    <row r="389" spans="11:11" x14ac:dyDescent="0.3">
      <c r="K389" t="s">
        <v>6163</v>
      </c>
    </row>
    <row r="390" spans="11:11" x14ac:dyDescent="0.3">
      <c r="K390" t="s">
        <v>6742</v>
      </c>
    </row>
    <row r="391" spans="11:11" x14ac:dyDescent="0.3">
      <c r="K391" t="s">
        <v>8663</v>
      </c>
    </row>
    <row r="392" spans="11:11" x14ac:dyDescent="0.3">
      <c r="K392" t="s">
        <v>6164</v>
      </c>
    </row>
    <row r="393" spans="11:11" x14ac:dyDescent="0.3">
      <c r="K393" t="s">
        <v>5809</v>
      </c>
    </row>
    <row r="394" spans="11:11" x14ac:dyDescent="0.3">
      <c r="K394" t="s">
        <v>10109</v>
      </c>
    </row>
    <row r="395" spans="11:11" x14ac:dyDescent="0.3">
      <c r="K395" t="s">
        <v>10111</v>
      </c>
    </row>
    <row r="396" spans="11:11" x14ac:dyDescent="0.3">
      <c r="K396" t="s">
        <v>10110</v>
      </c>
    </row>
    <row r="397" spans="11:11" x14ac:dyDescent="0.3">
      <c r="K397" t="s">
        <v>10113</v>
      </c>
    </row>
    <row r="398" spans="11:11" x14ac:dyDescent="0.3">
      <c r="K398" t="s">
        <v>10112</v>
      </c>
    </row>
    <row r="399" spans="11:11" x14ac:dyDescent="0.3">
      <c r="K399" t="s">
        <v>10114</v>
      </c>
    </row>
    <row r="400" spans="11:11" x14ac:dyDescent="0.3">
      <c r="K400" t="s">
        <v>9814</v>
      </c>
    </row>
    <row r="401" spans="11:11" x14ac:dyDescent="0.3">
      <c r="K401" t="s">
        <v>8793</v>
      </c>
    </row>
    <row r="402" spans="11:11" x14ac:dyDescent="0.3">
      <c r="K402" t="s">
        <v>10832</v>
      </c>
    </row>
    <row r="403" spans="11:11" x14ac:dyDescent="0.3">
      <c r="K403" t="s">
        <v>8794</v>
      </c>
    </row>
    <row r="404" spans="11:11" x14ac:dyDescent="0.3">
      <c r="K404" t="s">
        <v>9815</v>
      </c>
    </row>
    <row r="405" spans="11:11" x14ac:dyDescent="0.3">
      <c r="K405" t="s">
        <v>10115</v>
      </c>
    </row>
    <row r="406" spans="11:11" x14ac:dyDescent="0.3">
      <c r="K406" t="s">
        <v>9816</v>
      </c>
    </row>
    <row r="407" spans="11:11" x14ac:dyDescent="0.3">
      <c r="K407" t="s">
        <v>8795</v>
      </c>
    </row>
    <row r="408" spans="11:11" x14ac:dyDescent="0.3">
      <c r="K408" t="s">
        <v>9418</v>
      </c>
    </row>
    <row r="409" spans="11:11" x14ac:dyDescent="0.3">
      <c r="K409" t="s">
        <v>6392</v>
      </c>
    </row>
    <row r="410" spans="11:11" x14ac:dyDescent="0.3">
      <c r="K410" t="s">
        <v>5536</v>
      </c>
    </row>
    <row r="411" spans="11:11" x14ac:dyDescent="0.3">
      <c r="K411" t="s">
        <v>9419</v>
      </c>
    </row>
    <row r="412" spans="11:11" x14ac:dyDescent="0.3">
      <c r="K412" t="s">
        <v>8796</v>
      </c>
    </row>
    <row r="413" spans="11:11" x14ac:dyDescent="0.3">
      <c r="K413" t="s">
        <v>6165</v>
      </c>
    </row>
    <row r="414" spans="11:11" x14ac:dyDescent="0.3">
      <c r="K414" t="s">
        <v>6743</v>
      </c>
    </row>
    <row r="415" spans="11:11" x14ac:dyDescent="0.3">
      <c r="K415" t="s">
        <v>7777</v>
      </c>
    </row>
    <row r="416" spans="11:11" x14ac:dyDescent="0.3">
      <c r="K416" t="s">
        <v>9420</v>
      </c>
    </row>
    <row r="417" spans="11:11" x14ac:dyDescent="0.3">
      <c r="K417" t="s">
        <v>5562</v>
      </c>
    </row>
    <row r="418" spans="11:11" x14ac:dyDescent="0.3">
      <c r="K418" t="s">
        <v>7136</v>
      </c>
    </row>
    <row r="419" spans="11:11" x14ac:dyDescent="0.3">
      <c r="K419" t="s">
        <v>9421</v>
      </c>
    </row>
    <row r="420" spans="11:11" x14ac:dyDescent="0.3">
      <c r="K420" t="s">
        <v>9817</v>
      </c>
    </row>
    <row r="421" spans="11:11" x14ac:dyDescent="0.3">
      <c r="K421" t="s">
        <v>7778</v>
      </c>
    </row>
    <row r="422" spans="11:11" x14ac:dyDescent="0.3">
      <c r="K422" t="s">
        <v>8797</v>
      </c>
    </row>
    <row r="423" spans="11:11" x14ac:dyDescent="0.3">
      <c r="K423" t="s">
        <v>8589</v>
      </c>
    </row>
    <row r="424" spans="11:11" x14ac:dyDescent="0.3">
      <c r="K424" t="s">
        <v>5810</v>
      </c>
    </row>
    <row r="425" spans="11:11" x14ac:dyDescent="0.3">
      <c r="K425" t="s">
        <v>5645</v>
      </c>
    </row>
    <row r="426" spans="11:11" x14ac:dyDescent="0.3">
      <c r="K426" t="s">
        <v>7779</v>
      </c>
    </row>
    <row r="427" spans="11:11" x14ac:dyDescent="0.3">
      <c r="K427" t="s">
        <v>10116</v>
      </c>
    </row>
    <row r="428" spans="11:11" x14ac:dyDescent="0.3">
      <c r="K428" t="s">
        <v>6570</v>
      </c>
    </row>
    <row r="429" spans="11:11" x14ac:dyDescent="0.3">
      <c r="K429" t="s">
        <v>10117</v>
      </c>
    </row>
    <row r="430" spans="11:11" x14ac:dyDescent="0.3">
      <c r="K430" t="s">
        <v>7339</v>
      </c>
    </row>
    <row r="431" spans="11:11" x14ac:dyDescent="0.3">
      <c r="K431" t="s">
        <v>8798</v>
      </c>
    </row>
    <row r="432" spans="11:11" x14ac:dyDescent="0.3">
      <c r="K432" t="s">
        <v>10833</v>
      </c>
    </row>
    <row r="433" spans="11:11" x14ac:dyDescent="0.3">
      <c r="K433" t="s">
        <v>5646</v>
      </c>
    </row>
    <row r="434" spans="11:11" x14ac:dyDescent="0.3">
      <c r="K434" t="s">
        <v>5811</v>
      </c>
    </row>
    <row r="435" spans="11:11" x14ac:dyDescent="0.3">
      <c r="K435" t="s">
        <v>6393</v>
      </c>
    </row>
    <row r="436" spans="11:11" x14ac:dyDescent="0.3">
      <c r="K436" t="s">
        <v>9818</v>
      </c>
    </row>
    <row r="437" spans="11:11" x14ac:dyDescent="0.3">
      <c r="K437" t="s">
        <v>5563</v>
      </c>
    </row>
    <row r="438" spans="11:11" x14ac:dyDescent="0.3">
      <c r="K438" t="s">
        <v>8799</v>
      </c>
    </row>
    <row r="439" spans="11:11" x14ac:dyDescent="0.3">
      <c r="K439" t="s">
        <v>8800</v>
      </c>
    </row>
    <row r="440" spans="11:11" x14ac:dyDescent="0.3">
      <c r="K440" t="s">
        <v>8801</v>
      </c>
    </row>
    <row r="441" spans="11:11" x14ac:dyDescent="0.3">
      <c r="K441" t="s">
        <v>5647</v>
      </c>
    </row>
    <row r="442" spans="11:11" x14ac:dyDescent="0.3">
      <c r="K442" t="s">
        <v>6166</v>
      </c>
    </row>
    <row r="443" spans="11:11" x14ac:dyDescent="0.3">
      <c r="K443" t="s">
        <v>10834</v>
      </c>
    </row>
    <row r="444" spans="11:11" x14ac:dyDescent="0.3">
      <c r="K444" t="s">
        <v>5812</v>
      </c>
    </row>
    <row r="445" spans="11:11" x14ac:dyDescent="0.3">
      <c r="K445" t="s">
        <v>5951</v>
      </c>
    </row>
    <row r="446" spans="11:11" x14ac:dyDescent="0.3">
      <c r="K446" t="s">
        <v>5813</v>
      </c>
    </row>
    <row r="447" spans="11:11" x14ac:dyDescent="0.3">
      <c r="K447" t="s">
        <v>5952</v>
      </c>
    </row>
    <row r="448" spans="11:11" x14ac:dyDescent="0.3">
      <c r="K448" t="s">
        <v>5953</v>
      </c>
    </row>
    <row r="449" spans="11:11" x14ac:dyDescent="0.3">
      <c r="K449" t="s">
        <v>5954</v>
      </c>
    </row>
    <row r="450" spans="11:11" x14ac:dyDescent="0.3">
      <c r="K450" t="s">
        <v>5955</v>
      </c>
    </row>
    <row r="451" spans="11:11" x14ac:dyDescent="0.3">
      <c r="K451" t="s">
        <v>8802</v>
      </c>
    </row>
    <row r="452" spans="11:11" x14ac:dyDescent="0.3">
      <c r="K452" t="s">
        <v>7780</v>
      </c>
    </row>
    <row r="453" spans="11:11" x14ac:dyDescent="0.3">
      <c r="K453" t="s">
        <v>10118</v>
      </c>
    </row>
    <row r="454" spans="11:11" x14ac:dyDescent="0.3">
      <c r="K454" t="s">
        <v>5648</v>
      </c>
    </row>
    <row r="455" spans="11:11" x14ac:dyDescent="0.3">
      <c r="K455" t="s">
        <v>6744</v>
      </c>
    </row>
    <row r="456" spans="11:11" x14ac:dyDescent="0.3">
      <c r="K456" t="s">
        <v>6571</v>
      </c>
    </row>
    <row r="457" spans="11:11" x14ac:dyDescent="0.3">
      <c r="K457" t="s">
        <v>7340</v>
      </c>
    </row>
    <row r="458" spans="11:11" x14ac:dyDescent="0.3">
      <c r="K458" t="s">
        <v>5649</v>
      </c>
    </row>
    <row r="459" spans="11:11" x14ac:dyDescent="0.3">
      <c r="K459" t="s">
        <v>6167</v>
      </c>
    </row>
    <row r="460" spans="11:11" x14ac:dyDescent="0.3">
      <c r="K460" t="s">
        <v>7341</v>
      </c>
    </row>
    <row r="461" spans="11:11" x14ac:dyDescent="0.3">
      <c r="K461" t="s">
        <v>6394</v>
      </c>
    </row>
    <row r="462" spans="11:11" x14ac:dyDescent="0.3">
      <c r="K462" t="s">
        <v>8590</v>
      </c>
    </row>
    <row r="463" spans="11:11" x14ac:dyDescent="0.3">
      <c r="K463" t="s">
        <v>8803</v>
      </c>
    </row>
    <row r="464" spans="11:11" x14ac:dyDescent="0.3">
      <c r="K464" t="s">
        <v>7781</v>
      </c>
    </row>
    <row r="465" spans="11:11" x14ac:dyDescent="0.3">
      <c r="K465" t="s">
        <v>10835</v>
      </c>
    </row>
    <row r="466" spans="11:11" x14ac:dyDescent="0.3">
      <c r="K466" t="s">
        <v>9819</v>
      </c>
    </row>
    <row r="467" spans="11:11" x14ac:dyDescent="0.3">
      <c r="K467" t="s">
        <v>9821</v>
      </c>
    </row>
    <row r="468" spans="11:11" x14ac:dyDescent="0.3">
      <c r="K468" t="s">
        <v>9820</v>
      </c>
    </row>
    <row r="469" spans="11:11" x14ac:dyDescent="0.3">
      <c r="K469" t="s">
        <v>9822</v>
      </c>
    </row>
    <row r="470" spans="11:11" x14ac:dyDescent="0.3">
      <c r="K470" t="s">
        <v>10119</v>
      </c>
    </row>
    <row r="471" spans="11:11" x14ac:dyDescent="0.3">
      <c r="K471" t="s">
        <v>10088</v>
      </c>
    </row>
    <row r="472" spans="11:11" x14ac:dyDescent="0.3">
      <c r="K472" t="s">
        <v>9422</v>
      </c>
    </row>
    <row r="473" spans="11:11" x14ac:dyDescent="0.3">
      <c r="K473" t="s">
        <v>8804</v>
      </c>
    </row>
    <row r="474" spans="11:11" x14ac:dyDescent="0.3">
      <c r="K474" t="s">
        <v>5956</v>
      </c>
    </row>
    <row r="475" spans="11:11" x14ac:dyDescent="0.3">
      <c r="K475" t="s">
        <v>7782</v>
      </c>
    </row>
    <row r="476" spans="11:11" x14ac:dyDescent="0.3">
      <c r="K476" t="s">
        <v>6395</v>
      </c>
    </row>
    <row r="477" spans="11:11" x14ac:dyDescent="0.3">
      <c r="K477" t="s">
        <v>8805</v>
      </c>
    </row>
    <row r="478" spans="11:11" x14ac:dyDescent="0.3">
      <c r="K478" t="s">
        <v>6745</v>
      </c>
    </row>
    <row r="479" spans="11:11" x14ac:dyDescent="0.3">
      <c r="K479" t="s">
        <v>7784</v>
      </c>
    </row>
    <row r="480" spans="11:11" x14ac:dyDescent="0.3">
      <c r="K480" t="s">
        <v>7783</v>
      </c>
    </row>
    <row r="481" spans="11:11" x14ac:dyDescent="0.3">
      <c r="K481" t="s">
        <v>9823</v>
      </c>
    </row>
    <row r="482" spans="11:11" x14ac:dyDescent="0.3">
      <c r="K482" t="s">
        <v>5814</v>
      </c>
    </row>
    <row r="483" spans="11:11" x14ac:dyDescent="0.3">
      <c r="K483" t="s">
        <v>10596</v>
      </c>
    </row>
    <row r="484" spans="11:11" x14ac:dyDescent="0.3">
      <c r="K484" t="s">
        <v>9423</v>
      </c>
    </row>
    <row r="485" spans="11:11" x14ac:dyDescent="0.3">
      <c r="K485" t="s">
        <v>5650</v>
      </c>
    </row>
    <row r="486" spans="11:11" x14ac:dyDescent="0.3">
      <c r="K486" t="s">
        <v>7342</v>
      </c>
    </row>
    <row r="487" spans="11:11" x14ac:dyDescent="0.3">
      <c r="K487" t="s">
        <v>8806</v>
      </c>
    </row>
    <row r="488" spans="11:11" x14ac:dyDescent="0.3">
      <c r="K488" t="s">
        <v>7785</v>
      </c>
    </row>
    <row r="489" spans="11:11" x14ac:dyDescent="0.3">
      <c r="K489" t="s">
        <v>10121</v>
      </c>
    </row>
    <row r="490" spans="11:11" x14ac:dyDescent="0.3">
      <c r="K490" t="s">
        <v>5957</v>
      </c>
    </row>
    <row r="491" spans="11:11" x14ac:dyDescent="0.3">
      <c r="K491" t="s">
        <v>10679</v>
      </c>
    </row>
    <row r="492" spans="11:11" x14ac:dyDescent="0.3">
      <c r="K492" t="s">
        <v>7786</v>
      </c>
    </row>
    <row r="493" spans="11:11" x14ac:dyDescent="0.3">
      <c r="K493" t="s">
        <v>10122</v>
      </c>
    </row>
    <row r="494" spans="11:11" x14ac:dyDescent="0.3">
      <c r="K494" t="s">
        <v>10120</v>
      </c>
    </row>
    <row r="495" spans="11:11" x14ac:dyDescent="0.3">
      <c r="K495" t="s">
        <v>6746</v>
      </c>
    </row>
    <row r="496" spans="11:11" x14ac:dyDescent="0.3">
      <c r="K496" t="s">
        <v>6572</v>
      </c>
    </row>
    <row r="497" spans="11:11" x14ac:dyDescent="0.3">
      <c r="K497" t="s">
        <v>7787</v>
      </c>
    </row>
    <row r="498" spans="11:11" x14ac:dyDescent="0.3">
      <c r="K498" t="s">
        <v>6396</v>
      </c>
    </row>
    <row r="499" spans="11:11" x14ac:dyDescent="0.3">
      <c r="K499" t="s">
        <v>9424</v>
      </c>
    </row>
    <row r="500" spans="11:11" x14ac:dyDescent="0.3">
      <c r="K500" t="s">
        <v>8807</v>
      </c>
    </row>
    <row r="501" spans="11:11" x14ac:dyDescent="0.3">
      <c r="K501" t="s">
        <v>5651</v>
      </c>
    </row>
    <row r="502" spans="11:11" x14ac:dyDescent="0.3">
      <c r="K502" t="s">
        <v>6573</v>
      </c>
    </row>
    <row r="503" spans="11:11" x14ac:dyDescent="0.3">
      <c r="K503" t="s">
        <v>5564</v>
      </c>
    </row>
    <row r="504" spans="11:11" x14ac:dyDescent="0.3">
      <c r="K504" t="s">
        <v>8808</v>
      </c>
    </row>
    <row r="505" spans="11:11" x14ac:dyDescent="0.3">
      <c r="K505" t="s">
        <v>9824</v>
      </c>
    </row>
    <row r="506" spans="11:11" x14ac:dyDescent="0.3">
      <c r="K506" t="s">
        <v>8809</v>
      </c>
    </row>
    <row r="507" spans="11:11" x14ac:dyDescent="0.3">
      <c r="K507" t="s">
        <v>6168</v>
      </c>
    </row>
    <row r="508" spans="11:11" x14ac:dyDescent="0.3">
      <c r="K508" t="s">
        <v>7344</v>
      </c>
    </row>
    <row r="509" spans="11:11" x14ac:dyDescent="0.3">
      <c r="K509" t="s">
        <v>6962</v>
      </c>
    </row>
    <row r="510" spans="11:11" x14ac:dyDescent="0.3">
      <c r="K510" t="s">
        <v>6748</v>
      </c>
    </row>
    <row r="511" spans="11:11" x14ac:dyDescent="0.3">
      <c r="K511" t="s">
        <v>6747</v>
      </c>
    </row>
    <row r="512" spans="11:11" x14ac:dyDescent="0.3">
      <c r="K512" t="s">
        <v>7137</v>
      </c>
    </row>
    <row r="513" spans="11:11" x14ac:dyDescent="0.3">
      <c r="K513" t="s">
        <v>8591</v>
      </c>
    </row>
    <row r="514" spans="11:11" x14ac:dyDescent="0.3">
      <c r="K514" t="s">
        <v>7138</v>
      </c>
    </row>
    <row r="515" spans="11:11" x14ac:dyDescent="0.3">
      <c r="K515" t="s">
        <v>6749</v>
      </c>
    </row>
    <row r="516" spans="11:11" x14ac:dyDescent="0.3">
      <c r="K516" t="s">
        <v>10680</v>
      </c>
    </row>
    <row r="517" spans="11:11" x14ac:dyDescent="0.3">
      <c r="K517" t="s">
        <v>8810</v>
      </c>
    </row>
    <row r="518" spans="11:11" x14ac:dyDescent="0.3">
      <c r="K518" t="s">
        <v>7345</v>
      </c>
    </row>
    <row r="519" spans="11:11" x14ac:dyDescent="0.3">
      <c r="K519" t="s">
        <v>5958</v>
      </c>
    </row>
    <row r="520" spans="11:11" x14ac:dyDescent="0.3">
      <c r="K520" t="s">
        <v>10681</v>
      </c>
    </row>
    <row r="521" spans="11:11" x14ac:dyDescent="0.3">
      <c r="K521" t="s">
        <v>10124</v>
      </c>
    </row>
    <row r="522" spans="11:11" x14ac:dyDescent="0.3">
      <c r="K522" t="s">
        <v>9426</v>
      </c>
    </row>
    <row r="523" spans="11:11" x14ac:dyDescent="0.3">
      <c r="K523" t="s">
        <v>7346</v>
      </c>
    </row>
    <row r="524" spans="11:11" x14ac:dyDescent="0.3">
      <c r="K524" t="s">
        <v>5815</v>
      </c>
    </row>
    <row r="525" spans="11:11" x14ac:dyDescent="0.3">
      <c r="K525" t="s">
        <v>8664</v>
      </c>
    </row>
    <row r="526" spans="11:11" x14ac:dyDescent="0.3">
      <c r="K526" t="s">
        <v>10125</v>
      </c>
    </row>
    <row r="527" spans="11:11" x14ac:dyDescent="0.3">
      <c r="K527" t="s">
        <v>10126</v>
      </c>
    </row>
    <row r="528" spans="11:11" x14ac:dyDescent="0.3">
      <c r="K528" t="s">
        <v>10127</v>
      </c>
    </row>
    <row r="529" spans="11:11" x14ac:dyDescent="0.3">
      <c r="K529" t="s">
        <v>7347</v>
      </c>
    </row>
    <row r="530" spans="11:11" x14ac:dyDescent="0.3">
      <c r="K530" t="s">
        <v>8811</v>
      </c>
    </row>
    <row r="531" spans="11:11" x14ac:dyDescent="0.3">
      <c r="K531" t="s">
        <v>7240</v>
      </c>
    </row>
    <row r="532" spans="11:11" x14ac:dyDescent="0.3">
      <c r="K532" t="s">
        <v>10128</v>
      </c>
    </row>
    <row r="533" spans="11:11" x14ac:dyDescent="0.3">
      <c r="K533" t="s">
        <v>7788</v>
      </c>
    </row>
    <row r="534" spans="11:11" x14ac:dyDescent="0.3">
      <c r="K534" t="s">
        <v>8665</v>
      </c>
    </row>
    <row r="535" spans="11:11" x14ac:dyDescent="0.3">
      <c r="K535" t="s">
        <v>9825</v>
      </c>
    </row>
    <row r="536" spans="11:11" x14ac:dyDescent="0.3">
      <c r="K536" t="s">
        <v>7343</v>
      </c>
    </row>
    <row r="537" spans="11:11" x14ac:dyDescent="0.3">
      <c r="K537" t="s">
        <v>9425</v>
      </c>
    </row>
    <row r="538" spans="11:11" x14ac:dyDescent="0.3">
      <c r="K538" t="s">
        <v>10123</v>
      </c>
    </row>
    <row r="539" spans="11:11" x14ac:dyDescent="0.3">
      <c r="K539" t="s">
        <v>6169</v>
      </c>
    </row>
    <row r="540" spans="11:11" x14ac:dyDescent="0.3">
      <c r="K540" t="s">
        <v>6397</v>
      </c>
    </row>
    <row r="541" spans="11:11" x14ac:dyDescent="0.3">
      <c r="K541" t="s">
        <v>6170</v>
      </c>
    </row>
    <row r="542" spans="11:11" x14ac:dyDescent="0.3">
      <c r="K542" t="s">
        <v>7348</v>
      </c>
    </row>
    <row r="543" spans="11:11" x14ac:dyDescent="0.3">
      <c r="K543" t="s">
        <v>5565</v>
      </c>
    </row>
    <row r="544" spans="11:11" x14ac:dyDescent="0.3">
      <c r="K544" t="s">
        <v>5959</v>
      </c>
    </row>
    <row r="545" spans="11:11" x14ac:dyDescent="0.3">
      <c r="K545" t="s">
        <v>6963</v>
      </c>
    </row>
    <row r="546" spans="11:11" x14ac:dyDescent="0.3">
      <c r="K546" t="s">
        <v>8812</v>
      </c>
    </row>
    <row r="547" spans="11:11" x14ac:dyDescent="0.3">
      <c r="K547" t="s">
        <v>8813</v>
      </c>
    </row>
    <row r="548" spans="11:11" x14ac:dyDescent="0.3">
      <c r="K548" t="s">
        <v>7349</v>
      </c>
    </row>
    <row r="549" spans="11:11" x14ac:dyDescent="0.3">
      <c r="K549" t="s">
        <v>10836</v>
      </c>
    </row>
    <row r="550" spans="11:11" x14ac:dyDescent="0.3">
      <c r="K550" t="s">
        <v>6171</v>
      </c>
    </row>
    <row r="551" spans="11:11" x14ac:dyDescent="0.3">
      <c r="K551" t="s">
        <v>6398</v>
      </c>
    </row>
    <row r="552" spans="11:11" x14ac:dyDescent="0.3">
      <c r="K552" t="s">
        <v>7350</v>
      </c>
    </row>
    <row r="553" spans="11:11" x14ac:dyDescent="0.3">
      <c r="K553" t="s">
        <v>5816</v>
      </c>
    </row>
    <row r="554" spans="11:11" x14ac:dyDescent="0.3">
      <c r="K554" t="s">
        <v>6399</v>
      </c>
    </row>
    <row r="555" spans="11:11" x14ac:dyDescent="0.3">
      <c r="K555" t="s">
        <v>10129</v>
      </c>
    </row>
    <row r="556" spans="11:11" x14ac:dyDescent="0.3">
      <c r="K556" t="s">
        <v>7789</v>
      </c>
    </row>
    <row r="557" spans="11:11" x14ac:dyDescent="0.3">
      <c r="K557" t="s">
        <v>8814</v>
      </c>
    </row>
    <row r="558" spans="11:11" x14ac:dyDescent="0.3">
      <c r="K558" t="s">
        <v>8815</v>
      </c>
    </row>
    <row r="559" spans="11:11" x14ac:dyDescent="0.3">
      <c r="K559" t="s">
        <v>10597</v>
      </c>
    </row>
    <row r="560" spans="11:11" x14ac:dyDescent="0.3">
      <c r="K560" t="s">
        <v>7139</v>
      </c>
    </row>
    <row r="561" spans="11:11" x14ac:dyDescent="0.3">
      <c r="K561" t="s">
        <v>6172</v>
      </c>
    </row>
    <row r="562" spans="11:11" x14ac:dyDescent="0.3">
      <c r="K562" t="s">
        <v>8816</v>
      </c>
    </row>
    <row r="563" spans="11:11" x14ac:dyDescent="0.3">
      <c r="K563" t="s">
        <v>10598</v>
      </c>
    </row>
    <row r="564" spans="11:11" x14ac:dyDescent="0.3">
      <c r="K564" t="s">
        <v>6400</v>
      </c>
    </row>
    <row r="565" spans="11:11" x14ac:dyDescent="0.3">
      <c r="K565" t="s">
        <v>8817</v>
      </c>
    </row>
    <row r="566" spans="11:11" x14ac:dyDescent="0.3">
      <c r="K566" t="s">
        <v>6750</v>
      </c>
    </row>
    <row r="567" spans="11:11" x14ac:dyDescent="0.3">
      <c r="K567" t="s">
        <v>8818</v>
      </c>
    </row>
    <row r="568" spans="11:11" x14ac:dyDescent="0.3">
      <c r="K568" t="s">
        <v>6401</v>
      </c>
    </row>
    <row r="569" spans="11:11" x14ac:dyDescent="0.3">
      <c r="K569" t="s">
        <v>6402</v>
      </c>
    </row>
    <row r="570" spans="11:11" x14ac:dyDescent="0.3">
      <c r="K570" t="s">
        <v>9427</v>
      </c>
    </row>
    <row r="571" spans="11:11" x14ac:dyDescent="0.3">
      <c r="K571" t="s">
        <v>10837</v>
      </c>
    </row>
    <row r="572" spans="11:11" x14ac:dyDescent="0.3">
      <c r="K572" t="s">
        <v>7790</v>
      </c>
    </row>
    <row r="573" spans="11:11" x14ac:dyDescent="0.3">
      <c r="K573" t="s">
        <v>5961</v>
      </c>
    </row>
    <row r="574" spans="11:11" x14ac:dyDescent="0.3">
      <c r="K574" t="s">
        <v>9428</v>
      </c>
    </row>
    <row r="575" spans="11:11" x14ac:dyDescent="0.3">
      <c r="K575" t="s">
        <v>6173</v>
      </c>
    </row>
    <row r="576" spans="11:11" x14ac:dyDescent="0.3">
      <c r="K576" t="s">
        <v>9826</v>
      </c>
    </row>
    <row r="577" spans="11:11" x14ac:dyDescent="0.3">
      <c r="K577" t="s">
        <v>10599</v>
      </c>
    </row>
    <row r="578" spans="11:11" x14ac:dyDescent="0.3">
      <c r="K578" t="s">
        <v>5960</v>
      </c>
    </row>
    <row r="579" spans="11:11" x14ac:dyDescent="0.3">
      <c r="K579" t="s">
        <v>6964</v>
      </c>
    </row>
    <row r="580" spans="11:11" x14ac:dyDescent="0.3">
      <c r="K580" t="s">
        <v>6965</v>
      </c>
    </row>
    <row r="581" spans="11:11" x14ac:dyDescent="0.3">
      <c r="K581" t="s">
        <v>6752</v>
      </c>
    </row>
    <row r="582" spans="11:11" x14ac:dyDescent="0.3">
      <c r="K582" t="s">
        <v>6174</v>
      </c>
    </row>
    <row r="583" spans="11:11" x14ac:dyDescent="0.3">
      <c r="K583" t="s">
        <v>7140</v>
      </c>
    </row>
    <row r="584" spans="11:11" x14ac:dyDescent="0.3">
      <c r="K584" t="s">
        <v>5652</v>
      </c>
    </row>
    <row r="585" spans="11:11" x14ac:dyDescent="0.3">
      <c r="K585" t="s">
        <v>6751</v>
      </c>
    </row>
    <row r="586" spans="11:11" x14ac:dyDescent="0.3">
      <c r="K586" t="s">
        <v>8666</v>
      </c>
    </row>
    <row r="587" spans="11:11" x14ac:dyDescent="0.3">
      <c r="K587" t="s">
        <v>7791</v>
      </c>
    </row>
    <row r="588" spans="11:11" x14ac:dyDescent="0.3">
      <c r="K588" t="s">
        <v>7352</v>
      </c>
    </row>
    <row r="589" spans="11:11" x14ac:dyDescent="0.3">
      <c r="K589" t="s">
        <v>9827</v>
      </c>
    </row>
    <row r="590" spans="11:11" x14ac:dyDescent="0.3">
      <c r="K590" t="s">
        <v>7353</v>
      </c>
    </row>
    <row r="591" spans="11:11" x14ac:dyDescent="0.3">
      <c r="K591" t="s">
        <v>7792</v>
      </c>
    </row>
    <row r="592" spans="11:11" x14ac:dyDescent="0.3">
      <c r="K592" t="s">
        <v>6966</v>
      </c>
    </row>
    <row r="593" spans="11:11" x14ac:dyDescent="0.3">
      <c r="K593" t="s">
        <v>7141</v>
      </c>
    </row>
    <row r="594" spans="11:11" x14ac:dyDescent="0.3">
      <c r="K594" t="s">
        <v>7793</v>
      </c>
    </row>
    <row r="595" spans="11:11" x14ac:dyDescent="0.3">
      <c r="K595" t="s">
        <v>7794</v>
      </c>
    </row>
    <row r="596" spans="11:11" x14ac:dyDescent="0.3">
      <c r="K596" t="s">
        <v>5653</v>
      </c>
    </row>
    <row r="597" spans="11:11" x14ac:dyDescent="0.3">
      <c r="K597" t="s">
        <v>6175</v>
      </c>
    </row>
    <row r="598" spans="11:11" x14ac:dyDescent="0.3">
      <c r="K598" t="s">
        <v>5962</v>
      </c>
    </row>
    <row r="599" spans="11:11" x14ac:dyDescent="0.3">
      <c r="K599" t="s">
        <v>9828</v>
      </c>
    </row>
    <row r="600" spans="11:11" x14ac:dyDescent="0.3">
      <c r="K600" t="s">
        <v>5654</v>
      </c>
    </row>
    <row r="601" spans="11:11" x14ac:dyDescent="0.3">
      <c r="K601" t="s">
        <v>10130</v>
      </c>
    </row>
    <row r="602" spans="11:11" x14ac:dyDescent="0.3">
      <c r="K602" t="s">
        <v>5566</v>
      </c>
    </row>
    <row r="603" spans="11:11" x14ac:dyDescent="0.3">
      <c r="K603" t="s">
        <v>8819</v>
      </c>
    </row>
    <row r="604" spans="11:11" x14ac:dyDescent="0.3">
      <c r="K604" t="s">
        <v>6574</v>
      </c>
    </row>
    <row r="605" spans="11:11" x14ac:dyDescent="0.3">
      <c r="K605" t="s">
        <v>10131</v>
      </c>
    </row>
    <row r="606" spans="11:11" x14ac:dyDescent="0.3">
      <c r="K606" t="s">
        <v>5963</v>
      </c>
    </row>
    <row r="607" spans="11:11" x14ac:dyDescent="0.3">
      <c r="K607" t="s">
        <v>7795</v>
      </c>
    </row>
    <row r="608" spans="11:11" x14ac:dyDescent="0.3">
      <c r="K608" t="s">
        <v>7797</v>
      </c>
    </row>
    <row r="609" spans="11:11" x14ac:dyDescent="0.3">
      <c r="K609" t="s">
        <v>6753</v>
      </c>
    </row>
    <row r="610" spans="11:11" x14ac:dyDescent="0.3">
      <c r="K610" t="s">
        <v>8820</v>
      </c>
    </row>
    <row r="611" spans="11:11" x14ac:dyDescent="0.3">
      <c r="K611" t="s">
        <v>5964</v>
      </c>
    </row>
    <row r="612" spans="11:11" x14ac:dyDescent="0.3">
      <c r="K612" t="s">
        <v>5817</v>
      </c>
    </row>
    <row r="613" spans="11:11" x14ac:dyDescent="0.3">
      <c r="K613" t="s">
        <v>8821</v>
      </c>
    </row>
    <row r="614" spans="11:11" x14ac:dyDescent="0.3">
      <c r="K614" t="s">
        <v>6176</v>
      </c>
    </row>
    <row r="615" spans="11:11" x14ac:dyDescent="0.3">
      <c r="K615" t="s">
        <v>7796</v>
      </c>
    </row>
    <row r="616" spans="11:11" x14ac:dyDescent="0.3">
      <c r="K616" t="s">
        <v>5567</v>
      </c>
    </row>
    <row r="617" spans="11:11" x14ac:dyDescent="0.3">
      <c r="K617" t="s">
        <v>6177</v>
      </c>
    </row>
    <row r="618" spans="11:11" x14ac:dyDescent="0.3">
      <c r="K618" t="s">
        <v>6967</v>
      </c>
    </row>
    <row r="619" spans="11:11" x14ac:dyDescent="0.3">
      <c r="K619" t="s">
        <v>7798</v>
      </c>
    </row>
    <row r="620" spans="11:11" x14ac:dyDescent="0.3">
      <c r="K620" t="s">
        <v>6968</v>
      </c>
    </row>
    <row r="621" spans="11:11" x14ac:dyDescent="0.3">
      <c r="K621" t="s">
        <v>7799</v>
      </c>
    </row>
    <row r="622" spans="11:11" x14ac:dyDescent="0.3">
      <c r="K622" t="s">
        <v>7800</v>
      </c>
    </row>
    <row r="623" spans="11:11" x14ac:dyDescent="0.3">
      <c r="K623" t="s">
        <v>9829</v>
      </c>
    </row>
    <row r="624" spans="11:11" x14ac:dyDescent="0.3">
      <c r="K624" t="s">
        <v>8822</v>
      </c>
    </row>
    <row r="625" spans="11:11" x14ac:dyDescent="0.3">
      <c r="K625" t="s">
        <v>7801</v>
      </c>
    </row>
    <row r="626" spans="11:11" x14ac:dyDescent="0.3">
      <c r="K626" t="s">
        <v>8823</v>
      </c>
    </row>
    <row r="627" spans="11:11" x14ac:dyDescent="0.3">
      <c r="K627" t="s">
        <v>8824</v>
      </c>
    </row>
    <row r="628" spans="11:11" x14ac:dyDescent="0.3">
      <c r="K628" t="s">
        <v>7354</v>
      </c>
    </row>
    <row r="629" spans="11:11" x14ac:dyDescent="0.3">
      <c r="K629" t="s">
        <v>9429</v>
      </c>
    </row>
    <row r="630" spans="11:11" x14ac:dyDescent="0.3">
      <c r="K630" t="s">
        <v>9830</v>
      </c>
    </row>
    <row r="631" spans="11:11" x14ac:dyDescent="0.3">
      <c r="K631" t="s">
        <v>9431</v>
      </c>
    </row>
    <row r="632" spans="11:11" x14ac:dyDescent="0.3">
      <c r="K632" t="s">
        <v>8825</v>
      </c>
    </row>
    <row r="633" spans="11:11" x14ac:dyDescent="0.3">
      <c r="K633" t="s">
        <v>8592</v>
      </c>
    </row>
    <row r="634" spans="11:11" x14ac:dyDescent="0.3">
      <c r="K634" t="s">
        <v>7802</v>
      </c>
    </row>
    <row r="635" spans="11:11" x14ac:dyDescent="0.3">
      <c r="K635" t="s">
        <v>9430</v>
      </c>
    </row>
    <row r="636" spans="11:11" x14ac:dyDescent="0.3">
      <c r="K636" t="s">
        <v>6178</v>
      </c>
    </row>
    <row r="637" spans="11:11" x14ac:dyDescent="0.3">
      <c r="K637" t="s">
        <v>7355</v>
      </c>
    </row>
    <row r="638" spans="11:11" x14ac:dyDescent="0.3">
      <c r="K638" t="s">
        <v>9432</v>
      </c>
    </row>
    <row r="639" spans="11:11" x14ac:dyDescent="0.3">
      <c r="K639" t="s">
        <v>6754</v>
      </c>
    </row>
    <row r="640" spans="11:11" x14ac:dyDescent="0.3">
      <c r="K640" t="s">
        <v>6403</v>
      </c>
    </row>
    <row r="641" spans="11:11" x14ac:dyDescent="0.3">
      <c r="K641" t="s">
        <v>9433</v>
      </c>
    </row>
    <row r="642" spans="11:11" x14ac:dyDescent="0.3">
      <c r="K642" t="s">
        <v>10132</v>
      </c>
    </row>
    <row r="643" spans="11:11" x14ac:dyDescent="0.3">
      <c r="K643" t="s">
        <v>10133</v>
      </c>
    </row>
    <row r="644" spans="11:11" x14ac:dyDescent="0.3">
      <c r="K644" t="s">
        <v>10134</v>
      </c>
    </row>
    <row r="645" spans="11:11" x14ac:dyDescent="0.3">
      <c r="K645" t="s">
        <v>5965</v>
      </c>
    </row>
    <row r="646" spans="11:11" x14ac:dyDescent="0.3">
      <c r="K646" t="s">
        <v>10135</v>
      </c>
    </row>
    <row r="647" spans="11:11" x14ac:dyDescent="0.3">
      <c r="K647" t="s">
        <v>5568</v>
      </c>
    </row>
    <row r="648" spans="11:11" x14ac:dyDescent="0.3">
      <c r="K648" t="s">
        <v>10136</v>
      </c>
    </row>
    <row r="649" spans="11:11" x14ac:dyDescent="0.3">
      <c r="K649" t="s">
        <v>7356</v>
      </c>
    </row>
    <row r="650" spans="11:11" x14ac:dyDescent="0.3">
      <c r="K650" t="s">
        <v>6755</v>
      </c>
    </row>
    <row r="651" spans="11:11" x14ac:dyDescent="0.3">
      <c r="K651" t="s">
        <v>5621</v>
      </c>
    </row>
    <row r="652" spans="11:11" x14ac:dyDescent="0.3">
      <c r="K652" t="s">
        <v>7142</v>
      </c>
    </row>
    <row r="653" spans="11:11" x14ac:dyDescent="0.3">
      <c r="K653" t="s">
        <v>5569</v>
      </c>
    </row>
    <row r="654" spans="11:11" x14ac:dyDescent="0.3">
      <c r="K654" t="s">
        <v>7803</v>
      </c>
    </row>
    <row r="655" spans="11:11" x14ac:dyDescent="0.3">
      <c r="K655" t="s">
        <v>9831</v>
      </c>
    </row>
    <row r="656" spans="11:11" x14ac:dyDescent="0.3">
      <c r="K656" t="s">
        <v>6179</v>
      </c>
    </row>
    <row r="657" spans="11:11" x14ac:dyDescent="0.3">
      <c r="K657" t="s">
        <v>8826</v>
      </c>
    </row>
    <row r="658" spans="11:11" x14ac:dyDescent="0.3">
      <c r="K658" t="s">
        <v>9434</v>
      </c>
    </row>
    <row r="659" spans="11:11" x14ac:dyDescent="0.3">
      <c r="K659" t="s">
        <v>7804</v>
      </c>
    </row>
    <row r="660" spans="11:11" x14ac:dyDescent="0.3">
      <c r="K660" t="s">
        <v>6575</v>
      </c>
    </row>
    <row r="661" spans="11:11" x14ac:dyDescent="0.3">
      <c r="K661" t="s">
        <v>6969</v>
      </c>
    </row>
    <row r="662" spans="11:11" x14ac:dyDescent="0.3">
      <c r="K662" t="s">
        <v>10600</v>
      </c>
    </row>
    <row r="663" spans="11:11" x14ac:dyDescent="0.3">
      <c r="K663" t="s">
        <v>8827</v>
      </c>
    </row>
    <row r="664" spans="11:11" x14ac:dyDescent="0.3">
      <c r="K664" t="s">
        <v>8828</v>
      </c>
    </row>
    <row r="665" spans="11:11" x14ac:dyDescent="0.3">
      <c r="K665" t="s">
        <v>6970</v>
      </c>
    </row>
    <row r="666" spans="11:11" x14ac:dyDescent="0.3">
      <c r="K666" t="s">
        <v>7805</v>
      </c>
    </row>
    <row r="667" spans="11:11" x14ac:dyDescent="0.3">
      <c r="K667" t="s">
        <v>9833</v>
      </c>
    </row>
    <row r="668" spans="11:11" x14ac:dyDescent="0.3">
      <c r="K668" t="s">
        <v>10838</v>
      </c>
    </row>
    <row r="669" spans="11:11" x14ac:dyDescent="0.3">
      <c r="K669" t="s">
        <v>7806</v>
      </c>
    </row>
    <row r="670" spans="11:11" x14ac:dyDescent="0.3">
      <c r="K670" t="s">
        <v>5966</v>
      </c>
    </row>
    <row r="671" spans="11:11" x14ac:dyDescent="0.3">
      <c r="K671" t="s">
        <v>6971</v>
      </c>
    </row>
    <row r="672" spans="11:11" x14ac:dyDescent="0.3">
      <c r="K672" t="s">
        <v>8667</v>
      </c>
    </row>
    <row r="673" spans="11:11" x14ac:dyDescent="0.3">
      <c r="K673" t="s">
        <v>7357</v>
      </c>
    </row>
    <row r="674" spans="11:11" x14ac:dyDescent="0.3">
      <c r="K674" t="s">
        <v>7807</v>
      </c>
    </row>
    <row r="675" spans="11:11" x14ac:dyDescent="0.3">
      <c r="K675" t="s">
        <v>7358</v>
      </c>
    </row>
    <row r="676" spans="11:11" x14ac:dyDescent="0.3">
      <c r="K676" t="s">
        <v>5967</v>
      </c>
    </row>
    <row r="677" spans="11:11" x14ac:dyDescent="0.3">
      <c r="K677" t="s">
        <v>10839</v>
      </c>
    </row>
    <row r="678" spans="11:11" x14ac:dyDescent="0.3">
      <c r="K678" t="s">
        <v>7808</v>
      </c>
    </row>
    <row r="679" spans="11:11" x14ac:dyDescent="0.3">
      <c r="K679" t="s">
        <v>10682</v>
      </c>
    </row>
    <row r="680" spans="11:11" x14ac:dyDescent="0.3">
      <c r="K680" t="s">
        <v>7809</v>
      </c>
    </row>
    <row r="681" spans="11:11" x14ac:dyDescent="0.3">
      <c r="K681" t="s">
        <v>8668</v>
      </c>
    </row>
    <row r="682" spans="11:11" x14ac:dyDescent="0.3">
      <c r="K682" t="s">
        <v>8593</v>
      </c>
    </row>
    <row r="683" spans="11:11" x14ac:dyDescent="0.3">
      <c r="K683" t="s">
        <v>9835</v>
      </c>
    </row>
    <row r="684" spans="11:11" x14ac:dyDescent="0.3">
      <c r="K684" t="s">
        <v>9435</v>
      </c>
    </row>
    <row r="685" spans="11:11" x14ac:dyDescent="0.3">
      <c r="K685" t="s">
        <v>5655</v>
      </c>
    </row>
    <row r="686" spans="11:11" x14ac:dyDescent="0.3">
      <c r="K686" t="s">
        <v>5818</v>
      </c>
    </row>
    <row r="687" spans="11:11" x14ac:dyDescent="0.3">
      <c r="K687" t="s">
        <v>8829</v>
      </c>
    </row>
    <row r="688" spans="11:11" x14ac:dyDescent="0.3">
      <c r="K688" t="s">
        <v>6756</v>
      </c>
    </row>
    <row r="689" spans="11:11" x14ac:dyDescent="0.3">
      <c r="K689" t="s">
        <v>6180</v>
      </c>
    </row>
    <row r="690" spans="11:11" x14ac:dyDescent="0.3">
      <c r="K690" t="s">
        <v>6576</v>
      </c>
    </row>
    <row r="691" spans="11:11" x14ac:dyDescent="0.3">
      <c r="K691" t="s">
        <v>10137</v>
      </c>
    </row>
    <row r="692" spans="11:11" x14ac:dyDescent="0.3">
      <c r="K692" t="s">
        <v>9834</v>
      </c>
    </row>
    <row r="693" spans="11:11" x14ac:dyDescent="0.3">
      <c r="K693" t="s">
        <v>5968</v>
      </c>
    </row>
    <row r="694" spans="11:11" x14ac:dyDescent="0.3">
      <c r="K694" t="s">
        <v>6181</v>
      </c>
    </row>
    <row r="695" spans="11:11" x14ac:dyDescent="0.3">
      <c r="K695" t="s">
        <v>10138</v>
      </c>
    </row>
    <row r="696" spans="11:11" x14ac:dyDescent="0.3">
      <c r="K696" t="s">
        <v>10139</v>
      </c>
    </row>
    <row r="697" spans="11:11" x14ac:dyDescent="0.3">
      <c r="K697" t="s">
        <v>7810</v>
      </c>
    </row>
    <row r="698" spans="11:11" x14ac:dyDescent="0.3">
      <c r="K698" t="s">
        <v>10140</v>
      </c>
    </row>
    <row r="699" spans="11:11" x14ac:dyDescent="0.3">
      <c r="K699" t="s">
        <v>9836</v>
      </c>
    </row>
    <row r="700" spans="11:11" x14ac:dyDescent="0.3">
      <c r="K700" t="s">
        <v>8830</v>
      </c>
    </row>
    <row r="701" spans="11:11" x14ac:dyDescent="0.3">
      <c r="K701" t="s">
        <v>9437</v>
      </c>
    </row>
    <row r="702" spans="11:11" x14ac:dyDescent="0.3">
      <c r="K702" t="s">
        <v>7811</v>
      </c>
    </row>
    <row r="703" spans="11:11" x14ac:dyDescent="0.3">
      <c r="K703" t="s">
        <v>6757</v>
      </c>
    </row>
    <row r="704" spans="11:11" x14ac:dyDescent="0.3">
      <c r="K704" t="s">
        <v>9436</v>
      </c>
    </row>
    <row r="705" spans="11:11" x14ac:dyDescent="0.3">
      <c r="K705" t="s">
        <v>9832</v>
      </c>
    </row>
    <row r="706" spans="11:11" x14ac:dyDescent="0.3">
      <c r="K706" t="s">
        <v>6182</v>
      </c>
    </row>
    <row r="707" spans="11:11" x14ac:dyDescent="0.3">
      <c r="K707" t="s">
        <v>7812</v>
      </c>
    </row>
    <row r="708" spans="11:11" x14ac:dyDescent="0.3">
      <c r="K708" t="s">
        <v>5622</v>
      </c>
    </row>
    <row r="709" spans="11:11" x14ac:dyDescent="0.3">
      <c r="K709" t="s">
        <v>7813</v>
      </c>
    </row>
    <row r="710" spans="11:11" x14ac:dyDescent="0.3">
      <c r="K710" t="s">
        <v>10840</v>
      </c>
    </row>
    <row r="711" spans="11:11" x14ac:dyDescent="0.3">
      <c r="K711" t="s">
        <v>7359</v>
      </c>
    </row>
    <row r="712" spans="11:11" x14ac:dyDescent="0.3">
      <c r="K712" t="s">
        <v>7814</v>
      </c>
    </row>
    <row r="713" spans="11:11" x14ac:dyDescent="0.3">
      <c r="K713" t="s">
        <v>6758</v>
      </c>
    </row>
    <row r="714" spans="11:11" x14ac:dyDescent="0.3">
      <c r="K714" t="s">
        <v>7360</v>
      </c>
    </row>
    <row r="715" spans="11:11" x14ac:dyDescent="0.3">
      <c r="K715" t="s">
        <v>10601</v>
      </c>
    </row>
    <row r="716" spans="11:11" x14ac:dyDescent="0.3">
      <c r="K716" t="s">
        <v>5656</v>
      </c>
    </row>
    <row r="717" spans="11:11" x14ac:dyDescent="0.3">
      <c r="K717" t="s">
        <v>6972</v>
      </c>
    </row>
    <row r="718" spans="11:11" x14ac:dyDescent="0.3">
      <c r="K718" t="s">
        <v>10841</v>
      </c>
    </row>
    <row r="719" spans="11:11" x14ac:dyDescent="0.3">
      <c r="K719" t="s">
        <v>10141</v>
      </c>
    </row>
    <row r="720" spans="11:11" x14ac:dyDescent="0.3">
      <c r="K720" t="s">
        <v>6183</v>
      </c>
    </row>
    <row r="721" spans="11:11" x14ac:dyDescent="0.3">
      <c r="K721" t="s">
        <v>6759</v>
      </c>
    </row>
    <row r="722" spans="11:11" x14ac:dyDescent="0.3">
      <c r="K722" t="s">
        <v>7241</v>
      </c>
    </row>
    <row r="723" spans="11:11" x14ac:dyDescent="0.3">
      <c r="K723" t="s">
        <v>7361</v>
      </c>
    </row>
    <row r="724" spans="11:11" x14ac:dyDescent="0.3">
      <c r="K724" t="s">
        <v>8831</v>
      </c>
    </row>
    <row r="725" spans="11:11" x14ac:dyDescent="0.3">
      <c r="K725" t="s">
        <v>8832</v>
      </c>
    </row>
    <row r="726" spans="11:11" x14ac:dyDescent="0.3">
      <c r="K726" t="s">
        <v>5570</v>
      </c>
    </row>
    <row r="727" spans="11:11" x14ac:dyDescent="0.3">
      <c r="K727" t="s">
        <v>6761</v>
      </c>
    </row>
    <row r="728" spans="11:11" x14ac:dyDescent="0.3">
      <c r="K728" t="s">
        <v>8833</v>
      </c>
    </row>
    <row r="729" spans="11:11" x14ac:dyDescent="0.3">
      <c r="K729" t="s">
        <v>7815</v>
      </c>
    </row>
    <row r="730" spans="11:11" x14ac:dyDescent="0.3">
      <c r="K730" t="s">
        <v>8834</v>
      </c>
    </row>
    <row r="731" spans="11:11" x14ac:dyDescent="0.3">
      <c r="K731" t="s">
        <v>9438</v>
      </c>
    </row>
    <row r="732" spans="11:11" x14ac:dyDescent="0.3">
      <c r="K732" t="s">
        <v>10142</v>
      </c>
    </row>
    <row r="733" spans="11:11" x14ac:dyDescent="0.3">
      <c r="K733" t="s">
        <v>7816</v>
      </c>
    </row>
    <row r="734" spans="11:11" x14ac:dyDescent="0.3">
      <c r="K734" t="s">
        <v>8835</v>
      </c>
    </row>
    <row r="735" spans="11:11" x14ac:dyDescent="0.3">
      <c r="K735" t="s">
        <v>7817</v>
      </c>
    </row>
    <row r="736" spans="11:11" x14ac:dyDescent="0.3">
      <c r="K736" t="s">
        <v>7362</v>
      </c>
    </row>
    <row r="737" spans="11:11" x14ac:dyDescent="0.3">
      <c r="K737" t="s">
        <v>9837</v>
      </c>
    </row>
    <row r="738" spans="11:11" x14ac:dyDescent="0.3">
      <c r="K738" t="s">
        <v>10143</v>
      </c>
    </row>
    <row r="739" spans="11:11" x14ac:dyDescent="0.3">
      <c r="K739" t="s">
        <v>9838</v>
      </c>
    </row>
    <row r="740" spans="11:11" x14ac:dyDescent="0.3">
      <c r="K740" t="s">
        <v>9839</v>
      </c>
    </row>
    <row r="741" spans="11:11" x14ac:dyDescent="0.3">
      <c r="K741" t="s">
        <v>10144</v>
      </c>
    </row>
    <row r="742" spans="11:11" x14ac:dyDescent="0.3">
      <c r="K742" t="s">
        <v>8836</v>
      </c>
    </row>
    <row r="743" spans="11:11" x14ac:dyDescent="0.3">
      <c r="K743" t="s">
        <v>5657</v>
      </c>
    </row>
    <row r="744" spans="11:11" x14ac:dyDescent="0.3">
      <c r="K744" t="s">
        <v>9439</v>
      </c>
    </row>
    <row r="745" spans="11:11" x14ac:dyDescent="0.3">
      <c r="K745" t="s">
        <v>7143</v>
      </c>
    </row>
    <row r="746" spans="11:11" x14ac:dyDescent="0.3">
      <c r="K746" t="s">
        <v>7820</v>
      </c>
    </row>
    <row r="747" spans="11:11" x14ac:dyDescent="0.3">
      <c r="K747" t="s">
        <v>5658</v>
      </c>
    </row>
    <row r="748" spans="11:11" x14ac:dyDescent="0.3">
      <c r="K748" t="s">
        <v>7818</v>
      </c>
    </row>
    <row r="749" spans="11:11" x14ac:dyDescent="0.3">
      <c r="K749" t="s">
        <v>9440</v>
      </c>
    </row>
    <row r="750" spans="11:11" x14ac:dyDescent="0.3">
      <c r="K750" t="s">
        <v>5819</v>
      </c>
    </row>
    <row r="751" spans="11:11" x14ac:dyDescent="0.3">
      <c r="K751" t="s">
        <v>10602</v>
      </c>
    </row>
    <row r="752" spans="11:11" x14ac:dyDescent="0.3">
      <c r="K752" t="s">
        <v>5537</v>
      </c>
    </row>
    <row r="753" spans="11:11" x14ac:dyDescent="0.3">
      <c r="K753" t="s">
        <v>6184</v>
      </c>
    </row>
    <row r="754" spans="11:11" x14ac:dyDescent="0.3">
      <c r="K754" t="s">
        <v>7819</v>
      </c>
    </row>
    <row r="755" spans="11:11" x14ac:dyDescent="0.3">
      <c r="K755" t="s">
        <v>11052</v>
      </c>
    </row>
    <row r="756" spans="11:11" x14ac:dyDescent="0.3">
      <c r="K756" t="s">
        <v>10683</v>
      </c>
    </row>
    <row r="757" spans="11:11" x14ac:dyDescent="0.3">
      <c r="K757" t="s">
        <v>7822</v>
      </c>
    </row>
    <row r="758" spans="11:11" x14ac:dyDescent="0.3">
      <c r="K758" t="s">
        <v>8837</v>
      </c>
    </row>
    <row r="759" spans="11:11" x14ac:dyDescent="0.3">
      <c r="K759" t="s">
        <v>7821</v>
      </c>
    </row>
    <row r="760" spans="11:11" x14ac:dyDescent="0.3">
      <c r="K760" t="s">
        <v>10842</v>
      </c>
    </row>
    <row r="761" spans="11:11" x14ac:dyDescent="0.3">
      <c r="K761" t="s">
        <v>6973</v>
      </c>
    </row>
    <row r="762" spans="11:11" x14ac:dyDescent="0.3">
      <c r="K762" t="s">
        <v>8594</v>
      </c>
    </row>
    <row r="763" spans="11:11" x14ac:dyDescent="0.3">
      <c r="K763" t="s">
        <v>5820</v>
      </c>
    </row>
    <row r="764" spans="11:11" x14ac:dyDescent="0.3">
      <c r="K764" t="s">
        <v>6974</v>
      </c>
    </row>
    <row r="765" spans="11:11" x14ac:dyDescent="0.3">
      <c r="K765" t="s">
        <v>6577</v>
      </c>
    </row>
    <row r="766" spans="11:11" x14ac:dyDescent="0.3">
      <c r="K766" t="s">
        <v>8838</v>
      </c>
    </row>
    <row r="767" spans="11:11" x14ac:dyDescent="0.3">
      <c r="K767" t="s">
        <v>6975</v>
      </c>
    </row>
    <row r="768" spans="11:11" x14ac:dyDescent="0.3">
      <c r="K768" t="s">
        <v>5970</v>
      </c>
    </row>
    <row r="769" spans="11:11" x14ac:dyDescent="0.3">
      <c r="K769" t="s">
        <v>6762</v>
      </c>
    </row>
    <row r="770" spans="11:11" x14ac:dyDescent="0.3">
      <c r="K770" t="s">
        <v>6185</v>
      </c>
    </row>
    <row r="771" spans="11:11" x14ac:dyDescent="0.3">
      <c r="K771" t="s">
        <v>6763</v>
      </c>
    </row>
    <row r="772" spans="11:11" x14ac:dyDescent="0.3">
      <c r="K772" t="s">
        <v>5659</v>
      </c>
    </row>
    <row r="773" spans="11:11" x14ac:dyDescent="0.3">
      <c r="K773" t="s">
        <v>7242</v>
      </c>
    </row>
    <row r="774" spans="11:11" x14ac:dyDescent="0.3">
      <c r="K774" t="s">
        <v>6404</v>
      </c>
    </row>
    <row r="775" spans="11:11" x14ac:dyDescent="0.3">
      <c r="K775" t="s">
        <v>5969</v>
      </c>
    </row>
    <row r="776" spans="11:11" x14ac:dyDescent="0.3">
      <c r="K776" t="s">
        <v>7363</v>
      </c>
    </row>
    <row r="777" spans="11:11" x14ac:dyDescent="0.3">
      <c r="K777" t="s">
        <v>7364</v>
      </c>
    </row>
    <row r="778" spans="11:11" x14ac:dyDescent="0.3">
      <c r="K778" t="s">
        <v>5660</v>
      </c>
    </row>
    <row r="779" spans="11:11" x14ac:dyDescent="0.3">
      <c r="K779" t="s">
        <v>5661</v>
      </c>
    </row>
    <row r="780" spans="11:11" x14ac:dyDescent="0.3">
      <c r="K780" t="s">
        <v>10843</v>
      </c>
    </row>
    <row r="781" spans="11:11" x14ac:dyDescent="0.3">
      <c r="K781" t="s">
        <v>10145</v>
      </c>
    </row>
    <row r="782" spans="11:11" x14ac:dyDescent="0.3">
      <c r="K782" t="s">
        <v>8839</v>
      </c>
    </row>
    <row r="783" spans="11:11" x14ac:dyDescent="0.3">
      <c r="K783" t="s">
        <v>7365</v>
      </c>
    </row>
    <row r="784" spans="11:11" x14ac:dyDescent="0.3">
      <c r="K784" t="s">
        <v>8840</v>
      </c>
    </row>
    <row r="785" spans="11:11" x14ac:dyDescent="0.3">
      <c r="K785" t="s">
        <v>7823</v>
      </c>
    </row>
    <row r="786" spans="11:11" x14ac:dyDescent="0.3">
      <c r="K786" t="s">
        <v>7366</v>
      </c>
    </row>
    <row r="787" spans="11:11" x14ac:dyDescent="0.3">
      <c r="K787" t="s">
        <v>9840</v>
      </c>
    </row>
    <row r="788" spans="11:11" x14ac:dyDescent="0.3">
      <c r="K788" t="s">
        <v>9841</v>
      </c>
    </row>
    <row r="789" spans="11:11" x14ac:dyDescent="0.3">
      <c r="K789" t="s">
        <v>7824</v>
      </c>
    </row>
    <row r="790" spans="11:11" x14ac:dyDescent="0.3">
      <c r="K790" t="s">
        <v>7825</v>
      </c>
    </row>
    <row r="791" spans="11:11" x14ac:dyDescent="0.3">
      <c r="K791" t="s">
        <v>6976</v>
      </c>
    </row>
    <row r="792" spans="11:11" x14ac:dyDescent="0.3">
      <c r="K792" t="s">
        <v>7367</v>
      </c>
    </row>
    <row r="793" spans="11:11" x14ac:dyDescent="0.3">
      <c r="K793" t="s">
        <v>7826</v>
      </c>
    </row>
    <row r="794" spans="11:11" x14ac:dyDescent="0.3">
      <c r="K794" t="s">
        <v>6977</v>
      </c>
    </row>
    <row r="795" spans="11:11" x14ac:dyDescent="0.3">
      <c r="K795" t="s">
        <v>5538</v>
      </c>
    </row>
    <row r="796" spans="11:11" x14ac:dyDescent="0.3">
      <c r="K796" t="s">
        <v>5662</v>
      </c>
    </row>
    <row r="797" spans="11:11" x14ac:dyDescent="0.3">
      <c r="K797" t="s">
        <v>8841</v>
      </c>
    </row>
    <row r="798" spans="11:11" x14ac:dyDescent="0.3">
      <c r="K798" t="s">
        <v>8842</v>
      </c>
    </row>
    <row r="799" spans="11:11" x14ac:dyDescent="0.3">
      <c r="K799" t="s">
        <v>10844</v>
      </c>
    </row>
    <row r="800" spans="11:11" x14ac:dyDescent="0.3">
      <c r="K800" t="s">
        <v>5972</v>
      </c>
    </row>
    <row r="801" spans="11:11" x14ac:dyDescent="0.3">
      <c r="K801" t="s">
        <v>10845</v>
      </c>
    </row>
    <row r="802" spans="11:11" x14ac:dyDescent="0.3">
      <c r="K802" t="s">
        <v>5821</v>
      </c>
    </row>
    <row r="803" spans="11:11" x14ac:dyDescent="0.3">
      <c r="K803" t="s">
        <v>6186</v>
      </c>
    </row>
    <row r="804" spans="11:11" x14ac:dyDescent="0.3">
      <c r="K804" t="s">
        <v>6187</v>
      </c>
    </row>
    <row r="805" spans="11:11" x14ac:dyDescent="0.3">
      <c r="K805" t="s">
        <v>5971</v>
      </c>
    </row>
    <row r="806" spans="11:11" x14ac:dyDescent="0.3">
      <c r="K806" t="s">
        <v>5973</v>
      </c>
    </row>
    <row r="807" spans="11:11" x14ac:dyDescent="0.3">
      <c r="K807" t="s">
        <v>10846</v>
      </c>
    </row>
    <row r="808" spans="11:11" x14ac:dyDescent="0.3">
      <c r="K808" t="s">
        <v>7368</v>
      </c>
    </row>
    <row r="809" spans="11:11" x14ac:dyDescent="0.3">
      <c r="K809" t="s">
        <v>5974</v>
      </c>
    </row>
    <row r="810" spans="11:11" x14ac:dyDescent="0.3">
      <c r="K810" t="s">
        <v>7827</v>
      </c>
    </row>
    <row r="811" spans="11:11" x14ac:dyDescent="0.3">
      <c r="K811" t="s">
        <v>5510</v>
      </c>
    </row>
    <row r="812" spans="11:11" x14ac:dyDescent="0.3">
      <c r="K812" t="s">
        <v>8843</v>
      </c>
    </row>
    <row r="813" spans="11:11" x14ac:dyDescent="0.3">
      <c r="K813" t="s">
        <v>7828</v>
      </c>
    </row>
    <row r="814" spans="11:11" x14ac:dyDescent="0.3">
      <c r="K814" t="s">
        <v>10146</v>
      </c>
    </row>
    <row r="815" spans="11:11" x14ac:dyDescent="0.3">
      <c r="K815" t="s">
        <v>5571</v>
      </c>
    </row>
    <row r="816" spans="11:11" x14ac:dyDescent="0.3">
      <c r="K816" t="s">
        <v>6764</v>
      </c>
    </row>
    <row r="817" spans="11:11" x14ac:dyDescent="0.3">
      <c r="K817" t="s">
        <v>10603</v>
      </c>
    </row>
    <row r="818" spans="11:11" x14ac:dyDescent="0.3">
      <c r="K818" t="s">
        <v>7369</v>
      </c>
    </row>
    <row r="819" spans="11:11" x14ac:dyDescent="0.3">
      <c r="K819" t="s">
        <v>7370</v>
      </c>
    </row>
    <row r="820" spans="11:11" x14ac:dyDescent="0.3">
      <c r="K820" t="s">
        <v>6765</v>
      </c>
    </row>
    <row r="821" spans="11:11" x14ac:dyDescent="0.3">
      <c r="K821" t="s">
        <v>7829</v>
      </c>
    </row>
    <row r="822" spans="11:11" x14ac:dyDescent="0.3">
      <c r="K822" t="s">
        <v>6188</v>
      </c>
    </row>
    <row r="823" spans="11:11" x14ac:dyDescent="0.3">
      <c r="K823" t="s">
        <v>10847</v>
      </c>
    </row>
    <row r="824" spans="11:11" x14ac:dyDescent="0.3">
      <c r="K824" t="s">
        <v>6766</v>
      </c>
    </row>
    <row r="825" spans="11:11" x14ac:dyDescent="0.3">
      <c r="K825" t="s">
        <v>5485</v>
      </c>
    </row>
    <row r="826" spans="11:11" x14ac:dyDescent="0.3">
      <c r="K826" t="s">
        <v>6978</v>
      </c>
    </row>
    <row r="827" spans="11:11" x14ac:dyDescent="0.3">
      <c r="K827" t="s">
        <v>8669</v>
      </c>
    </row>
    <row r="828" spans="11:11" x14ac:dyDescent="0.3">
      <c r="K828" t="s">
        <v>7830</v>
      </c>
    </row>
    <row r="829" spans="11:11" x14ac:dyDescent="0.3">
      <c r="K829" t="s">
        <v>8844</v>
      </c>
    </row>
    <row r="830" spans="11:11" x14ac:dyDescent="0.3">
      <c r="K830" t="s">
        <v>8845</v>
      </c>
    </row>
    <row r="831" spans="11:11" x14ac:dyDescent="0.3">
      <c r="K831" t="s">
        <v>6979</v>
      </c>
    </row>
    <row r="832" spans="11:11" x14ac:dyDescent="0.3">
      <c r="K832" t="s">
        <v>9842</v>
      </c>
    </row>
    <row r="833" spans="11:11" x14ac:dyDescent="0.3">
      <c r="K833" t="s">
        <v>10147</v>
      </c>
    </row>
    <row r="834" spans="11:11" x14ac:dyDescent="0.3">
      <c r="K834" t="s">
        <v>8846</v>
      </c>
    </row>
    <row r="835" spans="11:11" x14ac:dyDescent="0.3">
      <c r="K835" t="s">
        <v>5512</v>
      </c>
    </row>
    <row r="836" spans="11:11" x14ac:dyDescent="0.3">
      <c r="K836" t="s">
        <v>10148</v>
      </c>
    </row>
    <row r="837" spans="11:11" x14ac:dyDescent="0.3">
      <c r="K837" t="s">
        <v>10684</v>
      </c>
    </row>
    <row r="838" spans="11:11" x14ac:dyDescent="0.3">
      <c r="K838" t="s">
        <v>10848</v>
      </c>
    </row>
    <row r="839" spans="11:11" x14ac:dyDescent="0.3">
      <c r="K839" t="s">
        <v>7831</v>
      </c>
    </row>
    <row r="840" spans="11:11" x14ac:dyDescent="0.3">
      <c r="K840" t="s">
        <v>10849</v>
      </c>
    </row>
    <row r="841" spans="11:11" x14ac:dyDescent="0.3">
      <c r="K841" t="s">
        <v>7832</v>
      </c>
    </row>
    <row r="842" spans="11:11" x14ac:dyDescent="0.3">
      <c r="K842" t="s">
        <v>7755</v>
      </c>
    </row>
    <row r="843" spans="11:11" x14ac:dyDescent="0.3">
      <c r="K843" t="s">
        <v>5664</v>
      </c>
    </row>
    <row r="844" spans="11:11" x14ac:dyDescent="0.3">
      <c r="K844" t="s">
        <v>5663</v>
      </c>
    </row>
    <row r="845" spans="11:11" x14ac:dyDescent="0.3">
      <c r="K845" t="s">
        <v>10149</v>
      </c>
    </row>
    <row r="846" spans="11:11" x14ac:dyDescent="0.3">
      <c r="K846" t="s">
        <v>6767</v>
      </c>
    </row>
    <row r="847" spans="11:11" x14ac:dyDescent="0.3">
      <c r="K847" t="s">
        <v>10850</v>
      </c>
    </row>
    <row r="848" spans="11:11" x14ac:dyDescent="0.3">
      <c r="K848" t="s">
        <v>7833</v>
      </c>
    </row>
    <row r="849" spans="11:11" x14ac:dyDescent="0.3">
      <c r="K849" t="s">
        <v>5975</v>
      </c>
    </row>
    <row r="850" spans="11:11" x14ac:dyDescent="0.3">
      <c r="K850" t="s">
        <v>8847</v>
      </c>
    </row>
    <row r="851" spans="11:11" x14ac:dyDescent="0.3">
      <c r="K851" t="s">
        <v>7371</v>
      </c>
    </row>
    <row r="852" spans="11:11" x14ac:dyDescent="0.3">
      <c r="K852" t="s">
        <v>8670</v>
      </c>
    </row>
    <row r="853" spans="11:11" x14ac:dyDescent="0.3">
      <c r="K853" t="s">
        <v>6980</v>
      </c>
    </row>
    <row r="854" spans="11:11" x14ac:dyDescent="0.3">
      <c r="K854" t="s">
        <v>10150</v>
      </c>
    </row>
    <row r="855" spans="11:11" x14ac:dyDescent="0.3">
      <c r="K855" t="s">
        <v>5822</v>
      </c>
    </row>
    <row r="856" spans="11:11" x14ac:dyDescent="0.3">
      <c r="K856" t="s">
        <v>8595</v>
      </c>
    </row>
    <row r="857" spans="11:11" x14ac:dyDescent="0.3">
      <c r="K857" t="s">
        <v>6768</v>
      </c>
    </row>
    <row r="858" spans="11:11" x14ac:dyDescent="0.3">
      <c r="K858" t="s">
        <v>6769</v>
      </c>
    </row>
    <row r="859" spans="11:11" x14ac:dyDescent="0.3">
      <c r="K859" t="s">
        <v>6770</v>
      </c>
    </row>
    <row r="860" spans="11:11" x14ac:dyDescent="0.3">
      <c r="K860" t="s">
        <v>7144</v>
      </c>
    </row>
    <row r="861" spans="11:11" x14ac:dyDescent="0.3">
      <c r="K861" t="s">
        <v>10151</v>
      </c>
    </row>
    <row r="862" spans="11:11" x14ac:dyDescent="0.3">
      <c r="K862" t="s">
        <v>5486</v>
      </c>
    </row>
    <row r="863" spans="11:11" x14ac:dyDescent="0.3">
      <c r="K863" t="s">
        <v>8848</v>
      </c>
    </row>
    <row r="864" spans="11:11" x14ac:dyDescent="0.3">
      <c r="K864" t="s">
        <v>10851</v>
      </c>
    </row>
    <row r="865" spans="11:11" x14ac:dyDescent="0.3">
      <c r="K865" t="s">
        <v>7372</v>
      </c>
    </row>
    <row r="866" spans="11:11" x14ac:dyDescent="0.3">
      <c r="K866" t="s">
        <v>7373</v>
      </c>
    </row>
    <row r="867" spans="11:11" x14ac:dyDescent="0.3">
      <c r="K867" t="s">
        <v>7834</v>
      </c>
    </row>
    <row r="868" spans="11:11" x14ac:dyDescent="0.3">
      <c r="K868" t="s">
        <v>7374</v>
      </c>
    </row>
    <row r="869" spans="11:11" x14ac:dyDescent="0.3">
      <c r="K869" t="s">
        <v>7835</v>
      </c>
    </row>
    <row r="870" spans="11:11" x14ac:dyDescent="0.3">
      <c r="K870" t="s">
        <v>6981</v>
      </c>
    </row>
    <row r="871" spans="11:11" x14ac:dyDescent="0.3">
      <c r="K871" t="s">
        <v>7375</v>
      </c>
    </row>
    <row r="872" spans="11:11" x14ac:dyDescent="0.3">
      <c r="K872" t="s">
        <v>7376</v>
      </c>
    </row>
    <row r="873" spans="11:11" x14ac:dyDescent="0.3">
      <c r="K873" t="s">
        <v>9441</v>
      </c>
    </row>
    <row r="874" spans="11:11" x14ac:dyDescent="0.3">
      <c r="K874" t="s">
        <v>9442</v>
      </c>
    </row>
    <row r="875" spans="11:11" x14ac:dyDescent="0.3">
      <c r="K875" t="s">
        <v>8849</v>
      </c>
    </row>
    <row r="876" spans="11:11" x14ac:dyDescent="0.3">
      <c r="K876" t="s">
        <v>9443</v>
      </c>
    </row>
    <row r="877" spans="11:11" x14ac:dyDescent="0.3">
      <c r="K877" t="s">
        <v>8850</v>
      </c>
    </row>
    <row r="878" spans="11:11" x14ac:dyDescent="0.3">
      <c r="K878" t="s">
        <v>7836</v>
      </c>
    </row>
    <row r="879" spans="11:11" x14ac:dyDescent="0.3">
      <c r="K879" t="s">
        <v>10852</v>
      </c>
    </row>
    <row r="880" spans="11:11" x14ac:dyDescent="0.3">
      <c r="K880" t="s">
        <v>10152</v>
      </c>
    </row>
    <row r="881" spans="11:11" x14ac:dyDescent="0.3">
      <c r="K881" t="s">
        <v>9843</v>
      </c>
    </row>
    <row r="882" spans="11:11" x14ac:dyDescent="0.3">
      <c r="K882" t="s">
        <v>6578</v>
      </c>
    </row>
    <row r="883" spans="11:11" x14ac:dyDescent="0.3">
      <c r="K883" t="s">
        <v>6579</v>
      </c>
    </row>
    <row r="884" spans="11:11" x14ac:dyDescent="0.3">
      <c r="K884" t="s">
        <v>6771</v>
      </c>
    </row>
    <row r="885" spans="11:11" x14ac:dyDescent="0.3">
      <c r="K885" t="s">
        <v>10153</v>
      </c>
    </row>
    <row r="886" spans="11:11" x14ac:dyDescent="0.3">
      <c r="K886" t="s">
        <v>6580</v>
      </c>
    </row>
    <row r="887" spans="11:11" x14ac:dyDescent="0.3">
      <c r="K887" t="s">
        <v>8851</v>
      </c>
    </row>
    <row r="888" spans="11:11" x14ac:dyDescent="0.3">
      <c r="K888" t="s">
        <v>7377</v>
      </c>
    </row>
    <row r="889" spans="11:11" x14ac:dyDescent="0.3">
      <c r="K889" t="s">
        <v>8852</v>
      </c>
    </row>
    <row r="890" spans="11:11" x14ac:dyDescent="0.3">
      <c r="K890" t="s">
        <v>8853</v>
      </c>
    </row>
    <row r="891" spans="11:11" x14ac:dyDescent="0.3">
      <c r="K891" t="s">
        <v>5976</v>
      </c>
    </row>
    <row r="892" spans="11:11" x14ac:dyDescent="0.3">
      <c r="K892" t="s">
        <v>5977</v>
      </c>
    </row>
    <row r="893" spans="11:11" x14ac:dyDescent="0.3">
      <c r="K893" t="s">
        <v>8854</v>
      </c>
    </row>
    <row r="894" spans="11:11" x14ac:dyDescent="0.3">
      <c r="K894" t="s">
        <v>6189</v>
      </c>
    </row>
    <row r="895" spans="11:11" x14ac:dyDescent="0.3">
      <c r="K895" t="s">
        <v>6772</v>
      </c>
    </row>
    <row r="896" spans="11:11" x14ac:dyDescent="0.3">
      <c r="K896" t="s">
        <v>6773</v>
      </c>
    </row>
    <row r="897" spans="11:11" x14ac:dyDescent="0.3">
      <c r="K897" t="s">
        <v>8855</v>
      </c>
    </row>
    <row r="898" spans="11:11" x14ac:dyDescent="0.3">
      <c r="K898" t="s">
        <v>6190</v>
      </c>
    </row>
    <row r="899" spans="11:11" x14ac:dyDescent="0.3">
      <c r="K899" t="s">
        <v>7145</v>
      </c>
    </row>
    <row r="900" spans="11:11" x14ac:dyDescent="0.3">
      <c r="K900" t="s">
        <v>7837</v>
      </c>
    </row>
    <row r="901" spans="11:11" x14ac:dyDescent="0.3">
      <c r="K901" t="s">
        <v>8856</v>
      </c>
    </row>
    <row r="902" spans="11:11" x14ac:dyDescent="0.3">
      <c r="K902" t="s">
        <v>6982</v>
      </c>
    </row>
    <row r="903" spans="11:11" x14ac:dyDescent="0.3">
      <c r="K903" t="s">
        <v>5781</v>
      </c>
    </row>
    <row r="904" spans="11:11" x14ac:dyDescent="0.3">
      <c r="K904" t="s">
        <v>6774</v>
      </c>
    </row>
    <row r="905" spans="11:11" x14ac:dyDescent="0.3">
      <c r="K905" t="s">
        <v>10853</v>
      </c>
    </row>
    <row r="906" spans="11:11" x14ac:dyDescent="0.3">
      <c r="K906" t="s">
        <v>7838</v>
      </c>
    </row>
    <row r="907" spans="11:11" x14ac:dyDescent="0.3">
      <c r="K907" t="s">
        <v>10854</v>
      </c>
    </row>
    <row r="908" spans="11:11" x14ac:dyDescent="0.3">
      <c r="K908" t="s">
        <v>6191</v>
      </c>
    </row>
    <row r="909" spans="11:11" x14ac:dyDescent="0.3">
      <c r="K909" t="s">
        <v>7378</v>
      </c>
    </row>
    <row r="910" spans="11:11" x14ac:dyDescent="0.3">
      <c r="K910" t="s">
        <v>9444</v>
      </c>
    </row>
    <row r="911" spans="11:11" x14ac:dyDescent="0.3">
      <c r="K911" t="s">
        <v>9844</v>
      </c>
    </row>
    <row r="912" spans="11:11" x14ac:dyDescent="0.3">
      <c r="K912" t="s">
        <v>6983</v>
      </c>
    </row>
    <row r="913" spans="11:11" x14ac:dyDescent="0.3">
      <c r="K913" t="s">
        <v>7379</v>
      </c>
    </row>
    <row r="914" spans="11:11" x14ac:dyDescent="0.3">
      <c r="K914" t="s">
        <v>7380</v>
      </c>
    </row>
    <row r="915" spans="11:11" x14ac:dyDescent="0.3">
      <c r="K915" t="s">
        <v>7839</v>
      </c>
    </row>
    <row r="916" spans="11:11" x14ac:dyDescent="0.3">
      <c r="K916" t="s">
        <v>6775</v>
      </c>
    </row>
    <row r="917" spans="11:11" x14ac:dyDescent="0.3">
      <c r="K917" t="s">
        <v>7381</v>
      </c>
    </row>
    <row r="918" spans="11:11" x14ac:dyDescent="0.3">
      <c r="K918" t="s">
        <v>7840</v>
      </c>
    </row>
    <row r="919" spans="11:11" x14ac:dyDescent="0.3">
      <c r="K919" t="s">
        <v>10604</v>
      </c>
    </row>
    <row r="920" spans="11:11" x14ac:dyDescent="0.3">
      <c r="K920" t="s">
        <v>10154</v>
      </c>
    </row>
    <row r="921" spans="11:11" x14ac:dyDescent="0.3">
      <c r="K921" t="s">
        <v>6984</v>
      </c>
    </row>
    <row r="922" spans="11:11" x14ac:dyDescent="0.3">
      <c r="K922" t="s">
        <v>10155</v>
      </c>
    </row>
    <row r="923" spans="11:11" x14ac:dyDescent="0.3">
      <c r="K923" t="s">
        <v>10156</v>
      </c>
    </row>
    <row r="924" spans="11:11" x14ac:dyDescent="0.3">
      <c r="K924" t="s">
        <v>9445</v>
      </c>
    </row>
    <row r="925" spans="11:11" x14ac:dyDescent="0.3">
      <c r="K925" t="s">
        <v>9446</v>
      </c>
    </row>
    <row r="926" spans="11:11" x14ac:dyDescent="0.3">
      <c r="K926" t="s">
        <v>9447</v>
      </c>
    </row>
    <row r="927" spans="11:11" x14ac:dyDescent="0.3">
      <c r="K927" t="s">
        <v>9845</v>
      </c>
    </row>
    <row r="928" spans="11:11" x14ac:dyDescent="0.3">
      <c r="K928" t="s">
        <v>8671</v>
      </c>
    </row>
    <row r="929" spans="11:11" x14ac:dyDescent="0.3">
      <c r="K929" t="s">
        <v>7841</v>
      </c>
    </row>
    <row r="930" spans="11:11" x14ac:dyDescent="0.3">
      <c r="K930" t="s">
        <v>7842</v>
      </c>
    </row>
    <row r="931" spans="11:11" x14ac:dyDescent="0.3">
      <c r="K931" t="s">
        <v>5665</v>
      </c>
    </row>
    <row r="932" spans="11:11" x14ac:dyDescent="0.3">
      <c r="K932" t="s">
        <v>6985</v>
      </c>
    </row>
    <row r="933" spans="11:11" x14ac:dyDescent="0.3">
      <c r="K933" t="s">
        <v>6405</v>
      </c>
    </row>
    <row r="934" spans="11:11" x14ac:dyDescent="0.3">
      <c r="K934" t="s">
        <v>7843</v>
      </c>
    </row>
    <row r="935" spans="11:11" x14ac:dyDescent="0.3">
      <c r="K935" t="s">
        <v>7844</v>
      </c>
    </row>
    <row r="936" spans="11:11" x14ac:dyDescent="0.3">
      <c r="K936" t="s">
        <v>10157</v>
      </c>
    </row>
    <row r="937" spans="11:11" x14ac:dyDescent="0.3">
      <c r="K937" t="s">
        <v>10855</v>
      </c>
    </row>
    <row r="938" spans="11:11" x14ac:dyDescent="0.3">
      <c r="K938" t="s">
        <v>5978</v>
      </c>
    </row>
    <row r="939" spans="11:11" x14ac:dyDescent="0.3">
      <c r="K939" t="s">
        <v>7146</v>
      </c>
    </row>
    <row r="940" spans="11:11" x14ac:dyDescent="0.3">
      <c r="K940" t="s">
        <v>7845</v>
      </c>
    </row>
    <row r="941" spans="11:11" x14ac:dyDescent="0.3">
      <c r="K941" t="s">
        <v>9448</v>
      </c>
    </row>
    <row r="942" spans="11:11" x14ac:dyDescent="0.3">
      <c r="K942" t="s">
        <v>10158</v>
      </c>
    </row>
    <row r="943" spans="11:11" x14ac:dyDescent="0.3">
      <c r="K943" t="s">
        <v>8857</v>
      </c>
    </row>
    <row r="944" spans="11:11" x14ac:dyDescent="0.3">
      <c r="K944" t="s">
        <v>9449</v>
      </c>
    </row>
    <row r="945" spans="11:11" x14ac:dyDescent="0.3">
      <c r="K945" t="s">
        <v>9450</v>
      </c>
    </row>
    <row r="946" spans="11:11" x14ac:dyDescent="0.3">
      <c r="K946" t="s">
        <v>6776</v>
      </c>
    </row>
    <row r="947" spans="11:11" x14ac:dyDescent="0.3">
      <c r="K947" t="s">
        <v>7846</v>
      </c>
    </row>
    <row r="948" spans="11:11" x14ac:dyDescent="0.3">
      <c r="K948" t="s">
        <v>10856</v>
      </c>
    </row>
    <row r="949" spans="11:11" x14ac:dyDescent="0.3">
      <c r="K949" t="s">
        <v>10685</v>
      </c>
    </row>
    <row r="950" spans="11:11" x14ac:dyDescent="0.3">
      <c r="K950" t="s">
        <v>6192</v>
      </c>
    </row>
    <row r="951" spans="11:11" x14ac:dyDescent="0.3">
      <c r="K951" t="s">
        <v>10159</v>
      </c>
    </row>
    <row r="952" spans="11:11" x14ac:dyDescent="0.3">
      <c r="K952" t="s">
        <v>8858</v>
      </c>
    </row>
    <row r="953" spans="11:11" x14ac:dyDescent="0.3">
      <c r="K953" t="s">
        <v>10857</v>
      </c>
    </row>
    <row r="954" spans="11:11" x14ac:dyDescent="0.3">
      <c r="K954" t="s">
        <v>10858</v>
      </c>
    </row>
    <row r="955" spans="11:11" x14ac:dyDescent="0.3">
      <c r="K955" t="s">
        <v>7382</v>
      </c>
    </row>
    <row r="956" spans="11:11" x14ac:dyDescent="0.3">
      <c r="K956" t="s">
        <v>6193</v>
      </c>
    </row>
    <row r="957" spans="11:11" x14ac:dyDescent="0.3">
      <c r="K957" t="s">
        <v>7147</v>
      </c>
    </row>
    <row r="958" spans="11:11" x14ac:dyDescent="0.3">
      <c r="K958" t="s">
        <v>9847</v>
      </c>
    </row>
    <row r="959" spans="11:11" x14ac:dyDescent="0.3">
      <c r="K959" t="s">
        <v>7847</v>
      </c>
    </row>
    <row r="960" spans="11:11" x14ac:dyDescent="0.3">
      <c r="K960" t="s">
        <v>9848</v>
      </c>
    </row>
    <row r="961" spans="11:11" x14ac:dyDescent="0.3">
      <c r="K961" t="s">
        <v>7848</v>
      </c>
    </row>
    <row r="962" spans="11:11" x14ac:dyDescent="0.3">
      <c r="K962" t="s">
        <v>10160</v>
      </c>
    </row>
    <row r="963" spans="11:11" x14ac:dyDescent="0.3">
      <c r="K963" t="s">
        <v>9451</v>
      </c>
    </row>
    <row r="964" spans="11:11" x14ac:dyDescent="0.3">
      <c r="K964" t="s">
        <v>6937</v>
      </c>
    </row>
    <row r="965" spans="11:11" x14ac:dyDescent="0.3">
      <c r="K965" t="s">
        <v>7243</v>
      </c>
    </row>
    <row r="966" spans="11:11" x14ac:dyDescent="0.3">
      <c r="K966" t="s">
        <v>7849</v>
      </c>
    </row>
    <row r="967" spans="11:11" x14ac:dyDescent="0.3">
      <c r="K967" t="s">
        <v>9452</v>
      </c>
    </row>
    <row r="968" spans="11:11" x14ac:dyDescent="0.3">
      <c r="K968" t="s">
        <v>9849</v>
      </c>
    </row>
    <row r="969" spans="11:11" x14ac:dyDescent="0.3">
      <c r="K969" t="s">
        <v>7850</v>
      </c>
    </row>
    <row r="970" spans="11:11" x14ac:dyDescent="0.3">
      <c r="K970" t="s">
        <v>7383</v>
      </c>
    </row>
    <row r="971" spans="11:11" x14ac:dyDescent="0.3">
      <c r="K971" t="s">
        <v>6194</v>
      </c>
    </row>
    <row r="972" spans="11:11" x14ac:dyDescent="0.3">
      <c r="K972" t="s">
        <v>7148</v>
      </c>
    </row>
    <row r="973" spans="11:11" x14ac:dyDescent="0.3">
      <c r="K973" t="s">
        <v>10605</v>
      </c>
    </row>
    <row r="974" spans="11:11" x14ac:dyDescent="0.3">
      <c r="K974" t="s">
        <v>6195</v>
      </c>
    </row>
    <row r="975" spans="11:11" x14ac:dyDescent="0.3">
      <c r="K975" t="s">
        <v>9453</v>
      </c>
    </row>
    <row r="976" spans="11:11" x14ac:dyDescent="0.3">
      <c r="K976" t="s">
        <v>10859</v>
      </c>
    </row>
    <row r="977" spans="11:11" x14ac:dyDescent="0.3">
      <c r="K977" t="s">
        <v>8859</v>
      </c>
    </row>
    <row r="978" spans="11:11" x14ac:dyDescent="0.3">
      <c r="K978" t="s">
        <v>9454</v>
      </c>
    </row>
    <row r="979" spans="11:11" x14ac:dyDescent="0.3">
      <c r="K979" t="s">
        <v>6196</v>
      </c>
    </row>
    <row r="980" spans="11:11" x14ac:dyDescent="0.3">
      <c r="K980" t="s">
        <v>9455</v>
      </c>
    </row>
    <row r="981" spans="11:11" x14ac:dyDescent="0.3">
      <c r="K981" t="s">
        <v>5513</v>
      </c>
    </row>
    <row r="982" spans="11:11" x14ac:dyDescent="0.3">
      <c r="K982" t="s">
        <v>10686</v>
      </c>
    </row>
    <row r="983" spans="11:11" x14ac:dyDescent="0.3">
      <c r="K983" t="s">
        <v>10161</v>
      </c>
    </row>
    <row r="984" spans="11:11" x14ac:dyDescent="0.3">
      <c r="K984" t="s">
        <v>6581</v>
      </c>
    </row>
    <row r="985" spans="11:11" x14ac:dyDescent="0.3">
      <c r="K985" t="s">
        <v>10687</v>
      </c>
    </row>
    <row r="986" spans="11:11" x14ac:dyDescent="0.3">
      <c r="K986" t="s">
        <v>7851</v>
      </c>
    </row>
    <row r="987" spans="11:11" x14ac:dyDescent="0.3">
      <c r="K987" t="s">
        <v>10860</v>
      </c>
    </row>
    <row r="988" spans="11:11" x14ac:dyDescent="0.3">
      <c r="K988" t="s">
        <v>10162</v>
      </c>
    </row>
    <row r="989" spans="11:11" x14ac:dyDescent="0.3">
      <c r="K989" t="s">
        <v>10688</v>
      </c>
    </row>
    <row r="990" spans="11:11" x14ac:dyDescent="0.3">
      <c r="K990" t="s">
        <v>8860</v>
      </c>
    </row>
    <row r="991" spans="11:11" x14ac:dyDescent="0.3">
      <c r="K991" t="s">
        <v>8674</v>
      </c>
    </row>
    <row r="992" spans="11:11" x14ac:dyDescent="0.3">
      <c r="K992" t="s">
        <v>7852</v>
      </c>
    </row>
    <row r="993" spans="11:11" x14ac:dyDescent="0.3">
      <c r="K993" t="s">
        <v>5823</v>
      </c>
    </row>
    <row r="994" spans="11:11" x14ac:dyDescent="0.3">
      <c r="K994" t="s">
        <v>8861</v>
      </c>
    </row>
    <row r="995" spans="11:11" x14ac:dyDescent="0.3">
      <c r="K995" t="s">
        <v>9850</v>
      </c>
    </row>
    <row r="996" spans="11:11" x14ac:dyDescent="0.3">
      <c r="K996" t="s">
        <v>6406</v>
      </c>
    </row>
    <row r="997" spans="11:11" x14ac:dyDescent="0.3">
      <c r="K997" t="s">
        <v>10861</v>
      </c>
    </row>
    <row r="998" spans="11:11" x14ac:dyDescent="0.3">
      <c r="K998" t="s">
        <v>6986</v>
      </c>
    </row>
    <row r="999" spans="11:11" x14ac:dyDescent="0.3">
      <c r="K999" t="s">
        <v>7855</v>
      </c>
    </row>
    <row r="1000" spans="11:11" x14ac:dyDescent="0.3">
      <c r="K1000" t="s">
        <v>5666</v>
      </c>
    </row>
    <row r="1001" spans="11:11" x14ac:dyDescent="0.3">
      <c r="K1001" t="s">
        <v>7853</v>
      </c>
    </row>
    <row r="1002" spans="11:11" x14ac:dyDescent="0.3">
      <c r="K1002" t="s">
        <v>10689</v>
      </c>
    </row>
    <row r="1003" spans="11:11" x14ac:dyDescent="0.3">
      <c r="K1003" t="s">
        <v>8862</v>
      </c>
    </row>
    <row r="1004" spans="11:11" x14ac:dyDescent="0.3">
      <c r="K1004" t="s">
        <v>7149</v>
      </c>
    </row>
    <row r="1005" spans="11:11" x14ac:dyDescent="0.3">
      <c r="K1005" t="s">
        <v>7384</v>
      </c>
    </row>
    <row r="1006" spans="11:11" x14ac:dyDescent="0.3">
      <c r="K1006" t="s">
        <v>7854</v>
      </c>
    </row>
    <row r="1007" spans="11:11" x14ac:dyDescent="0.3">
      <c r="K1007" t="s">
        <v>7385</v>
      </c>
    </row>
    <row r="1008" spans="11:11" x14ac:dyDescent="0.3">
      <c r="K1008" t="s">
        <v>10690</v>
      </c>
    </row>
    <row r="1009" spans="11:11" x14ac:dyDescent="0.3">
      <c r="K1009" t="s">
        <v>8863</v>
      </c>
    </row>
    <row r="1010" spans="11:11" x14ac:dyDescent="0.3">
      <c r="K1010" t="s">
        <v>6197</v>
      </c>
    </row>
    <row r="1011" spans="11:11" x14ac:dyDescent="0.3">
      <c r="K1011" t="s">
        <v>7386</v>
      </c>
    </row>
    <row r="1012" spans="11:11" x14ac:dyDescent="0.3">
      <c r="K1012" t="s">
        <v>7387</v>
      </c>
    </row>
    <row r="1013" spans="11:11" x14ac:dyDescent="0.3">
      <c r="K1013" t="s">
        <v>5514</v>
      </c>
    </row>
    <row r="1014" spans="11:11" x14ac:dyDescent="0.3">
      <c r="K1014" t="s">
        <v>7388</v>
      </c>
    </row>
    <row r="1015" spans="11:11" x14ac:dyDescent="0.3">
      <c r="K1015" t="s">
        <v>7856</v>
      </c>
    </row>
    <row r="1016" spans="11:11" x14ac:dyDescent="0.3">
      <c r="K1016" t="s">
        <v>10163</v>
      </c>
    </row>
    <row r="1017" spans="11:11" x14ac:dyDescent="0.3">
      <c r="K1017" t="s">
        <v>7389</v>
      </c>
    </row>
    <row r="1018" spans="11:11" x14ac:dyDescent="0.3">
      <c r="K1018" t="s">
        <v>9456</v>
      </c>
    </row>
    <row r="1019" spans="11:11" x14ac:dyDescent="0.3">
      <c r="K1019" t="s">
        <v>10164</v>
      </c>
    </row>
    <row r="1020" spans="11:11" x14ac:dyDescent="0.3">
      <c r="K1020" t="s">
        <v>5979</v>
      </c>
    </row>
    <row r="1021" spans="11:11" x14ac:dyDescent="0.3">
      <c r="K1021" t="s">
        <v>8864</v>
      </c>
    </row>
    <row r="1022" spans="11:11" x14ac:dyDescent="0.3">
      <c r="K1022" t="s">
        <v>8865</v>
      </c>
    </row>
    <row r="1023" spans="11:11" x14ac:dyDescent="0.3">
      <c r="K1023" t="s">
        <v>7390</v>
      </c>
    </row>
    <row r="1024" spans="11:11" x14ac:dyDescent="0.3">
      <c r="K1024" t="s">
        <v>10165</v>
      </c>
    </row>
    <row r="1025" spans="11:11" x14ac:dyDescent="0.3">
      <c r="K1025" t="s">
        <v>9457</v>
      </c>
    </row>
    <row r="1026" spans="11:11" x14ac:dyDescent="0.3">
      <c r="K1026" t="s">
        <v>10166</v>
      </c>
    </row>
    <row r="1027" spans="11:11" x14ac:dyDescent="0.3">
      <c r="K1027" t="s">
        <v>9851</v>
      </c>
    </row>
    <row r="1028" spans="11:11" x14ac:dyDescent="0.3">
      <c r="K1028" t="s">
        <v>6582</v>
      </c>
    </row>
    <row r="1029" spans="11:11" x14ac:dyDescent="0.3">
      <c r="K1029" t="s">
        <v>10167</v>
      </c>
    </row>
    <row r="1030" spans="11:11" x14ac:dyDescent="0.3">
      <c r="K1030" t="s">
        <v>7244</v>
      </c>
    </row>
    <row r="1031" spans="11:11" x14ac:dyDescent="0.3">
      <c r="K1031" t="s">
        <v>6987</v>
      </c>
    </row>
    <row r="1032" spans="11:11" x14ac:dyDescent="0.3">
      <c r="K1032" t="s">
        <v>7245</v>
      </c>
    </row>
    <row r="1033" spans="11:11" x14ac:dyDescent="0.3">
      <c r="K1033" t="s">
        <v>6407</v>
      </c>
    </row>
    <row r="1034" spans="11:11" x14ac:dyDescent="0.3">
      <c r="K1034" t="s">
        <v>8866</v>
      </c>
    </row>
    <row r="1035" spans="11:11" x14ac:dyDescent="0.3">
      <c r="K1035" t="s">
        <v>10168</v>
      </c>
    </row>
    <row r="1036" spans="11:11" x14ac:dyDescent="0.3">
      <c r="K1036" t="s">
        <v>9852</v>
      </c>
    </row>
    <row r="1037" spans="11:11" x14ac:dyDescent="0.3">
      <c r="K1037" t="s">
        <v>7391</v>
      </c>
    </row>
    <row r="1038" spans="11:11" x14ac:dyDescent="0.3">
      <c r="K1038" t="s">
        <v>5623</v>
      </c>
    </row>
    <row r="1039" spans="11:11" x14ac:dyDescent="0.3">
      <c r="K1039" t="s">
        <v>7857</v>
      </c>
    </row>
    <row r="1040" spans="11:11" x14ac:dyDescent="0.3">
      <c r="K1040" t="s">
        <v>9458</v>
      </c>
    </row>
    <row r="1041" spans="11:11" x14ac:dyDescent="0.3">
      <c r="K1041" t="s">
        <v>8675</v>
      </c>
    </row>
    <row r="1042" spans="11:11" x14ac:dyDescent="0.3">
      <c r="K1042" t="s">
        <v>5980</v>
      </c>
    </row>
    <row r="1043" spans="11:11" x14ac:dyDescent="0.3">
      <c r="K1043" t="s">
        <v>6198</v>
      </c>
    </row>
    <row r="1044" spans="11:11" x14ac:dyDescent="0.3">
      <c r="K1044" t="s">
        <v>10169</v>
      </c>
    </row>
    <row r="1045" spans="11:11" x14ac:dyDescent="0.3">
      <c r="K1045" t="s">
        <v>7392</v>
      </c>
    </row>
    <row r="1046" spans="11:11" x14ac:dyDescent="0.3">
      <c r="K1046" t="s">
        <v>5572</v>
      </c>
    </row>
    <row r="1047" spans="11:11" x14ac:dyDescent="0.3">
      <c r="K1047" t="s">
        <v>5667</v>
      </c>
    </row>
    <row r="1048" spans="11:11" x14ac:dyDescent="0.3">
      <c r="K1048" t="s">
        <v>9459</v>
      </c>
    </row>
    <row r="1049" spans="11:11" x14ac:dyDescent="0.3">
      <c r="K1049" t="s">
        <v>9846</v>
      </c>
    </row>
    <row r="1050" spans="11:11" x14ac:dyDescent="0.3">
      <c r="K1050" t="s">
        <v>10170</v>
      </c>
    </row>
    <row r="1051" spans="11:11" x14ac:dyDescent="0.3">
      <c r="K1051" t="s">
        <v>8867</v>
      </c>
    </row>
    <row r="1052" spans="11:11" x14ac:dyDescent="0.3">
      <c r="K1052" t="s">
        <v>10171</v>
      </c>
    </row>
    <row r="1053" spans="11:11" x14ac:dyDescent="0.3">
      <c r="K1053" t="s">
        <v>10172</v>
      </c>
    </row>
    <row r="1054" spans="11:11" x14ac:dyDescent="0.3">
      <c r="K1054" t="s">
        <v>10173</v>
      </c>
    </row>
    <row r="1055" spans="11:11" x14ac:dyDescent="0.3">
      <c r="K1055" t="s">
        <v>7858</v>
      </c>
    </row>
    <row r="1056" spans="11:11" x14ac:dyDescent="0.3">
      <c r="K1056" t="s">
        <v>10175</v>
      </c>
    </row>
    <row r="1057" spans="11:11" x14ac:dyDescent="0.3">
      <c r="K1057" t="s">
        <v>7393</v>
      </c>
    </row>
    <row r="1058" spans="11:11" x14ac:dyDescent="0.3">
      <c r="K1058" t="s">
        <v>8868</v>
      </c>
    </row>
    <row r="1059" spans="11:11" x14ac:dyDescent="0.3">
      <c r="K1059" t="s">
        <v>7859</v>
      </c>
    </row>
    <row r="1060" spans="11:11" x14ac:dyDescent="0.3">
      <c r="K1060" t="s">
        <v>7150</v>
      </c>
    </row>
    <row r="1061" spans="11:11" x14ac:dyDescent="0.3">
      <c r="K1061" t="s">
        <v>7246</v>
      </c>
    </row>
    <row r="1062" spans="11:11" x14ac:dyDescent="0.3">
      <c r="K1062" t="s">
        <v>7860</v>
      </c>
    </row>
    <row r="1063" spans="11:11" x14ac:dyDescent="0.3">
      <c r="K1063" t="s">
        <v>7861</v>
      </c>
    </row>
    <row r="1064" spans="11:11" x14ac:dyDescent="0.3">
      <c r="K1064" t="s">
        <v>7862</v>
      </c>
    </row>
    <row r="1065" spans="11:11" x14ac:dyDescent="0.3">
      <c r="K1065" t="s">
        <v>7394</v>
      </c>
    </row>
    <row r="1066" spans="11:11" x14ac:dyDescent="0.3">
      <c r="K1066" t="s">
        <v>6777</v>
      </c>
    </row>
    <row r="1067" spans="11:11" x14ac:dyDescent="0.3">
      <c r="K1067" t="s">
        <v>7863</v>
      </c>
    </row>
    <row r="1068" spans="11:11" x14ac:dyDescent="0.3">
      <c r="K1068" t="s">
        <v>5981</v>
      </c>
    </row>
    <row r="1069" spans="11:11" x14ac:dyDescent="0.3">
      <c r="K1069" t="s">
        <v>9853</v>
      </c>
    </row>
    <row r="1070" spans="11:11" x14ac:dyDescent="0.3">
      <c r="K1070" t="s">
        <v>6408</v>
      </c>
    </row>
    <row r="1071" spans="11:11" x14ac:dyDescent="0.3">
      <c r="K1071" t="s">
        <v>7864</v>
      </c>
    </row>
    <row r="1072" spans="11:11" x14ac:dyDescent="0.3">
      <c r="K1072" t="s">
        <v>6199</v>
      </c>
    </row>
    <row r="1073" spans="11:11" x14ac:dyDescent="0.3">
      <c r="K1073" t="s">
        <v>7865</v>
      </c>
    </row>
    <row r="1074" spans="11:11" x14ac:dyDescent="0.3">
      <c r="K1074" t="s">
        <v>6200</v>
      </c>
    </row>
    <row r="1075" spans="11:11" x14ac:dyDescent="0.3">
      <c r="K1075" t="s">
        <v>9460</v>
      </c>
    </row>
    <row r="1076" spans="11:11" x14ac:dyDescent="0.3">
      <c r="K1076" t="s">
        <v>5668</v>
      </c>
    </row>
    <row r="1077" spans="11:11" x14ac:dyDescent="0.3">
      <c r="K1077" t="s">
        <v>10176</v>
      </c>
    </row>
    <row r="1078" spans="11:11" x14ac:dyDescent="0.3">
      <c r="K1078" t="s">
        <v>7866</v>
      </c>
    </row>
    <row r="1079" spans="11:11" x14ac:dyDescent="0.3">
      <c r="K1079" t="s">
        <v>9854</v>
      </c>
    </row>
    <row r="1080" spans="11:11" x14ac:dyDescent="0.3">
      <c r="K1080" t="s">
        <v>10174</v>
      </c>
    </row>
    <row r="1081" spans="11:11" x14ac:dyDescent="0.3">
      <c r="K1081" t="s">
        <v>8869</v>
      </c>
    </row>
    <row r="1082" spans="11:11" x14ac:dyDescent="0.3">
      <c r="K1082" t="s">
        <v>5539</v>
      </c>
    </row>
    <row r="1083" spans="11:11" x14ac:dyDescent="0.3">
      <c r="K1083" t="s">
        <v>6988</v>
      </c>
    </row>
    <row r="1084" spans="11:11" x14ac:dyDescent="0.3">
      <c r="K1084" t="s">
        <v>7867</v>
      </c>
    </row>
    <row r="1085" spans="11:11" x14ac:dyDescent="0.3">
      <c r="K1085" t="s">
        <v>10178</v>
      </c>
    </row>
    <row r="1086" spans="11:11" x14ac:dyDescent="0.3">
      <c r="K1086" t="s">
        <v>5624</v>
      </c>
    </row>
    <row r="1087" spans="11:11" x14ac:dyDescent="0.3">
      <c r="K1087" t="s">
        <v>10606</v>
      </c>
    </row>
    <row r="1088" spans="11:11" x14ac:dyDescent="0.3">
      <c r="K1088" t="s">
        <v>6201</v>
      </c>
    </row>
    <row r="1089" spans="11:11" x14ac:dyDescent="0.3">
      <c r="K1089" t="s">
        <v>8870</v>
      </c>
    </row>
    <row r="1090" spans="11:11" x14ac:dyDescent="0.3">
      <c r="K1090" t="s">
        <v>7868</v>
      </c>
    </row>
    <row r="1091" spans="11:11" x14ac:dyDescent="0.3">
      <c r="K1091" t="s">
        <v>7395</v>
      </c>
    </row>
    <row r="1092" spans="11:11" x14ac:dyDescent="0.3">
      <c r="K1092" t="s">
        <v>9461</v>
      </c>
    </row>
    <row r="1093" spans="11:11" x14ac:dyDescent="0.3">
      <c r="K1093" t="s">
        <v>7869</v>
      </c>
    </row>
    <row r="1094" spans="11:11" x14ac:dyDescent="0.3">
      <c r="K1094" t="s">
        <v>7870</v>
      </c>
    </row>
    <row r="1095" spans="11:11" x14ac:dyDescent="0.3">
      <c r="K1095" t="s">
        <v>7871</v>
      </c>
    </row>
    <row r="1096" spans="11:11" x14ac:dyDescent="0.3">
      <c r="K1096" t="s">
        <v>8672</v>
      </c>
    </row>
    <row r="1097" spans="11:11" x14ac:dyDescent="0.3">
      <c r="K1097" t="s">
        <v>8871</v>
      </c>
    </row>
    <row r="1098" spans="11:11" x14ac:dyDescent="0.3">
      <c r="K1098" t="s">
        <v>7872</v>
      </c>
    </row>
    <row r="1099" spans="11:11" x14ac:dyDescent="0.3">
      <c r="K1099" t="s">
        <v>5573</v>
      </c>
    </row>
    <row r="1100" spans="11:11" x14ac:dyDescent="0.3">
      <c r="K1100" t="s">
        <v>6202</v>
      </c>
    </row>
    <row r="1101" spans="11:11" x14ac:dyDescent="0.3">
      <c r="K1101" t="s">
        <v>6778</v>
      </c>
    </row>
    <row r="1102" spans="11:11" x14ac:dyDescent="0.3">
      <c r="K1102" t="s">
        <v>6583</v>
      </c>
    </row>
    <row r="1103" spans="11:11" x14ac:dyDescent="0.3">
      <c r="K1103" t="s">
        <v>7396</v>
      </c>
    </row>
    <row r="1104" spans="11:11" x14ac:dyDescent="0.3">
      <c r="K1104" t="s">
        <v>10177</v>
      </c>
    </row>
    <row r="1105" spans="11:11" x14ac:dyDescent="0.3">
      <c r="K1105" t="s">
        <v>7873</v>
      </c>
    </row>
    <row r="1106" spans="11:11" x14ac:dyDescent="0.3">
      <c r="K1106" t="s">
        <v>7397</v>
      </c>
    </row>
    <row r="1107" spans="11:11" x14ac:dyDescent="0.3">
      <c r="K1107" t="s">
        <v>8676</v>
      </c>
    </row>
    <row r="1108" spans="11:11" x14ac:dyDescent="0.3">
      <c r="K1108" t="s">
        <v>8872</v>
      </c>
    </row>
    <row r="1109" spans="11:11" x14ac:dyDescent="0.3">
      <c r="K1109" t="s">
        <v>7874</v>
      </c>
    </row>
    <row r="1110" spans="11:11" x14ac:dyDescent="0.3">
      <c r="K1110" t="s">
        <v>5575</v>
      </c>
    </row>
    <row r="1111" spans="11:11" x14ac:dyDescent="0.3">
      <c r="K1111" t="s">
        <v>5574</v>
      </c>
    </row>
    <row r="1112" spans="11:11" x14ac:dyDescent="0.3">
      <c r="K1112" t="s">
        <v>8596</v>
      </c>
    </row>
    <row r="1113" spans="11:11" x14ac:dyDescent="0.3">
      <c r="K1113" t="s">
        <v>6203</v>
      </c>
    </row>
    <row r="1114" spans="11:11" x14ac:dyDescent="0.3">
      <c r="K1114" t="s">
        <v>6409</v>
      </c>
    </row>
    <row r="1115" spans="11:11" x14ac:dyDescent="0.3">
      <c r="K1115" t="s">
        <v>7398</v>
      </c>
    </row>
    <row r="1116" spans="11:11" x14ac:dyDescent="0.3">
      <c r="K1116" t="s">
        <v>7247</v>
      </c>
    </row>
    <row r="1117" spans="11:11" x14ac:dyDescent="0.3">
      <c r="K1117" t="s">
        <v>6410</v>
      </c>
    </row>
    <row r="1118" spans="11:11" x14ac:dyDescent="0.3">
      <c r="K1118" t="s">
        <v>5824</v>
      </c>
    </row>
    <row r="1119" spans="11:11" x14ac:dyDescent="0.3">
      <c r="K1119" t="s">
        <v>6411</v>
      </c>
    </row>
    <row r="1120" spans="11:11" x14ac:dyDescent="0.3">
      <c r="K1120" t="s">
        <v>6412</v>
      </c>
    </row>
    <row r="1121" spans="11:11" x14ac:dyDescent="0.3">
      <c r="K1121" t="s">
        <v>10691</v>
      </c>
    </row>
    <row r="1122" spans="11:11" x14ac:dyDescent="0.3">
      <c r="K1122" t="s">
        <v>9462</v>
      </c>
    </row>
    <row r="1123" spans="11:11" x14ac:dyDescent="0.3">
      <c r="K1123" t="s">
        <v>10179</v>
      </c>
    </row>
    <row r="1124" spans="11:11" x14ac:dyDescent="0.3">
      <c r="K1124" t="s">
        <v>7875</v>
      </c>
    </row>
    <row r="1125" spans="11:11" x14ac:dyDescent="0.3">
      <c r="K1125" t="s">
        <v>10180</v>
      </c>
    </row>
    <row r="1126" spans="11:11" x14ac:dyDescent="0.3">
      <c r="K1126" t="s">
        <v>7876</v>
      </c>
    </row>
    <row r="1127" spans="11:11" x14ac:dyDescent="0.3">
      <c r="K1127" t="s">
        <v>7877</v>
      </c>
    </row>
    <row r="1128" spans="11:11" x14ac:dyDescent="0.3">
      <c r="K1128" t="s">
        <v>7878</v>
      </c>
    </row>
    <row r="1129" spans="11:11" x14ac:dyDescent="0.3">
      <c r="K1129" t="s">
        <v>7879</v>
      </c>
    </row>
    <row r="1130" spans="11:11" x14ac:dyDescent="0.3">
      <c r="K1130" t="s">
        <v>7880</v>
      </c>
    </row>
    <row r="1131" spans="11:11" x14ac:dyDescent="0.3">
      <c r="K1131" t="s">
        <v>7881</v>
      </c>
    </row>
    <row r="1132" spans="11:11" x14ac:dyDescent="0.3">
      <c r="K1132" t="s">
        <v>7882</v>
      </c>
    </row>
    <row r="1133" spans="11:11" x14ac:dyDescent="0.3">
      <c r="K1133" t="s">
        <v>10862</v>
      </c>
    </row>
    <row r="1134" spans="11:11" x14ac:dyDescent="0.3">
      <c r="K1134" t="s">
        <v>8677</v>
      </c>
    </row>
    <row r="1135" spans="11:11" x14ac:dyDescent="0.3">
      <c r="K1135" t="s">
        <v>5825</v>
      </c>
    </row>
    <row r="1136" spans="11:11" x14ac:dyDescent="0.3">
      <c r="K1136" t="s">
        <v>7883</v>
      </c>
    </row>
    <row r="1137" spans="11:11" x14ac:dyDescent="0.3">
      <c r="K1137" t="s">
        <v>7248</v>
      </c>
    </row>
    <row r="1138" spans="11:11" x14ac:dyDescent="0.3">
      <c r="K1138" t="s">
        <v>6989</v>
      </c>
    </row>
    <row r="1139" spans="11:11" x14ac:dyDescent="0.3">
      <c r="K1139" t="s">
        <v>6584</v>
      </c>
    </row>
    <row r="1140" spans="11:11" x14ac:dyDescent="0.3">
      <c r="K1140" t="s">
        <v>6585</v>
      </c>
    </row>
    <row r="1141" spans="11:11" x14ac:dyDescent="0.3">
      <c r="K1141" t="s">
        <v>6413</v>
      </c>
    </row>
    <row r="1142" spans="11:11" x14ac:dyDescent="0.3">
      <c r="K1142" t="s">
        <v>6990</v>
      </c>
    </row>
    <row r="1143" spans="11:11" x14ac:dyDescent="0.3">
      <c r="K1143" t="s">
        <v>7884</v>
      </c>
    </row>
    <row r="1144" spans="11:11" x14ac:dyDescent="0.3">
      <c r="K1144" t="s">
        <v>7151</v>
      </c>
    </row>
    <row r="1145" spans="11:11" x14ac:dyDescent="0.3">
      <c r="K1145" t="s">
        <v>5625</v>
      </c>
    </row>
    <row r="1146" spans="11:11" x14ac:dyDescent="0.3">
      <c r="K1146" t="s">
        <v>5982</v>
      </c>
    </row>
    <row r="1147" spans="11:11" x14ac:dyDescent="0.3">
      <c r="K1147" t="s">
        <v>6991</v>
      </c>
    </row>
    <row r="1148" spans="11:11" x14ac:dyDescent="0.3">
      <c r="K1148" t="s">
        <v>7885</v>
      </c>
    </row>
    <row r="1149" spans="11:11" x14ac:dyDescent="0.3">
      <c r="K1149" t="s">
        <v>6779</v>
      </c>
    </row>
    <row r="1150" spans="11:11" x14ac:dyDescent="0.3">
      <c r="K1150" t="s">
        <v>5826</v>
      </c>
    </row>
    <row r="1151" spans="11:11" x14ac:dyDescent="0.3">
      <c r="K1151" t="s">
        <v>6992</v>
      </c>
    </row>
    <row r="1152" spans="11:11" x14ac:dyDescent="0.3">
      <c r="K1152" t="s">
        <v>5983</v>
      </c>
    </row>
    <row r="1153" spans="11:11" x14ac:dyDescent="0.3">
      <c r="K1153" t="s">
        <v>7886</v>
      </c>
    </row>
    <row r="1154" spans="11:11" x14ac:dyDescent="0.3">
      <c r="K1154" t="s">
        <v>7887</v>
      </c>
    </row>
    <row r="1155" spans="11:11" x14ac:dyDescent="0.3">
      <c r="K1155" t="s">
        <v>8873</v>
      </c>
    </row>
    <row r="1156" spans="11:11" x14ac:dyDescent="0.3">
      <c r="K1156" t="s">
        <v>7888</v>
      </c>
    </row>
    <row r="1157" spans="11:11" x14ac:dyDescent="0.3">
      <c r="K1157" t="s">
        <v>7399</v>
      </c>
    </row>
    <row r="1158" spans="11:11" x14ac:dyDescent="0.3">
      <c r="K1158" t="s">
        <v>10181</v>
      </c>
    </row>
    <row r="1159" spans="11:11" x14ac:dyDescent="0.3">
      <c r="K1159" t="s">
        <v>7889</v>
      </c>
    </row>
    <row r="1160" spans="11:11" x14ac:dyDescent="0.3">
      <c r="K1160" t="s">
        <v>6414</v>
      </c>
    </row>
    <row r="1161" spans="11:11" x14ac:dyDescent="0.3">
      <c r="K1161" t="s">
        <v>9463</v>
      </c>
    </row>
    <row r="1162" spans="11:11" x14ac:dyDescent="0.3">
      <c r="K1162" t="s">
        <v>5827</v>
      </c>
    </row>
    <row r="1163" spans="11:11" x14ac:dyDescent="0.3">
      <c r="K1163" t="s">
        <v>10182</v>
      </c>
    </row>
    <row r="1164" spans="11:11" x14ac:dyDescent="0.3">
      <c r="K1164" t="s">
        <v>8678</v>
      </c>
    </row>
    <row r="1165" spans="11:11" x14ac:dyDescent="0.3">
      <c r="K1165" t="s">
        <v>6993</v>
      </c>
    </row>
    <row r="1166" spans="11:11" x14ac:dyDescent="0.3">
      <c r="K1166" t="s">
        <v>6780</v>
      </c>
    </row>
    <row r="1167" spans="11:11" x14ac:dyDescent="0.3">
      <c r="K1167" t="s">
        <v>8874</v>
      </c>
    </row>
    <row r="1168" spans="11:11" x14ac:dyDescent="0.3">
      <c r="K1168" t="s">
        <v>7890</v>
      </c>
    </row>
    <row r="1169" spans="11:11" x14ac:dyDescent="0.3">
      <c r="K1169" t="s">
        <v>10607</v>
      </c>
    </row>
    <row r="1170" spans="11:11" x14ac:dyDescent="0.3">
      <c r="K1170" t="s">
        <v>5669</v>
      </c>
    </row>
    <row r="1171" spans="11:11" x14ac:dyDescent="0.3">
      <c r="K1171" t="s">
        <v>10692</v>
      </c>
    </row>
    <row r="1172" spans="11:11" x14ac:dyDescent="0.3">
      <c r="K1172" t="s">
        <v>5515</v>
      </c>
    </row>
    <row r="1173" spans="11:11" x14ac:dyDescent="0.3">
      <c r="K1173" t="s">
        <v>10863</v>
      </c>
    </row>
    <row r="1174" spans="11:11" x14ac:dyDescent="0.3">
      <c r="K1174" t="s">
        <v>6204</v>
      </c>
    </row>
    <row r="1175" spans="11:11" x14ac:dyDescent="0.3">
      <c r="K1175" t="s">
        <v>8597</v>
      </c>
    </row>
    <row r="1176" spans="11:11" x14ac:dyDescent="0.3">
      <c r="K1176" t="s">
        <v>8875</v>
      </c>
    </row>
    <row r="1177" spans="11:11" x14ac:dyDescent="0.3">
      <c r="K1177" t="s">
        <v>7400</v>
      </c>
    </row>
    <row r="1178" spans="11:11" x14ac:dyDescent="0.3">
      <c r="K1178" t="s">
        <v>9464</v>
      </c>
    </row>
    <row r="1179" spans="11:11" x14ac:dyDescent="0.3">
      <c r="K1179" t="s">
        <v>7892</v>
      </c>
    </row>
    <row r="1180" spans="11:11" x14ac:dyDescent="0.3">
      <c r="K1180" t="s">
        <v>10864</v>
      </c>
    </row>
    <row r="1181" spans="11:11" x14ac:dyDescent="0.3">
      <c r="K1181" t="s">
        <v>8876</v>
      </c>
    </row>
    <row r="1182" spans="11:11" x14ac:dyDescent="0.3">
      <c r="K1182" t="s">
        <v>9465</v>
      </c>
    </row>
    <row r="1183" spans="11:11" x14ac:dyDescent="0.3">
      <c r="K1183" t="s">
        <v>9855</v>
      </c>
    </row>
    <row r="1184" spans="11:11" x14ac:dyDescent="0.3">
      <c r="K1184" t="s">
        <v>6415</v>
      </c>
    </row>
    <row r="1185" spans="11:11" x14ac:dyDescent="0.3">
      <c r="K1185" t="s">
        <v>7894</v>
      </c>
    </row>
    <row r="1186" spans="11:11" x14ac:dyDescent="0.3">
      <c r="K1186" t="s">
        <v>7893</v>
      </c>
    </row>
    <row r="1187" spans="11:11" x14ac:dyDescent="0.3">
      <c r="K1187" t="s">
        <v>6994</v>
      </c>
    </row>
    <row r="1188" spans="11:11" x14ac:dyDescent="0.3">
      <c r="K1188" t="s">
        <v>8877</v>
      </c>
    </row>
    <row r="1189" spans="11:11" x14ac:dyDescent="0.3">
      <c r="K1189" t="s">
        <v>6781</v>
      </c>
    </row>
    <row r="1190" spans="11:11" x14ac:dyDescent="0.3">
      <c r="K1190" t="s">
        <v>7401</v>
      </c>
    </row>
    <row r="1191" spans="11:11" x14ac:dyDescent="0.3">
      <c r="K1191" t="s">
        <v>6782</v>
      </c>
    </row>
    <row r="1192" spans="11:11" x14ac:dyDescent="0.3">
      <c r="K1192" t="s">
        <v>7402</v>
      </c>
    </row>
    <row r="1193" spans="11:11" x14ac:dyDescent="0.3">
      <c r="K1193" t="s">
        <v>10183</v>
      </c>
    </row>
    <row r="1194" spans="11:11" x14ac:dyDescent="0.3">
      <c r="K1194" t="s">
        <v>7895</v>
      </c>
    </row>
    <row r="1195" spans="11:11" x14ac:dyDescent="0.3">
      <c r="K1195" t="s">
        <v>6416</v>
      </c>
    </row>
    <row r="1196" spans="11:11" x14ac:dyDescent="0.3">
      <c r="K1196" t="s">
        <v>10865</v>
      </c>
    </row>
    <row r="1197" spans="11:11" x14ac:dyDescent="0.3">
      <c r="K1197" t="s">
        <v>7403</v>
      </c>
    </row>
    <row r="1198" spans="11:11" x14ac:dyDescent="0.3">
      <c r="K1198" t="s">
        <v>6783</v>
      </c>
    </row>
    <row r="1199" spans="11:11" x14ac:dyDescent="0.3">
      <c r="K1199" t="s">
        <v>7896</v>
      </c>
    </row>
    <row r="1200" spans="11:11" x14ac:dyDescent="0.3">
      <c r="K1200" t="s">
        <v>6417</v>
      </c>
    </row>
    <row r="1201" spans="11:11" x14ac:dyDescent="0.3">
      <c r="K1201" t="s">
        <v>10866</v>
      </c>
    </row>
    <row r="1202" spans="11:11" x14ac:dyDescent="0.3">
      <c r="K1202" t="s">
        <v>9856</v>
      </c>
    </row>
    <row r="1203" spans="11:11" x14ac:dyDescent="0.3">
      <c r="K1203" t="s">
        <v>7897</v>
      </c>
    </row>
    <row r="1204" spans="11:11" x14ac:dyDescent="0.3">
      <c r="K1204" t="s">
        <v>10184</v>
      </c>
    </row>
    <row r="1205" spans="11:11" x14ac:dyDescent="0.3">
      <c r="K1205" t="s">
        <v>5984</v>
      </c>
    </row>
    <row r="1206" spans="11:11" x14ac:dyDescent="0.3">
      <c r="K1206" t="s">
        <v>6205</v>
      </c>
    </row>
    <row r="1207" spans="11:11" x14ac:dyDescent="0.3">
      <c r="K1207" t="s">
        <v>6586</v>
      </c>
    </row>
    <row r="1208" spans="11:11" x14ac:dyDescent="0.3">
      <c r="K1208" t="s">
        <v>5985</v>
      </c>
    </row>
    <row r="1209" spans="11:11" x14ac:dyDescent="0.3">
      <c r="K1209" t="s">
        <v>8878</v>
      </c>
    </row>
    <row r="1210" spans="11:11" x14ac:dyDescent="0.3">
      <c r="K1210" t="s">
        <v>7249</v>
      </c>
    </row>
    <row r="1211" spans="11:11" x14ac:dyDescent="0.3">
      <c r="K1211" t="s">
        <v>7898</v>
      </c>
    </row>
    <row r="1212" spans="11:11" x14ac:dyDescent="0.3">
      <c r="K1212" t="s">
        <v>6418</v>
      </c>
    </row>
    <row r="1213" spans="11:11" x14ac:dyDescent="0.3">
      <c r="K1213" t="s">
        <v>6995</v>
      </c>
    </row>
    <row r="1214" spans="11:11" x14ac:dyDescent="0.3">
      <c r="K1214" t="s">
        <v>9857</v>
      </c>
    </row>
    <row r="1215" spans="11:11" x14ac:dyDescent="0.3">
      <c r="K1215" t="s">
        <v>9466</v>
      </c>
    </row>
    <row r="1216" spans="11:11" x14ac:dyDescent="0.3">
      <c r="K1216" t="s">
        <v>10185</v>
      </c>
    </row>
    <row r="1217" spans="11:11" x14ac:dyDescent="0.3">
      <c r="K1217" t="s">
        <v>5828</v>
      </c>
    </row>
    <row r="1218" spans="11:11" x14ac:dyDescent="0.3">
      <c r="K1218" t="s">
        <v>7899</v>
      </c>
    </row>
    <row r="1219" spans="11:11" x14ac:dyDescent="0.3">
      <c r="K1219" t="s">
        <v>5986</v>
      </c>
    </row>
    <row r="1220" spans="11:11" x14ac:dyDescent="0.3">
      <c r="K1220" t="s">
        <v>7404</v>
      </c>
    </row>
    <row r="1221" spans="11:11" x14ac:dyDescent="0.3">
      <c r="K1221" t="s">
        <v>7900</v>
      </c>
    </row>
    <row r="1222" spans="11:11" x14ac:dyDescent="0.3">
      <c r="K1222" t="s">
        <v>5987</v>
      </c>
    </row>
    <row r="1223" spans="11:11" x14ac:dyDescent="0.3">
      <c r="K1223" t="s">
        <v>5988</v>
      </c>
    </row>
    <row r="1224" spans="11:11" x14ac:dyDescent="0.3">
      <c r="K1224" t="s">
        <v>5487</v>
      </c>
    </row>
    <row r="1225" spans="11:11" x14ac:dyDescent="0.3">
      <c r="K1225" t="s">
        <v>10867</v>
      </c>
    </row>
    <row r="1226" spans="11:11" x14ac:dyDescent="0.3">
      <c r="K1226" t="s">
        <v>8879</v>
      </c>
    </row>
    <row r="1227" spans="11:11" x14ac:dyDescent="0.3">
      <c r="K1227" t="s">
        <v>8880</v>
      </c>
    </row>
    <row r="1228" spans="11:11" x14ac:dyDescent="0.3">
      <c r="K1228" t="s">
        <v>10186</v>
      </c>
    </row>
    <row r="1229" spans="11:11" x14ac:dyDescent="0.3">
      <c r="K1229" t="s">
        <v>9467</v>
      </c>
    </row>
    <row r="1230" spans="11:11" x14ac:dyDescent="0.3">
      <c r="K1230" t="s">
        <v>10187</v>
      </c>
    </row>
    <row r="1231" spans="11:11" x14ac:dyDescent="0.3">
      <c r="K1231" t="s">
        <v>6587</v>
      </c>
    </row>
    <row r="1232" spans="11:11" x14ac:dyDescent="0.3">
      <c r="K1232" t="s">
        <v>10189</v>
      </c>
    </row>
    <row r="1233" spans="11:11" x14ac:dyDescent="0.3">
      <c r="K1233" t="s">
        <v>10188</v>
      </c>
    </row>
    <row r="1234" spans="11:11" x14ac:dyDescent="0.3">
      <c r="K1234" t="s">
        <v>10190</v>
      </c>
    </row>
    <row r="1235" spans="11:11" x14ac:dyDescent="0.3">
      <c r="K1235" t="s">
        <v>9858</v>
      </c>
    </row>
    <row r="1236" spans="11:11" x14ac:dyDescent="0.3">
      <c r="K1236" t="s">
        <v>8881</v>
      </c>
    </row>
    <row r="1237" spans="11:11" x14ac:dyDescent="0.3">
      <c r="K1237" t="s">
        <v>9468</v>
      </c>
    </row>
    <row r="1238" spans="11:11" x14ac:dyDescent="0.3">
      <c r="K1238" t="s">
        <v>10868</v>
      </c>
    </row>
    <row r="1239" spans="11:11" x14ac:dyDescent="0.3">
      <c r="K1239" t="s">
        <v>6996</v>
      </c>
    </row>
    <row r="1240" spans="11:11" x14ac:dyDescent="0.3">
      <c r="K1240" t="s">
        <v>6997</v>
      </c>
    </row>
    <row r="1241" spans="11:11" x14ac:dyDescent="0.3">
      <c r="K1241" t="s">
        <v>7152</v>
      </c>
    </row>
    <row r="1242" spans="11:11" x14ac:dyDescent="0.3">
      <c r="K1242" t="s">
        <v>7901</v>
      </c>
    </row>
    <row r="1243" spans="11:11" x14ac:dyDescent="0.3">
      <c r="K1243" t="s">
        <v>7902</v>
      </c>
    </row>
    <row r="1244" spans="11:11" x14ac:dyDescent="0.3">
      <c r="K1244" t="s">
        <v>5830</v>
      </c>
    </row>
    <row r="1245" spans="11:11" x14ac:dyDescent="0.3">
      <c r="K1245" t="s">
        <v>5829</v>
      </c>
    </row>
    <row r="1246" spans="11:11" x14ac:dyDescent="0.3">
      <c r="K1246" t="s">
        <v>7903</v>
      </c>
    </row>
    <row r="1247" spans="11:11" x14ac:dyDescent="0.3">
      <c r="K1247" t="s">
        <v>10693</v>
      </c>
    </row>
    <row r="1248" spans="11:11" x14ac:dyDescent="0.3">
      <c r="K1248" t="s">
        <v>7904</v>
      </c>
    </row>
    <row r="1249" spans="11:11" x14ac:dyDescent="0.3">
      <c r="K1249" t="s">
        <v>10191</v>
      </c>
    </row>
    <row r="1250" spans="11:11" x14ac:dyDescent="0.3">
      <c r="K1250" t="s">
        <v>10869</v>
      </c>
    </row>
    <row r="1251" spans="11:11" x14ac:dyDescent="0.3">
      <c r="K1251" t="s">
        <v>9859</v>
      </c>
    </row>
    <row r="1252" spans="11:11" x14ac:dyDescent="0.3">
      <c r="K1252" t="s">
        <v>10608</v>
      </c>
    </row>
    <row r="1253" spans="11:11" x14ac:dyDescent="0.3">
      <c r="K1253" t="s">
        <v>5989</v>
      </c>
    </row>
    <row r="1254" spans="11:11" x14ac:dyDescent="0.3">
      <c r="K1254" t="s">
        <v>9860</v>
      </c>
    </row>
    <row r="1255" spans="11:11" x14ac:dyDescent="0.3">
      <c r="K1255" t="s">
        <v>8882</v>
      </c>
    </row>
    <row r="1256" spans="11:11" x14ac:dyDescent="0.3">
      <c r="K1256" t="s">
        <v>10192</v>
      </c>
    </row>
    <row r="1257" spans="11:11" x14ac:dyDescent="0.3">
      <c r="K1257" t="s">
        <v>10193</v>
      </c>
    </row>
    <row r="1258" spans="11:11" x14ac:dyDescent="0.3">
      <c r="K1258" t="s">
        <v>6419</v>
      </c>
    </row>
    <row r="1259" spans="11:11" x14ac:dyDescent="0.3">
      <c r="K1259" t="s">
        <v>9393</v>
      </c>
    </row>
    <row r="1260" spans="11:11" x14ac:dyDescent="0.3">
      <c r="K1260" t="s">
        <v>5670</v>
      </c>
    </row>
    <row r="1261" spans="11:11" x14ac:dyDescent="0.3">
      <c r="K1261" t="s">
        <v>7905</v>
      </c>
    </row>
    <row r="1262" spans="11:11" x14ac:dyDescent="0.3">
      <c r="K1262" t="s">
        <v>10194</v>
      </c>
    </row>
    <row r="1263" spans="11:11" x14ac:dyDescent="0.3">
      <c r="K1263" t="s">
        <v>9469</v>
      </c>
    </row>
    <row r="1264" spans="11:11" x14ac:dyDescent="0.3">
      <c r="K1264" t="s">
        <v>6420</v>
      </c>
    </row>
    <row r="1265" spans="11:11" x14ac:dyDescent="0.3">
      <c r="K1265" t="s">
        <v>6421</v>
      </c>
    </row>
    <row r="1266" spans="11:11" x14ac:dyDescent="0.3">
      <c r="K1266" t="s">
        <v>7405</v>
      </c>
    </row>
    <row r="1267" spans="11:11" x14ac:dyDescent="0.3">
      <c r="K1267" t="s">
        <v>10195</v>
      </c>
    </row>
    <row r="1268" spans="11:11" x14ac:dyDescent="0.3">
      <c r="K1268" t="s">
        <v>5516</v>
      </c>
    </row>
    <row r="1269" spans="11:11" x14ac:dyDescent="0.3">
      <c r="K1269" t="s">
        <v>10196</v>
      </c>
    </row>
    <row r="1270" spans="11:11" x14ac:dyDescent="0.3">
      <c r="K1270" t="s">
        <v>9470</v>
      </c>
    </row>
    <row r="1271" spans="11:11" x14ac:dyDescent="0.3">
      <c r="K1271" t="s">
        <v>7406</v>
      </c>
    </row>
    <row r="1272" spans="11:11" x14ac:dyDescent="0.3">
      <c r="K1272" t="s">
        <v>9471</v>
      </c>
    </row>
    <row r="1273" spans="11:11" x14ac:dyDescent="0.3">
      <c r="K1273" t="s">
        <v>10870</v>
      </c>
    </row>
    <row r="1274" spans="11:11" x14ac:dyDescent="0.3">
      <c r="K1274" t="s">
        <v>5990</v>
      </c>
    </row>
    <row r="1275" spans="11:11" x14ac:dyDescent="0.3">
      <c r="K1275" t="s">
        <v>10197</v>
      </c>
    </row>
    <row r="1276" spans="11:11" x14ac:dyDescent="0.3">
      <c r="K1276" t="s">
        <v>7407</v>
      </c>
    </row>
    <row r="1277" spans="11:11" x14ac:dyDescent="0.3">
      <c r="K1277" t="s">
        <v>7906</v>
      </c>
    </row>
    <row r="1278" spans="11:11" x14ac:dyDescent="0.3">
      <c r="K1278" t="s">
        <v>10198</v>
      </c>
    </row>
    <row r="1279" spans="11:11" x14ac:dyDescent="0.3">
      <c r="K1279" t="s">
        <v>7907</v>
      </c>
    </row>
    <row r="1280" spans="11:11" x14ac:dyDescent="0.3">
      <c r="K1280" t="s">
        <v>7908</v>
      </c>
    </row>
    <row r="1281" spans="11:11" x14ac:dyDescent="0.3">
      <c r="K1281" t="s">
        <v>10694</v>
      </c>
    </row>
    <row r="1282" spans="11:11" x14ac:dyDescent="0.3">
      <c r="K1282" t="s">
        <v>7909</v>
      </c>
    </row>
    <row r="1283" spans="11:11" x14ac:dyDescent="0.3">
      <c r="K1283" t="s">
        <v>8883</v>
      </c>
    </row>
    <row r="1284" spans="11:11" x14ac:dyDescent="0.3">
      <c r="K1284" t="s">
        <v>9472</v>
      </c>
    </row>
    <row r="1285" spans="11:11" x14ac:dyDescent="0.3">
      <c r="K1285" t="s">
        <v>7408</v>
      </c>
    </row>
    <row r="1286" spans="11:11" x14ac:dyDescent="0.3">
      <c r="K1286" t="s">
        <v>5576</v>
      </c>
    </row>
    <row r="1287" spans="11:11" x14ac:dyDescent="0.3">
      <c r="K1287" t="s">
        <v>6207</v>
      </c>
    </row>
    <row r="1288" spans="11:11" x14ac:dyDescent="0.3">
      <c r="K1288" t="s">
        <v>9861</v>
      </c>
    </row>
    <row r="1289" spans="11:11" x14ac:dyDescent="0.3">
      <c r="K1289" t="s">
        <v>6208</v>
      </c>
    </row>
    <row r="1290" spans="11:11" x14ac:dyDescent="0.3">
      <c r="K1290" t="s">
        <v>6206</v>
      </c>
    </row>
    <row r="1291" spans="11:11" x14ac:dyDescent="0.3">
      <c r="K1291" t="s">
        <v>10695</v>
      </c>
    </row>
    <row r="1292" spans="11:11" x14ac:dyDescent="0.3">
      <c r="K1292" t="s">
        <v>10871</v>
      </c>
    </row>
    <row r="1293" spans="11:11" x14ac:dyDescent="0.3">
      <c r="K1293" t="s">
        <v>7409</v>
      </c>
    </row>
    <row r="1294" spans="11:11" x14ac:dyDescent="0.3">
      <c r="K1294" t="s">
        <v>5577</v>
      </c>
    </row>
    <row r="1295" spans="11:11" x14ac:dyDescent="0.3">
      <c r="K1295" t="s">
        <v>5991</v>
      </c>
    </row>
    <row r="1296" spans="11:11" x14ac:dyDescent="0.3">
      <c r="K1296" t="s">
        <v>5992</v>
      </c>
    </row>
    <row r="1297" spans="11:11" x14ac:dyDescent="0.3">
      <c r="K1297" t="s">
        <v>7910</v>
      </c>
    </row>
    <row r="1298" spans="11:11" x14ac:dyDescent="0.3">
      <c r="K1298" t="s">
        <v>7153</v>
      </c>
    </row>
    <row r="1299" spans="11:11" x14ac:dyDescent="0.3">
      <c r="K1299" t="s">
        <v>6209</v>
      </c>
    </row>
    <row r="1300" spans="11:11" x14ac:dyDescent="0.3">
      <c r="K1300" t="s">
        <v>5671</v>
      </c>
    </row>
    <row r="1301" spans="11:11" x14ac:dyDescent="0.3">
      <c r="K1301" t="s">
        <v>8598</v>
      </c>
    </row>
    <row r="1302" spans="11:11" x14ac:dyDescent="0.3">
      <c r="K1302" t="s">
        <v>10696</v>
      </c>
    </row>
    <row r="1303" spans="11:11" x14ac:dyDescent="0.3">
      <c r="K1303" t="s">
        <v>8884</v>
      </c>
    </row>
    <row r="1304" spans="11:11" x14ac:dyDescent="0.3">
      <c r="K1304" t="s">
        <v>10872</v>
      </c>
    </row>
    <row r="1305" spans="11:11" x14ac:dyDescent="0.3">
      <c r="K1305" t="s">
        <v>5831</v>
      </c>
    </row>
    <row r="1306" spans="11:11" x14ac:dyDescent="0.3">
      <c r="K1306" t="s">
        <v>5993</v>
      </c>
    </row>
    <row r="1307" spans="11:11" x14ac:dyDescent="0.3">
      <c r="K1307" t="s">
        <v>10199</v>
      </c>
    </row>
    <row r="1308" spans="11:11" x14ac:dyDescent="0.3">
      <c r="K1308" t="s">
        <v>5890</v>
      </c>
    </row>
    <row r="1309" spans="11:11" x14ac:dyDescent="0.3">
      <c r="K1309" t="s">
        <v>10697</v>
      </c>
    </row>
    <row r="1310" spans="11:11" x14ac:dyDescent="0.3">
      <c r="K1310" t="s">
        <v>8885</v>
      </c>
    </row>
    <row r="1311" spans="11:11" x14ac:dyDescent="0.3">
      <c r="K1311" t="s">
        <v>9473</v>
      </c>
    </row>
    <row r="1312" spans="11:11" x14ac:dyDescent="0.3">
      <c r="K1312" t="s">
        <v>6210</v>
      </c>
    </row>
    <row r="1313" spans="11:11" x14ac:dyDescent="0.3">
      <c r="K1313" t="s">
        <v>6211</v>
      </c>
    </row>
    <row r="1314" spans="11:11" x14ac:dyDescent="0.3">
      <c r="K1314" t="s">
        <v>7154</v>
      </c>
    </row>
    <row r="1315" spans="11:11" x14ac:dyDescent="0.3">
      <c r="K1315" t="s">
        <v>5488</v>
      </c>
    </row>
    <row r="1316" spans="11:11" x14ac:dyDescent="0.3">
      <c r="K1316" t="s">
        <v>9474</v>
      </c>
    </row>
    <row r="1317" spans="11:11" x14ac:dyDescent="0.3">
      <c r="K1317" t="s">
        <v>10200</v>
      </c>
    </row>
    <row r="1318" spans="11:11" x14ac:dyDescent="0.3">
      <c r="K1318" t="s">
        <v>7911</v>
      </c>
    </row>
    <row r="1319" spans="11:11" x14ac:dyDescent="0.3">
      <c r="K1319" t="s">
        <v>5832</v>
      </c>
    </row>
    <row r="1320" spans="11:11" x14ac:dyDescent="0.3">
      <c r="K1320" t="s">
        <v>7912</v>
      </c>
    </row>
    <row r="1321" spans="11:11" x14ac:dyDescent="0.3">
      <c r="K1321" t="s">
        <v>8673</v>
      </c>
    </row>
    <row r="1322" spans="11:11" x14ac:dyDescent="0.3">
      <c r="K1322" t="s">
        <v>7913</v>
      </c>
    </row>
    <row r="1323" spans="11:11" x14ac:dyDescent="0.3">
      <c r="K1323" t="s">
        <v>10698</v>
      </c>
    </row>
    <row r="1324" spans="11:11" x14ac:dyDescent="0.3">
      <c r="K1324" t="s">
        <v>7914</v>
      </c>
    </row>
    <row r="1325" spans="11:11" x14ac:dyDescent="0.3">
      <c r="K1325" t="s">
        <v>7891</v>
      </c>
    </row>
    <row r="1326" spans="11:11" x14ac:dyDescent="0.3">
      <c r="K1326" t="s">
        <v>8599</v>
      </c>
    </row>
    <row r="1327" spans="11:11" x14ac:dyDescent="0.3">
      <c r="K1327" t="s">
        <v>7410</v>
      </c>
    </row>
    <row r="1328" spans="11:11" x14ac:dyDescent="0.3">
      <c r="K1328" t="s">
        <v>7916</v>
      </c>
    </row>
    <row r="1329" spans="11:11" x14ac:dyDescent="0.3">
      <c r="K1329" t="s">
        <v>7915</v>
      </c>
    </row>
    <row r="1330" spans="11:11" x14ac:dyDescent="0.3">
      <c r="K1330" t="s">
        <v>7917</v>
      </c>
    </row>
    <row r="1331" spans="11:11" x14ac:dyDescent="0.3">
      <c r="K1331" t="s">
        <v>8679</v>
      </c>
    </row>
    <row r="1332" spans="11:11" x14ac:dyDescent="0.3">
      <c r="K1332" t="s">
        <v>7411</v>
      </c>
    </row>
    <row r="1333" spans="11:11" x14ac:dyDescent="0.3">
      <c r="K1333" t="s">
        <v>5672</v>
      </c>
    </row>
    <row r="1334" spans="11:11" x14ac:dyDescent="0.3">
      <c r="K1334" t="s">
        <v>6212</v>
      </c>
    </row>
    <row r="1335" spans="11:11" x14ac:dyDescent="0.3">
      <c r="K1335" t="s">
        <v>8600</v>
      </c>
    </row>
    <row r="1336" spans="11:11" x14ac:dyDescent="0.3">
      <c r="K1336" t="s">
        <v>7412</v>
      </c>
    </row>
    <row r="1337" spans="11:11" x14ac:dyDescent="0.3">
      <c r="K1337" t="s">
        <v>7413</v>
      </c>
    </row>
    <row r="1338" spans="11:11" x14ac:dyDescent="0.3">
      <c r="K1338" t="s">
        <v>5994</v>
      </c>
    </row>
    <row r="1339" spans="11:11" x14ac:dyDescent="0.3">
      <c r="K1339" t="s">
        <v>7918</v>
      </c>
    </row>
    <row r="1340" spans="11:11" x14ac:dyDescent="0.3">
      <c r="K1340" t="s">
        <v>7919</v>
      </c>
    </row>
    <row r="1341" spans="11:11" x14ac:dyDescent="0.3">
      <c r="K1341" t="s">
        <v>7920</v>
      </c>
    </row>
    <row r="1342" spans="11:11" x14ac:dyDescent="0.3">
      <c r="K1342" t="s">
        <v>5833</v>
      </c>
    </row>
    <row r="1343" spans="11:11" x14ac:dyDescent="0.3">
      <c r="K1343" t="s">
        <v>7921</v>
      </c>
    </row>
    <row r="1344" spans="11:11" x14ac:dyDescent="0.3">
      <c r="K1344" t="s">
        <v>6784</v>
      </c>
    </row>
    <row r="1345" spans="11:11" x14ac:dyDescent="0.3">
      <c r="K1345" t="s">
        <v>8886</v>
      </c>
    </row>
    <row r="1346" spans="11:11" x14ac:dyDescent="0.3">
      <c r="K1346" t="s">
        <v>8887</v>
      </c>
    </row>
    <row r="1347" spans="11:11" x14ac:dyDescent="0.3">
      <c r="K1347" t="s">
        <v>5673</v>
      </c>
    </row>
    <row r="1348" spans="11:11" x14ac:dyDescent="0.3">
      <c r="K1348" t="s">
        <v>9862</v>
      </c>
    </row>
    <row r="1349" spans="11:11" x14ac:dyDescent="0.3">
      <c r="K1349" t="s">
        <v>6785</v>
      </c>
    </row>
    <row r="1350" spans="11:11" x14ac:dyDescent="0.3">
      <c r="K1350" t="s">
        <v>6998</v>
      </c>
    </row>
    <row r="1351" spans="11:11" x14ac:dyDescent="0.3">
      <c r="K1351" t="s">
        <v>7414</v>
      </c>
    </row>
    <row r="1352" spans="11:11" x14ac:dyDescent="0.3">
      <c r="K1352" t="s">
        <v>6786</v>
      </c>
    </row>
    <row r="1353" spans="11:11" x14ac:dyDescent="0.3">
      <c r="K1353" t="s">
        <v>7415</v>
      </c>
    </row>
    <row r="1354" spans="11:11" x14ac:dyDescent="0.3">
      <c r="K1354" t="s">
        <v>10201</v>
      </c>
    </row>
    <row r="1355" spans="11:11" x14ac:dyDescent="0.3">
      <c r="K1355" t="s">
        <v>7922</v>
      </c>
    </row>
    <row r="1356" spans="11:11" x14ac:dyDescent="0.3">
      <c r="K1356" t="s">
        <v>7923</v>
      </c>
    </row>
    <row r="1357" spans="11:11" x14ac:dyDescent="0.3">
      <c r="K1357" t="s">
        <v>10699</v>
      </c>
    </row>
    <row r="1358" spans="11:11" x14ac:dyDescent="0.3">
      <c r="K1358" t="s">
        <v>6787</v>
      </c>
    </row>
    <row r="1359" spans="11:11" x14ac:dyDescent="0.3">
      <c r="K1359" t="s">
        <v>7924</v>
      </c>
    </row>
    <row r="1360" spans="11:11" x14ac:dyDescent="0.3">
      <c r="K1360" t="s">
        <v>7926</v>
      </c>
    </row>
    <row r="1361" spans="11:11" x14ac:dyDescent="0.3">
      <c r="K1361" t="s">
        <v>7925</v>
      </c>
    </row>
    <row r="1362" spans="11:11" x14ac:dyDescent="0.3">
      <c r="K1362" t="s">
        <v>9475</v>
      </c>
    </row>
    <row r="1363" spans="11:11" x14ac:dyDescent="0.3">
      <c r="K1363" t="s">
        <v>10700</v>
      </c>
    </row>
    <row r="1364" spans="11:11" x14ac:dyDescent="0.3">
      <c r="K1364" t="s">
        <v>7927</v>
      </c>
    </row>
    <row r="1365" spans="11:11" x14ac:dyDescent="0.3">
      <c r="K1365" t="s">
        <v>7928</v>
      </c>
    </row>
    <row r="1366" spans="11:11" x14ac:dyDescent="0.3">
      <c r="K1366" t="s">
        <v>9476</v>
      </c>
    </row>
    <row r="1367" spans="11:11" x14ac:dyDescent="0.3">
      <c r="K1367" t="s">
        <v>7929</v>
      </c>
    </row>
    <row r="1368" spans="11:11" x14ac:dyDescent="0.3">
      <c r="K1368" t="s">
        <v>7930</v>
      </c>
    </row>
    <row r="1369" spans="11:11" x14ac:dyDescent="0.3">
      <c r="K1369" t="s">
        <v>10202</v>
      </c>
    </row>
    <row r="1370" spans="11:11" x14ac:dyDescent="0.3">
      <c r="K1370" t="s">
        <v>7931</v>
      </c>
    </row>
    <row r="1371" spans="11:11" x14ac:dyDescent="0.3">
      <c r="K1371" t="s">
        <v>9477</v>
      </c>
    </row>
    <row r="1372" spans="11:11" x14ac:dyDescent="0.3">
      <c r="K1372" t="s">
        <v>7416</v>
      </c>
    </row>
    <row r="1373" spans="11:11" x14ac:dyDescent="0.3">
      <c r="K1373" t="s">
        <v>7932</v>
      </c>
    </row>
    <row r="1374" spans="11:11" x14ac:dyDescent="0.3">
      <c r="K1374" t="s">
        <v>10203</v>
      </c>
    </row>
    <row r="1375" spans="11:11" x14ac:dyDescent="0.3">
      <c r="K1375" t="s">
        <v>7155</v>
      </c>
    </row>
    <row r="1376" spans="11:11" x14ac:dyDescent="0.3">
      <c r="K1376" t="s">
        <v>10204</v>
      </c>
    </row>
    <row r="1377" spans="11:11" x14ac:dyDescent="0.3">
      <c r="K1377" t="s">
        <v>7933</v>
      </c>
    </row>
    <row r="1378" spans="11:11" x14ac:dyDescent="0.3">
      <c r="K1378" t="s">
        <v>7417</v>
      </c>
    </row>
    <row r="1379" spans="11:11" x14ac:dyDescent="0.3">
      <c r="K1379" t="s">
        <v>9478</v>
      </c>
    </row>
    <row r="1380" spans="11:11" x14ac:dyDescent="0.3">
      <c r="K1380" t="s">
        <v>8680</v>
      </c>
    </row>
    <row r="1381" spans="11:11" x14ac:dyDescent="0.3">
      <c r="K1381" t="s">
        <v>8888</v>
      </c>
    </row>
    <row r="1382" spans="11:11" x14ac:dyDescent="0.3">
      <c r="K1382" t="s">
        <v>7418</v>
      </c>
    </row>
    <row r="1383" spans="11:11" x14ac:dyDescent="0.3">
      <c r="K1383" t="s">
        <v>9863</v>
      </c>
    </row>
    <row r="1384" spans="11:11" x14ac:dyDescent="0.3">
      <c r="K1384" t="s">
        <v>7934</v>
      </c>
    </row>
    <row r="1385" spans="11:11" x14ac:dyDescent="0.3">
      <c r="K1385" t="s">
        <v>7935</v>
      </c>
    </row>
    <row r="1386" spans="11:11" x14ac:dyDescent="0.3">
      <c r="K1386" t="s">
        <v>6422</v>
      </c>
    </row>
    <row r="1387" spans="11:11" x14ac:dyDescent="0.3">
      <c r="K1387" t="s">
        <v>6788</v>
      </c>
    </row>
    <row r="1388" spans="11:11" x14ac:dyDescent="0.3">
      <c r="K1388" t="s">
        <v>10609</v>
      </c>
    </row>
    <row r="1389" spans="11:11" x14ac:dyDescent="0.3">
      <c r="K1389" t="s">
        <v>7419</v>
      </c>
    </row>
    <row r="1390" spans="11:11" x14ac:dyDescent="0.3">
      <c r="K1390" t="s">
        <v>7936</v>
      </c>
    </row>
    <row r="1391" spans="11:11" x14ac:dyDescent="0.3">
      <c r="K1391" t="s">
        <v>9479</v>
      </c>
    </row>
    <row r="1392" spans="11:11" x14ac:dyDescent="0.3">
      <c r="K1392" t="s">
        <v>7937</v>
      </c>
    </row>
    <row r="1393" spans="11:11" x14ac:dyDescent="0.3">
      <c r="K1393" t="s">
        <v>8889</v>
      </c>
    </row>
    <row r="1394" spans="11:11" x14ac:dyDescent="0.3">
      <c r="K1394" t="s">
        <v>5995</v>
      </c>
    </row>
    <row r="1395" spans="11:11" x14ac:dyDescent="0.3">
      <c r="K1395" t="s">
        <v>7938</v>
      </c>
    </row>
    <row r="1396" spans="11:11" x14ac:dyDescent="0.3">
      <c r="K1396" t="s">
        <v>10205</v>
      </c>
    </row>
    <row r="1397" spans="11:11" x14ac:dyDescent="0.3">
      <c r="K1397" t="s">
        <v>10206</v>
      </c>
    </row>
    <row r="1398" spans="11:11" x14ac:dyDescent="0.3">
      <c r="K1398" t="s">
        <v>9480</v>
      </c>
    </row>
    <row r="1399" spans="11:11" x14ac:dyDescent="0.3">
      <c r="K1399" t="s">
        <v>6588</v>
      </c>
    </row>
    <row r="1400" spans="11:11" x14ac:dyDescent="0.3">
      <c r="K1400" t="s">
        <v>7939</v>
      </c>
    </row>
    <row r="1401" spans="11:11" x14ac:dyDescent="0.3">
      <c r="K1401" t="s">
        <v>9864</v>
      </c>
    </row>
    <row r="1402" spans="11:11" x14ac:dyDescent="0.3">
      <c r="K1402" t="s">
        <v>6589</v>
      </c>
    </row>
    <row r="1403" spans="11:11" x14ac:dyDescent="0.3">
      <c r="K1403" t="s">
        <v>7420</v>
      </c>
    </row>
    <row r="1404" spans="11:11" x14ac:dyDescent="0.3">
      <c r="K1404" t="s">
        <v>6213</v>
      </c>
    </row>
    <row r="1405" spans="11:11" x14ac:dyDescent="0.3">
      <c r="K1405" t="s">
        <v>8890</v>
      </c>
    </row>
    <row r="1406" spans="11:11" x14ac:dyDescent="0.3">
      <c r="K1406" t="s">
        <v>9865</v>
      </c>
    </row>
    <row r="1407" spans="11:11" x14ac:dyDescent="0.3">
      <c r="K1407" t="s">
        <v>7940</v>
      </c>
    </row>
    <row r="1408" spans="11:11" x14ac:dyDescent="0.3">
      <c r="K1408" t="s">
        <v>7941</v>
      </c>
    </row>
    <row r="1409" spans="11:11" x14ac:dyDescent="0.3">
      <c r="K1409" t="s">
        <v>10207</v>
      </c>
    </row>
    <row r="1410" spans="11:11" x14ac:dyDescent="0.3">
      <c r="K1410" t="s">
        <v>10610</v>
      </c>
    </row>
    <row r="1411" spans="11:11" x14ac:dyDescent="0.3">
      <c r="K1411" t="s">
        <v>9481</v>
      </c>
    </row>
    <row r="1412" spans="11:11" x14ac:dyDescent="0.3">
      <c r="K1412" t="s">
        <v>7942</v>
      </c>
    </row>
    <row r="1413" spans="11:11" x14ac:dyDescent="0.3">
      <c r="K1413" t="s">
        <v>7943</v>
      </c>
    </row>
    <row r="1414" spans="11:11" x14ac:dyDescent="0.3">
      <c r="K1414" t="s">
        <v>7944</v>
      </c>
    </row>
    <row r="1415" spans="11:11" x14ac:dyDescent="0.3">
      <c r="K1415" t="s">
        <v>10873</v>
      </c>
    </row>
    <row r="1416" spans="11:11" x14ac:dyDescent="0.3">
      <c r="K1416" t="s">
        <v>7945</v>
      </c>
    </row>
    <row r="1417" spans="11:11" x14ac:dyDescent="0.3">
      <c r="K1417" t="s">
        <v>7946</v>
      </c>
    </row>
    <row r="1418" spans="11:11" x14ac:dyDescent="0.3">
      <c r="K1418" t="s">
        <v>9867</v>
      </c>
    </row>
    <row r="1419" spans="11:11" x14ac:dyDescent="0.3">
      <c r="K1419" t="s">
        <v>6214</v>
      </c>
    </row>
    <row r="1420" spans="11:11" x14ac:dyDescent="0.3">
      <c r="K1420" t="s">
        <v>6999</v>
      </c>
    </row>
    <row r="1421" spans="11:11" x14ac:dyDescent="0.3">
      <c r="K1421" t="s">
        <v>7421</v>
      </c>
    </row>
    <row r="1422" spans="11:11" x14ac:dyDescent="0.3">
      <c r="K1422" t="s">
        <v>7000</v>
      </c>
    </row>
    <row r="1423" spans="11:11" x14ac:dyDescent="0.3">
      <c r="K1423" t="s">
        <v>10874</v>
      </c>
    </row>
    <row r="1424" spans="11:11" x14ac:dyDescent="0.3">
      <c r="K1424" t="s">
        <v>10611</v>
      </c>
    </row>
    <row r="1425" spans="11:11" x14ac:dyDescent="0.3">
      <c r="K1425" t="s">
        <v>10875</v>
      </c>
    </row>
    <row r="1426" spans="11:11" x14ac:dyDescent="0.3">
      <c r="K1426" t="s">
        <v>9482</v>
      </c>
    </row>
    <row r="1427" spans="11:11" x14ac:dyDescent="0.3">
      <c r="K1427" t="s">
        <v>8891</v>
      </c>
    </row>
    <row r="1428" spans="11:11" x14ac:dyDescent="0.3">
      <c r="K1428" t="s">
        <v>5489</v>
      </c>
    </row>
    <row r="1429" spans="11:11" x14ac:dyDescent="0.3">
      <c r="K1429" t="s">
        <v>9866</v>
      </c>
    </row>
    <row r="1430" spans="11:11" x14ac:dyDescent="0.3">
      <c r="K1430" t="s">
        <v>7156</v>
      </c>
    </row>
    <row r="1431" spans="11:11" x14ac:dyDescent="0.3">
      <c r="K1431" t="s">
        <v>8892</v>
      </c>
    </row>
    <row r="1432" spans="11:11" x14ac:dyDescent="0.3">
      <c r="K1432" t="s">
        <v>8893</v>
      </c>
    </row>
    <row r="1433" spans="11:11" x14ac:dyDescent="0.3">
      <c r="K1433" t="s">
        <v>5490</v>
      </c>
    </row>
    <row r="1434" spans="11:11" x14ac:dyDescent="0.3">
      <c r="K1434" t="s">
        <v>10612</v>
      </c>
    </row>
    <row r="1435" spans="11:11" x14ac:dyDescent="0.3">
      <c r="K1435" t="s">
        <v>7422</v>
      </c>
    </row>
    <row r="1436" spans="11:11" x14ac:dyDescent="0.3">
      <c r="K1436" t="s">
        <v>8894</v>
      </c>
    </row>
    <row r="1437" spans="11:11" x14ac:dyDescent="0.3">
      <c r="K1437" t="s">
        <v>10208</v>
      </c>
    </row>
    <row r="1438" spans="11:11" x14ac:dyDescent="0.3">
      <c r="K1438" t="s">
        <v>10701</v>
      </c>
    </row>
    <row r="1439" spans="11:11" x14ac:dyDescent="0.3">
      <c r="K1439" t="s">
        <v>7947</v>
      </c>
    </row>
    <row r="1440" spans="11:11" x14ac:dyDescent="0.3">
      <c r="K1440" t="s">
        <v>5834</v>
      </c>
    </row>
    <row r="1441" spans="11:11" x14ac:dyDescent="0.3">
      <c r="K1441" t="s">
        <v>10209</v>
      </c>
    </row>
    <row r="1442" spans="11:11" x14ac:dyDescent="0.3">
      <c r="K1442" t="s">
        <v>10613</v>
      </c>
    </row>
    <row r="1443" spans="11:11" x14ac:dyDescent="0.3">
      <c r="K1443" t="s">
        <v>6789</v>
      </c>
    </row>
    <row r="1444" spans="11:11" x14ac:dyDescent="0.3">
      <c r="K1444" t="s">
        <v>7157</v>
      </c>
    </row>
    <row r="1445" spans="11:11" x14ac:dyDescent="0.3">
      <c r="K1445" t="s">
        <v>6423</v>
      </c>
    </row>
    <row r="1446" spans="11:11" x14ac:dyDescent="0.3">
      <c r="K1446" t="s">
        <v>6424</v>
      </c>
    </row>
    <row r="1447" spans="11:11" x14ac:dyDescent="0.3">
      <c r="K1447" t="s">
        <v>8895</v>
      </c>
    </row>
    <row r="1448" spans="11:11" x14ac:dyDescent="0.3">
      <c r="K1448" t="s">
        <v>7423</v>
      </c>
    </row>
    <row r="1449" spans="11:11" x14ac:dyDescent="0.3">
      <c r="K1449" t="s">
        <v>9868</v>
      </c>
    </row>
    <row r="1450" spans="11:11" x14ac:dyDescent="0.3">
      <c r="K1450" t="s">
        <v>7948</v>
      </c>
    </row>
    <row r="1451" spans="11:11" x14ac:dyDescent="0.3">
      <c r="K1451" t="s">
        <v>7424</v>
      </c>
    </row>
    <row r="1452" spans="11:11" x14ac:dyDescent="0.3">
      <c r="K1452" t="s">
        <v>10210</v>
      </c>
    </row>
    <row r="1453" spans="11:11" x14ac:dyDescent="0.3">
      <c r="K1453" t="s">
        <v>8896</v>
      </c>
    </row>
    <row r="1454" spans="11:11" x14ac:dyDescent="0.3">
      <c r="K1454" t="s">
        <v>7949</v>
      </c>
    </row>
    <row r="1455" spans="11:11" x14ac:dyDescent="0.3">
      <c r="K1455" t="s">
        <v>10212</v>
      </c>
    </row>
    <row r="1456" spans="11:11" x14ac:dyDescent="0.3">
      <c r="K1456" t="s">
        <v>10211</v>
      </c>
    </row>
    <row r="1457" spans="11:11" x14ac:dyDescent="0.3">
      <c r="K1457" t="s">
        <v>6215</v>
      </c>
    </row>
    <row r="1458" spans="11:11" x14ac:dyDescent="0.3">
      <c r="K1458" t="s">
        <v>5835</v>
      </c>
    </row>
    <row r="1459" spans="11:11" x14ac:dyDescent="0.3">
      <c r="K1459" t="s">
        <v>7950</v>
      </c>
    </row>
    <row r="1460" spans="11:11" x14ac:dyDescent="0.3">
      <c r="K1460" t="s">
        <v>10876</v>
      </c>
    </row>
    <row r="1461" spans="11:11" x14ac:dyDescent="0.3">
      <c r="K1461" t="s">
        <v>7951</v>
      </c>
    </row>
    <row r="1462" spans="11:11" x14ac:dyDescent="0.3">
      <c r="K1462" t="s">
        <v>10877</v>
      </c>
    </row>
    <row r="1463" spans="11:11" x14ac:dyDescent="0.3">
      <c r="K1463" t="s">
        <v>7952</v>
      </c>
    </row>
    <row r="1464" spans="11:11" x14ac:dyDescent="0.3">
      <c r="K1464" t="s">
        <v>7250</v>
      </c>
    </row>
    <row r="1465" spans="11:11" x14ac:dyDescent="0.3">
      <c r="K1465" t="s">
        <v>6216</v>
      </c>
    </row>
    <row r="1466" spans="11:11" x14ac:dyDescent="0.3">
      <c r="K1466" t="s">
        <v>7425</v>
      </c>
    </row>
    <row r="1467" spans="11:11" x14ac:dyDescent="0.3">
      <c r="K1467" t="s">
        <v>5836</v>
      </c>
    </row>
    <row r="1468" spans="11:11" x14ac:dyDescent="0.3">
      <c r="K1468" t="s">
        <v>10878</v>
      </c>
    </row>
    <row r="1469" spans="11:11" x14ac:dyDescent="0.3">
      <c r="K1469" t="s">
        <v>6425</v>
      </c>
    </row>
    <row r="1470" spans="11:11" x14ac:dyDescent="0.3">
      <c r="K1470" t="s">
        <v>10879</v>
      </c>
    </row>
    <row r="1471" spans="11:11" x14ac:dyDescent="0.3">
      <c r="K1471" t="s">
        <v>7953</v>
      </c>
    </row>
    <row r="1472" spans="11:11" x14ac:dyDescent="0.3">
      <c r="K1472" t="s">
        <v>10213</v>
      </c>
    </row>
    <row r="1473" spans="11:11" x14ac:dyDescent="0.3">
      <c r="K1473" t="s">
        <v>7426</v>
      </c>
    </row>
    <row r="1474" spans="11:11" x14ac:dyDescent="0.3">
      <c r="K1474" t="s">
        <v>6790</v>
      </c>
    </row>
    <row r="1475" spans="11:11" x14ac:dyDescent="0.3">
      <c r="K1475" t="s">
        <v>9486</v>
      </c>
    </row>
    <row r="1476" spans="11:11" x14ac:dyDescent="0.3">
      <c r="K1476" t="s">
        <v>6426</v>
      </c>
    </row>
    <row r="1477" spans="11:11" x14ac:dyDescent="0.3">
      <c r="K1477" t="s">
        <v>8897</v>
      </c>
    </row>
    <row r="1478" spans="11:11" x14ac:dyDescent="0.3">
      <c r="K1478" t="s">
        <v>10214</v>
      </c>
    </row>
    <row r="1479" spans="11:11" x14ac:dyDescent="0.3">
      <c r="K1479" t="s">
        <v>7954</v>
      </c>
    </row>
    <row r="1480" spans="11:11" x14ac:dyDescent="0.3">
      <c r="K1480" t="s">
        <v>9483</v>
      </c>
    </row>
    <row r="1481" spans="11:11" x14ac:dyDescent="0.3">
      <c r="K1481" t="s">
        <v>9484</v>
      </c>
    </row>
    <row r="1482" spans="11:11" x14ac:dyDescent="0.3">
      <c r="K1482" t="s">
        <v>5540</v>
      </c>
    </row>
    <row r="1483" spans="11:11" x14ac:dyDescent="0.3">
      <c r="K1483" t="s">
        <v>9485</v>
      </c>
    </row>
    <row r="1484" spans="11:11" x14ac:dyDescent="0.3">
      <c r="K1484" t="s">
        <v>10215</v>
      </c>
    </row>
    <row r="1485" spans="11:11" x14ac:dyDescent="0.3">
      <c r="K1485" t="s">
        <v>8898</v>
      </c>
    </row>
    <row r="1486" spans="11:11" x14ac:dyDescent="0.3">
      <c r="K1486" t="s">
        <v>6590</v>
      </c>
    </row>
    <row r="1487" spans="11:11" x14ac:dyDescent="0.3">
      <c r="K1487" t="s">
        <v>7955</v>
      </c>
    </row>
    <row r="1488" spans="11:11" x14ac:dyDescent="0.3">
      <c r="K1488" t="s">
        <v>9487</v>
      </c>
    </row>
    <row r="1489" spans="11:11" x14ac:dyDescent="0.3">
      <c r="K1489" t="s">
        <v>8899</v>
      </c>
    </row>
    <row r="1490" spans="11:11" x14ac:dyDescent="0.3">
      <c r="K1490" t="s">
        <v>6791</v>
      </c>
    </row>
    <row r="1491" spans="11:11" x14ac:dyDescent="0.3">
      <c r="K1491" t="s">
        <v>10702</v>
      </c>
    </row>
    <row r="1492" spans="11:11" x14ac:dyDescent="0.3">
      <c r="K1492" t="s">
        <v>6794</v>
      </c>
    </row>
    <row r="1493" spans="11:11" x14ac:dyDescent="0.3">
      <c r="K1493" t="s">
        <v>6792</v>
      </c>
    </row>
    <row r="1494" spans="11:11" x14ac:dyDescent="0.3">
      <c r="K1494" t="s">
        <v>6793</v>
      </c>
    </row>
    <row r="1495" spans="11:11" x14ac:dyDescent="0.3">
      <c r="K1495" t="s">
        <v>5517</v>
      </c>
    </row>
    <row r="1496" spans="11:11" x14ac:dyDescent="0.3">
      <c r="K1496" t="s">
        <v>10880</v>
      </c>
    </row>
    <row r="1497" spans="11:11" x14ac:dyDescent="0.3">
      <c r="K1497" t="s">
        <v>5674</v>
      </c>
    </row>
    <row r="1498" spans="11:11" x14ac:dyDescent="0.3">
      <c r="K1498" t="s">
        <v>7001</v>
      </c>
    </row>
    <row r="1499" spans="11:11" x14ac:dyDescent="0.3">
      <c r="K1499" t="s">
        <v>7251</v>
      </c>
    </row>
    <row r="1500" spans="11:11" x14ac:dyDescent="0.3">
      <c r="K1500" t="s">
        <v>9869</v>
      </c>
    </row>
    <row r="1501" spans="11:11" x14ac:dyDescent="0.3">
      <c r="K1501" t="s">
        <v>8900</v>
      </c>
    </row>
    <row r="1502" spans="11:11" x14ac:dyDescent="0.3">
      <c r="K1502" t="s">
        <v>9870</v>
      </c>
    </row>
    <row r="1503" spans="11:11" x14ac:dyDescent="0.3">
      <c r="K1503" t="s">
        <v>7956</v>
      </c>
    </row>
    <row r="1504" spans="11:11" x14ac:dyDescent="0.3">
      <c r="K1504" t="s">
        <v>7002</v>
      </c>
    </row>
    <row r="1505" spans="11:11" x14ac:dyDescent="0.3">
      <c r="K1505" t="s">
        <v>7427</v>
      </c>
    </row>
    <row r="1506" spans="11:11" x14ac:dyDescent="0.3">
      <c r="K1506" t="s">
        <v>6217</v>
      </c>
    </row>
    <row r="1507" spans="11:11" x14ac:dyDescent="0.3">
      <c r="K1507" t="s">
        <v>5675</v>
      </c>
    </row>
    <row r="1508" spans="11:11" x14ac:dyDescent="0.3">
      <c r="K1508" t="s">
        <v>9488</v>
      </c>
    </row>
    <row r="1509" spans="11:11" x14ac:dyDescent="0.3">
      <c r="K1509" t="s">
        <v>9871</v>
      </c>
    </row>
    <row r="1510" spans="11:11" x14ac:dyDescent="0.3">
      <c r="K1510" t="s">
        <v>9489</v>
      </c>
    </row>
    <row r="1511" spans="11:11" x14ac:dyDescent="0.3">
      <c r="K1511" t="s">
        <v>6591</v>
      </c>
    </row>
    <row r="1512" spans="11:11" x14ac:dyDescent="0.3">
      <c r="K1512" t="s">
        <v>6218</v>
      </c>
    </row>
    <row r="1513" spans="11:11" x14ac:dyDescent="0.3">
      <c r="K1513" t="s">
        <v>6795</v>
      </c>
    </row>
    <row r="1514" spans="11:11" x14ac:dyDescent="0.3">
      <c r="K1514" t="s">
        <v>7957</v>
      </c>
    </row>
    <row r="1515" spans="11:11" x14ac:dyDescent="0.3">
      <c r="K1515" t="s">
        <v>6220</v>
      </c>
    </row>
    <row r="1516" spans="11:11" x14ac:dyDescent="0.3">
      <c r="K1516" t="s">
        <v>6796</v>
      </c>
    </row>
    <row r="1517" spans="11:11" x14ac:dyDescent="0.3">
      <c r="K1517" t="s">
        <v>5676</v>
      </c>
    </row>
    <row r="1518" spans="11:11" x14ac:dyDescent="0.3">
      <c r="K1518" t="s">
        <v>6219</v>
      </c>
    </row>
    <row r="1519" spans="11:11" x14ac:dyDescent="0.3">
      <c r="K1519" t="s">
        <v>5677</v>
      </c>
    </row>
    <row r="1520" spans="11:11" x14ac:dyDescent="0.3">
      <c r="K1520" t="s">
        <v>5678</v>
      </c>
    </row>
    <row r="1521" spans="11:11" x14ac:dyDescent="0.3">
      <c r="K1521" t="s">
        <v>5996</v>
      </c>
    </row>
    <row r="1522" spans="11:11" x14ac:dyDescent="0.3">
      <c r="K1522" t="s">
        <v>10703</v>
      </c>
    </row>
    <row r="1523" spans="11:11" x14ac:dyDescent="0.3">
      <c r="K1523" t="s">
        <v>7958</v>
      </c>
    </row>
    <row r="1524" spans="11:11" x14ac:dyDescent="0.3">
      <c r="K1524" t="s">
        <v>7003</v>
      </c>
    </row>
    <row r="1525" spans="11:11" x14ac:dyDescent="0.3">
      <c r="K1525" t="s">
        <v>5782</v>
      </c>
    </row>
    <row r="1526" spans="11:11" x14ac:dyDescent="0.3">
      <c r="K1526" t="s">
        <v>10881</v>
      </c>
    </row>
    <row r="1527" spans="11:11" x14ac:dyDescent="0.3">
      <c r="K1527" t="s">
        <v>6797</v>
      </c>
    </row>
    <row r="1528" spans="11:11" x14ac:dyDescent="0.3">
      <c r="K1528" t="s">
        <v>10882</v>
      </c>
    </row>
    <row r="1529" spans="11:11" x14ac:dyDescent="0.3">
      <c r="K1529" t="s">
        <v>5837</v>
      </c>
    </row>
    <row r="1530" spans="11:11" x14ac:dyDescent="0.3">
      <c r="K1530" t="s">
        <v>7428</v>
      </c>
    </row>
    <row r="1531" spans="11:11" x14ac:dyDescent="0.3">
      <c r="K1531" t="s">
        <v>7959</v>
      </c>
    </row>
    <row r="1532" spans="11:11" x14ac:dyDescent="0.3">
      <c r="K1532" t="s">
        <v>10216</v>
      </c>
    </row>
    <row r="1533" spans="11:11" x14ac:dyDescent="0.3">
      <c r="K1533" t="s">
        <v>10883</v>
      </c>
    </row>
    <row r="1534" spans="11:11" x14ac:dyDescent="0.3">
      <c r="K1534" t="s">
        <v>5997</v>
      </c>
    </row>
    <row r="1535" spans="11:11" x14ac:dyDescent="0.3">
      <c r="K1535" t="s">
        <v>7960</v>
      </c>
    </row>
    <row r="1536" spans="11:11" x14ac:dyDescent="0.3">
      <c r="K1536" t="s">
        <v>7961</v>
      </c>
    </row>
    <row r="1537" spans="11:11" x14ac:dyDescent="0.3">
      <c r="K1537" t="s">
        <v>7158</v>
      </c>
    </row>
    <row r="1538" spans="11:11" x14ac:dyDescent="0.3">
      <c r="K1538" t="s">
        <v>7962</v>
      </c>
    </row>
    <row r="1539" spans="11:11" x14ac:dyDescent="0.3">
      <c r="K1539" t="s">
        <v>6221</v>
      </c>
    </row>
    <row r="1540" spans="11:11" x14ac:dyDescent="0.3">
      <c r="K1540" t="s">
        <v>10704</v>
      </c>
    </row>
    <row r="1541" spans="11:11" x14ac:dyDescent="0.3">
      <c r="K1541" t="s">
        <v>10614</v>
      </c>
    </row>
    <row r="1542" spans="11:11" x14ac:dyDescent="0.3">
      <c r="K1542" t="s">
        <v>6427</v>
      </c>
    </row>
    <row r="1543" spans="11:11" x14ac:dyDescent="0.3">
      <c r="K1543" t="s">
        <v>10217</v>
      </c>
    </row>
    <row r="1544" spans="11:11" x14ac:dyDescent="0.3">
      <c r="K1544" t="s">
        <v>8901</v>
      </c>
    </row>
    <row r="1545" spans="11:11" x14ac:dyDescent="0.3">
      <c r="K1545" t="s">
        <v>9872</v>
      </c>
    </row>
    <row r="1546" spans="11:11" x14ac:dyDescent="0.3">
      <c r="K1546" t="s">
        <v>7963</v>
      </c>
    </row>
    <row r="1547" spans="11:11" x14ac:dyDescent="0.3">
      <c r="K1547" t="s">
        <v>7964</v>
      </c>
    </row>
    <row r="1548" spans="11:11" x14ac:dyDescent="0.3">
      <c r="K1548" t="s">
        <v>7965</v>
      </c>
    </row>
    <row r="1549" spans="11:11" x14ac:dyDescent="0.3">
      <c r="K1549" t="s">
        <v>6798</v>
      </c>
    </row>
    <row r="1550" spans="11:11" x14ac:dyDescent="0.3">
      <c r="K1550" t="s">
        <v>10218</v>
      </c>
    </row>
    <row r="1551" spans="11:11" x14ac:dyDescent="0.3">
      <c r="K1551" t="s">
        <v>8902</v>
      </c>
    </row>
    <row r="1552" spans="11:11" x14ac:dyDescent="0.3">
      <c r="K1552" t="s">
        <v>9492</v>
      </c>
    </row>
    <row r="1553" spans="11:11" x14ac:dyDescent="0.3">
      <c r="K1553" t="s">
        <v>9490</v>
      </c>
    </row>
    <row r="1554" spans="11:11" x14ac:dyDescent="0.3">
      <c r="K1554" t="s">
        <v>9491</v>
      </c>
    </row>
    <row r="1555" spans="11:11" x14ac:dyDescent="0.3">
      <c r="K1555" t="s">
        <v>6800</v>
      </c>
    </row>
    <row r="1556" spans="11:11" x14ac:dyDescent="0.3">
      <c r="K1556" t="s">
        <v>7966</v>
      </c>
    </row>
    <row r="1557" spans="11:11" x14ac:dyDescent="0.3">
      <c r="K1557" t="s">
        <v>10705</v>
      </c>
    </row>
    <row r="1558" spans="11:11" x14ac:dyDescent="0.3">
      <c r="K1558" t="s">
        <v>5838</v>
      </c>
    </row>
    <row r="1559" spans="11:11" x14ac:dyDescent="0.3">
      <c r="K1559" t="s">
        <v>7429</v>
      </c>
    </row>
    <row r="1560" spans="11:11" x14ac:dyDescent="0.3">
      <c r="K1560" t="s">
        <v>10219</v>
      </c>
    </row>
    <row r="1561" spans="11:11" x14ac:dyDescent="0.3">
      <c r="K1561" t="s">
        <v>7967</v>
      </c>
    </row>
    <row r="1562" spans="11:11" x14ac:dyDescent="0.3">
      <c r="K1562" t="s">
        <v>9873</v>
      </c>
    </row>
    <row r="1563" spans="11:11" x14ac:dyDescent="0.3">
      <c r="K1563" t="s">
        <v>7968</v>
      </c>
    </row>
    <row r="1564" spans="11:11" x14ac:dyDescent="0.3">
      <c r="K1564" t="s">
        <v>10884</v>
      </c>
    </row>
    <row r="1565" spans="11:11" x14ac:dyDescent="0.3">
      <c r="K1565" t="s">
        <v>8903</v>
      </c>
    </row>
    <row r="1566" spans="11:11" x14ac:dyDescent="0.3">
      <c r="K1566" t="s">
        <v>6222</v>
      </c>
    </row>
    <row r="1567" spans="11:11" x14ac:dyDescent="0.3">
      <c r="K1567" t="s">
        <v>7252</v>
      </c>
    </row>
    <row r="1568" spans="11:11" x14ac:dyDescent="0.3">
      <c r="K1568" t="s">
        <v>7969</v>
      </c>
    </row>
    <row r="1569" spans="11:11" x14ac:dyDescent="0.3">
      <c r="K1569" t="s">
        <v>7971</v>
      </c>
    </row>
    <row r="1570" spans="11:11" x14ac:dyDescent="0.3">
      <c r="K1570" t="s">
        <v>8601</v>
      </c>
    </row>
    <row r="1571" spans="11:11" x14ac:dyDescent="0.3">
      <c r="K1571" t="s">
        <v>7970</v>
      </c>
    </row>
    <row r="1572" spans="11:11" x14ac:dyDescent="0.3">
      <c r="K1572" t="s">
        <v>7972</v>
      </c>
    </row>
    <row r="1573" spans="11:11" x14ac:dyDescent="0.3">
      <c r="K1573" t="s">
        <v>8904</v>
      </c>
    </row>
    <row r="1574" spans="11:11" x14ac:dyDescent="0.3">
      <c r="K1574" t="s">
        <v>10896</v>
      </c>
    </row>
    <row r="1575" spans="11:11" x14ac:dyDescent="0.3">
      <c r="K1575" t="s">
        <v>5839</v>
      </c>
    </row>
    <row r="1576" spans="11:11" x14ac:dyDescent="0.3">
      <c r="K1576" t="s">
        <v>7973</v>
      </c>
    </row>
    <row r="1577" spans="11:11" x14ac:dyDescent="0.3">
      <c r="K1577" t="s">
        <v>7974</v>
      </c>
    </row>
    <row r="1578" spans="11:11" x14ac:dyDescent="0.3">
      <c r="K1578" t="s">
        <v>7975</v>
      </c>
    </row>
    <row r="1579" spans="11:11" x14ac:dyDescent="0.3">
      <c r="K1579" t="s">
        <v>7976</v>
      </c>
    </row>
    <row r="1580" spans="11:11" x14ac:dyDescent="0.3">
      <c r="K1580" t="s">
        <v>8905</v>
      </c>
    </row>
    <row r="1581" spans="11:11" x14ac:dyDescent="0.3">
      <c r="K1581" t="s">
        <v>8906</v>
      </c>
    </row>
    <row r="1582" spans="11:11" x14ac:dyDescent="0.3">
      <c r="K1582" t="s">
        <v>10221</v>
      </c>
    </row>
    <row r="1583" spans="11:11" x14ac:dyDescent="0.3">
      <c r="K1583" t="s">
        <v>10615</v>
      </c>
    </row>
    <row r="1584" spans="11:11" x14ac:dyDescent="0.3">
      <c r="K1584" t="s">
        <v>5840</v>
      </c>
    </row>
    <row r="1585" spans="11:11" x14ac:dyDescent="0.3">
      <c r="K1585" t="s">
        <v>10220</v>
      </c>
    </row>
    <row r="1586" spans="11:11" x14ac:dyDescent="0.3">
      <c r="K1586" t="s">
        <v>10222</v>
      </c>
    </row>
    <row r="1587" spans="11:11" x14ac:dyDescent="0.3">
      <c r="K1587" t="s">
        <v>7159</v>
      </c>
    </row>
    <row r="1588" spans="11:11" x14ac:dyDescent="0.3">
      <c r="K1588" t="s">
        <v>9493</v>
      </c>
    </row>
    <row r="1589" spans="11:11" x14ac:dyDescent="0.3">
      <c r="K1589" t="s">
        <v>8907</v>
      </c>
    </row>
    <row r="1590" spans="11:11" x14ac:dyDescent="0.3">
      <c r="K1590" t="s">
        <v>10706</v>
      </c>
    </row>
    <row r="1591" spans="11:11" x14ac:dyDescent="0.3">
      <c r="K1591" t="s">
        <v>7430</v>
      </c>
    </row>
    <row r="1592" spans="11:11" x14ac:dyDescent="0.3">
      <c r="K1592" t="s">
        <v>7977</v>
      </c>
    </row>
    <row r="1593" spans="11:11" x14ac:dyDescent="0.3">
      <c r="K1593" t="s">
        <v>7978</v>
      </c>
    </row>
    <row r="1594" spans="11:11" x14ac:dyDescent="0.3">
      <c r="K1594" t="s">
        <v>5679</v>
      </c>
    </row>
    <row r="1595" spans="11:11" x14ac:dyDescent="0.3">
      <c r="K1595" t="s">
        <v>6223</v>
      </c>
    </row>
    <row r="1596" spans="11:11" x14ac:dyDescent="0.3">
      <c r="K1596" t="s">
        <v>10223</v>
      </c>
    </row>
    <row r="1597" spans="11:11" x14ac:dyDescent="0.3">
      <c r="K1597" t="s">
        <v>6225</v>
      </c>
    </row>
    <row r="1598" spans="11:11" x14ac:dyDescent="0.3">
      <c r="K1598" t="s">
        <v>7979</v>
      </c>
    </row>
    <row r="1599" spans="11:11" x14ac:dyDescent="0.3">
      <c r="K1599" t="s">
        <v>7431</v>
      </c>
    </row>
    <row r="1600" spans="11:11" x14ac:dyDescent="0.3">
      <c r="K1600" t="s">
        <v>10225</v>
      </c>
    </row>
    <row r="1601" spans="11:11" x14ac:dyDescent="0.3">
      <c r="K1601" t="s">
        <v>10224</v>
      </c>
    </row>
    <row r="1602" spans="11:11" x14ac:dyDescent="0.3">
      <c r="K1602" t="s">
        <v>5998</v>
      </c>
    </row>
    <row r="1603" spans="11:11" x14ac:dyDescent="0.3">
      <c r="K1603" t="s">
        <v>7980</v>
      </c>
    </row>
    <row r="1604" spans="11:11" x14ac:dyDescent="0.3">
      <c r="K1604" t="s">
        <v>7981</v>
      </c>
    </row>
    <row r="1605" spans="11:11" x14ac:dyDescent="0.3">
      <c r="K1605" t="s">
        <v>8602</v>
      </c>
    </row>
    <row r="1606" spans="11:11" x14ac:dyDescent="0.3">
      <c r="K1606" t="s">
        <v>6224</v>
      </c>
    </row>
    <row r="1607" spans="11:11" x14ac:dyDescent="0.3">
      <c r="K1607" t="s">
        <v>9874</v>
      </c>
    </row>
    <row r="1608" spans="11:11" x14ac:dyDescent="0.3">
      <c r="K1608" t="s">
        <v>7982</v>
      </c>
    </row>
    <row r="1609" spans="11:11" x14ac:dyDescent="0.3">
      <c r="K1609" t="s">
        <v>10226</v>
      </c>
    </row>
    <row r="1610" spans="11:11" x14ac:dyDescent="0.3">
      <c r="K1610" t="s">
        <v>6801</v>
      </c>
    </row>
    <row r="1611" spans="11:11" x14ac:dyDescent="0.3">
      <c r="K1611" t="s">
        <v>7983</v>
      </c>
    </row>
    <row r="1612" spans="11:11" x14ac:dyDescent="0.3">
      <c r="K1612" t="s">
        <v>7984</v>
      </c>
    </row>
    <row r="1613" spans="11:11" x14ac:dyDescent="0.3">
      <c r="K1613" t="s">
        <v>7985</v>
      </c>
    </row>
    <row r="1614" spans="11:11" x14ac:dyDescent="0.3">
      <c r="K1614" t="s">
        <v>8603</v>
      </c>
    </row>
    <row r="1615" spans="11:11" x14ac:dyDescent="0.3">
      <c r="K1615" t="s">
        <v>7986</v>
      </c>
    </row>
    <row r="1616" spans="11:11" x14ac:dyDescent="0.3">
      <c r="K1616" t="s">
        <v>7987</v>
      </c>
    </row>
    <row r="1617" spans="11:11" x14ac:dyDescent="0.3">
      <c r="K1617" t="s">
        <v>7004</v>
      </c>
    </row>
    <row r="1618" spans="11:11" x14ac:dyDescent="0.3">
      <c r="K1618" t="s">
        <v>10616</v>
      </c>
    </row>
    <row r="1619" spans="11:11" x14ac:dyDescent="0.3">
      <c r="K1619" t="s">
        <v>9494</v>
      </c>
    </row>
    <row r="1620" spans="11:11" x14ac:dyDescent="0.3">
      <c r="K1620" t="s">
        <v>8908</v>
      </c>
    </row>
    <row r="1621" spans="11:11" x14ac:dyDescent="0.3">
      <c r="K1621" t="s">
        <v>7988</v>
      </c>
    </row>
    <row r="1622" spans="11:11" x14ac:dyDescent="0.3">
      <c r="K1622" t="s">
        <v>10617</v>
      </c>
    </row>
    <row r="1623" spans="11:11" x14ac:dyDescent="0.3">
      <c r="K1623" t="s">
        <v>9495</v>
      </c>
    </row>
    <row r="1624" spans="11:11" x14ac:dyDescent="0.3">
      <c r="K1624" t="s">
        <v>10227</v>
      </c>
    </row>
    <row r="1625" spans="11:11" x14ac:dyDescent="0.3">
      <c r="K1625" t="s">
        <v>9875</v>
      </c>
    </row>
    <row r="1626" spans="11:11" x14ac:dyDescent="0.3">
      <c r="K1626" t="s">
        <v>10228</v>
      </c>
    </row>
    <row r="1627" spans="11:11" x14ac:dyDescent="0.3">
      <c r="K1627" t="s">
        <v>6592</v>
      </c>
    </row>
    <row r="1628" spans="11:11" x14ac:dyDescent="0.3">
      <c r="K1628" t="s">
        <v>9790</v>
      </c>
    </row>
    <row r="1629" spans="11:11" x14ac:dyDescent="0.3">
      <c r="K1629" t="s">
        <v>10885</v>
      </c>
    </row>
    <row r="1630" spans="11:11" x14ac:dyDescent="0.3">
      <c r="K1630" t="s">
        <v>8909</v>
      </c>
    </row>
    <row r="1631" spans="11:11" x14ac:dyDescent="0.3">
      <c r="K1631" t="s">
        <v>8910</v>
      </c>
    </row>
    <row r="1632" spans="11:11" x14ac:dyDescent="0.3">
      <c r="K1632" t="s">
        <v>8681</v>
      </c>
    </row>
    <row r="1633" spans="11:11" x14ac:dyDescent="0.3">
      <c r="K1633" t="s">
        <v>6802</v>
      </c>
    </row>
    <row r="1634" spans="11:11" x14ac:dyDescent="0.3">
      <c r="K1634" t="s">
        <v>5841</v>
      </c>
    </row>
    <row r="1635" spans="11:11" x14ac:dyDescent="0.3">
      <c r="K1635" t="s">
        <v>8911</v>
      </c>
    </row>
    <row r="1636" spans="11:11" x14ac:dyDescent="0.3">
      <c r="K1636" t="s">
        <v>5999</v>
      </c>
    </row>
    <row r="1637" spans="11:11" x14ac:dyDescent="0.3">
      <c r="K1637" t="s">
        <v>8682</v>
      </c>
    </row>
    <row r="1638" spans="11:11" x14ac:dyDescent="0.3">
      <c r="K1638" t="s">
        <v>7989</v>
      </c>
    </row>
    <row r="1639" spans="11:11" x14ac:dyDescent="0.3">
      <c r="K1639" t="s">
        <v>8912</v>
      </c>
    </row>
    <row r="1640" spans="11:11" x14ac:dyDescent="0.3">
      <c r="K1640" t="s">
        <v>8604</v>
      </c>
    </row>
    <row r="1641" spans="11:11" x14ac:dyDescent="0.3">
      <c r="K1641" t="s">
        <v>10886</v>
      </c>
    </row>
    <row r="1642" spans="11:11" x14ac:dyDescent="0.3">
      <c r="K1642" t="s">
        <v>10887</v>
      </c>
    </row>
    <row r="1643" spans="11:11" x14ac:dyDescent="0.3">
      <c r="K1643" t="s">
        <v>5578</v>
      </c>
    </row>
    <row r="1644" spans="11:11" x14ac:dyDescent="0.3">
      <c r="K1644" t="s">
        <v>10229</v>
      </c>
    </row>
    <row r="1645" spans="11:11" x14ac:dyDescent="0.3">
      <c r="K1645" t="s">
        <v>5680</v>
      </c>
    </row>
    <row r="1646" spans="11:11" x14ac:dyDescent="0.3">
      <c r="K1646" t="s">
        <v>10618</v>
      </c>
    </row>
    <row r="1647" spans="11:11" x14ac:dyDescent="0.3">
      <c r="K1647" t="s">
        <v>8913</v>
      </c>
    </row>
    <row r="1648" spans="11:11" x14ac:dyDescent="0.3">
      <c r="K1648" t="s">
        <v>6226</v>
      </c>
    </row>
    <row r="1649" spans="11:11" x14ac:dyDescent="0.3">
      <c r="K1649" t="s">
        <v>8914</v>
      </c>
    </row>
    <row r="1650" spans="11:11" x14ac:dyDescent="0.3">
      <c r="K1650" t="s">
        <v>6227</v>
      </c>
    </row>
    <row r="1651" spans="11:11" x14ac:dyDescent="0.3">
      <c r="K1651" t="s">
        <v>8915</v>
      </c>
    </row>
    <row r="1652" spans="11:11" x14ac:dyDescent="0.3">
      <c r="K1652" t="s">
        <v>7432</v>
      </c>
    </row>
    <row r="1653" spans="11:11" x14ac:dyDescent="0.3">
      <c r="K1653" t="s">
        <v>7990</v>
      </c>
    </row>
    <row r="1654" spans="11:11" x14ac:dyDescent="0.3">
      <c r="K1654" t="s">
        <v>6803</v>
      </c>
    </row>
    <row r="1655" spans="11:11" x14ac:dyDescent="0.3">
      <c r="K1655" t="s">
        <v>8916</v>
      </c>
    </row>
    <row r="1656" spans="11:11" x14ac:dyDescent="0.3">
      <c r="K1656" t="s">
        <v>8917</v>
      </c>
    </row>
    <row r="1657" spans="11:11" x14ac:dyDescent="0.3">
      <c r="K1657" t="s">
        <v>8918</v>
      </c>
    </row>
    <row r="1658" spans="11:11" x14ac:dyDescent="0.3">
      <c r="K1658" t="s">
        <v>8919</v>
      </c>
    </row>
    <row r="1659" spans="11:11" x14ac:dyDescent="0.3">
      <c r="K1659" t="s">
        <v>10230</v>
      </c>
    </row>
    <row r="1660" spans="11:11" x14ac:dyDescent="0.3">
      <c r="K1660" t="s">
        <v>6594</v>
      </c>
    </row>
    <row r="1661" spans="11:11" x14ac:dyDescent="0.3">
      <c r="K1661" t="s">
        <v>10231</v>
      </c>
    </row>
    <row r="1662" spans="11:11" x14ac:dyDescent="0.3">
      <c r="K1662" t="s">
        <v>7433</v>
      </c>
    </row>
    <row r="1663" spans="11:11" x14ac:dyDescent="0.3">
      <c r="K1663" t="s">
        <v>9496</v>
      </c>
    </row>
    <row r="1664" spans="11:11" x14ac:dyDescent="0.3">
      <c r="K1664" t="s">
        <v>9497</v>
      </c>
    </row>
    <row r="1665" spans="11:11" x14ac:dyDescent="0.3">
      <c r="K1665" t="s">
        <v>7991</v>
      </c>
    </row>
    <row r="1666" spans="11:11" x14ac:dyDescent="0.3">
      <c r="K1666" t="s">
        <v>8920</v>
      </c>
    </row>
    <row r="1667" spans="11:11" x14ac:dyDescent="0.3">
      <c r="K1667" t="s">
        <v>7992</v>
      </c>
    </row>
    <row r="1668" spans="11:11" x14ac:dyDescent="0.3">
      <c r="K1668" t="s">
        <v>8683</v>
      </c>
    </row>
    <row r="1669" spans="11:11" x14ac:dyDescent="0.3">
      <c r="K1669" t="s">
        <v>10232</v>
      </c>
    </row>
    <row r="1670" spans="11:11" x14ac:dyDescent="0.3">
      <c r="K1670" t="s">
        <v>7993</v>
      </c>
    </row>
    <row r="1671" spans="11:11" x14ac:dyDescent="0.3">
      <c r="K1671" t="s">
        <v>7994</v>
      </c>
    </row>
    <row r="1672" spans="11:11" x14ac:dyDescent="0.3">
      <c r="K1672" t="s">
        <v>9499</v>
      </c>
    </row>
    <row r="1673" spans="11:11" x14ac:dyDescent="0.3">
      <c r="K1673" t="s">
        <v>10234</v>
      </c>
    </row>
    <row r="1674" spans="11:11" x14ac:dyDescent="0.3">
      <c r="K1674" t="s">
        <v>7434</v>
      </c>
    </row>
    <row r="1675" spans="11:11" x14ac:dyDescent="0.3">
      <c r="K1675" t="s">
        <v>9876</v>
      </c>
    </row>
    <row r="1676" spans="11:11" x14ac:dyDescent="0.3">
      <c r="K1676" t="s">
        <v>10233</v>
      </c>
    </row>
    <row r="1677" spans="11:11" x14ac:dyDescent="0.3">
      <c r="K1677" t="s">
        <v>5579</v>
      </c>
    </row>
    <row r="1678" spans="11:11" x14ac:dyDescent="0.3">
      <c r="K1678" t="s">
        <v>5541</v>
      </c>
    </row>
    <row r="1679" spans="11:11" x14ac:dyDescent="0.3">
      <c r="K1679" t="s">
        <v>6595</v>
      </c>
    </row>
    <row r="1680" spans="11:11" x14ac:dyDescent="0.3">
      <c r="K1680" t="s">
        <v>10235</v>
      </c>
    </row>
    <row r="1681" spans="11:11" x14ac:dyDescent="0.3">
      <c r="K1681" t="s">
        <v>10236</v>
      </c>
    </row>
    <row r="1682" spans="11:11" x14ac:dyDescent="0.3">
      <c r="K1682" t="s">
        <v>6428</v>
      </c>
    </row>
    <row r="1683" spans="11:11" x14ac:dyDescent="0.3">
      <c r="K1683" t="s">
        <v>7315</v>
      </c>
    </row>
    <row r="1684" spans="11:11" x14ac:dyDescent="0.3">
      <c r="K1684" t="s">
        <v>9877</v>
      </c>
    </row>
    <row r="1685" spans="11:11" x14ac:dyDescent="0.3">
      <c r="K1685" t="s">
        <v>10237</v>
      </c>
    </row>
    <row r="1686" spans="11:11" x14ac:dyDescent="0.3">
      <c r="K1686" t="s">
        <v>10239</v>
      </c>
    </row>
    <row r="1687" spans="11:11" x14ac:dyDescent="0.3">
      <c r="K1687" t="s">
        <v>10240</v>
      </c>
    </row>
    <row r="1688" spans="11:11" x14ac:dyDescent="0.3">
      <c r="K1688" t="s">
        <v>9878</v>
      </c>
    </row>
    <row r="1689" spans="11:11" x14ac:dyDescent="0.3">
      <c r="K1689" t="s">
        <v>7995</v>
      </c>
    </row>
    <row r="1690" spans="11:11" x14ac:dyDescent="0.3">
      <c r="K1690" t="s">
        <v>7005</v>
      </c>
    </row>
    <row r="1691" spans="11:11" x14ac:dyDescent="0.3">
      <c r="K1691" t="s">
        <v>10241</v>
      </c>
    </row>
    <row r="1692" spans="11:11" x14ac:dyDescent="0.3">
      <c r="K1692" t="s">
        <v>7996</v>
      </c>
    </row>
    <row r="1693" spans="11:11" x14ac:dyDescent="0.3">
      <c r="K1693" t="s">
        <v>7997</v>
      </c>
    </row>
    <row r="1694" spans="11:11" x14ac:dyDescent="0.3">
      <c r="K1694" t="s">
        <v>10242</v>
      </c>
    </row>
    <row r="1695" spans="11:11" x14ac:dyDescent="0.3">
      <c r="K1695" t="s">
        <v>9498</v>
      </c>
    </row>
    <row r="1696" spans="11:11" x14ac:dyDescent="0.3">
      <c r="K1696" t="s">
        <v>6804</v>
      </c>
    </row>
    <row r="1697" spans="11:11" x14ac:dyDescent="0.3">
      <c r="K1697" t="s">
        <v>6228</v>
      </c>
    </row>
    <row r="1698" spans="11:11" x14ac:dyDescent="0.3">
      <c r="K1698" t="s">
        <v>5842</v>
      </c>
    </row>
    <row r="1699" spans="11:11" x14ac:dyDescent="0.3">
      <c r="K1699" t="s">
        <v>6000</v>
      </c>
    </row>
    <row r="1700" spans="11:11" x14ac:dyDescent="0.3">
      <c r="K1700" t="s">
        <v>9500</v>
      </c>
    </row>
    <row r="1701" spans="11:11" x14ac:dyDescent="0.3">
      <c r="K1701" t="s">
        <v>5491</v>
      </c>
    </row>
    <row r="1702" spans="11:11" x14ac:dyDescent="0.3">
      <c r="K1702" t="s">
        <v>7998</v>
      </c>
    </row>
    <row r="1703" spans="11:11" x14ac:dyDescent="0.3">
      <c r="K1703" t="s">
        <v>7999</v>
      </c>
    </row>
    <row r="1704" spans="11:11" x14ac:dyDescent="0.3">
      <c r="K1704" t="s">
        <v>8921</v>
      </c>
    </row>
    <row r="1705" spans="11:11" x14ac:dyDescent="0.3">
      <c r="K1705" t="s">
        <v>8922</v>
      </c>
    </row>
    <row r="1706" spans="11:11" x14ac:dyDescent="0.3">
      <c r="K1706" t="s">
        <v>6596</v>
      </c>
    </row>
    <row r="1707" spans="11:11" x14ac:dyDescent="0.3">
      <c r="K1707" t="s">
        <v>7435</v>
      </c>
    </row>
    <row r="1708" spans="11:11" x14ac:dyDescent="0.3">
      <c r="K1708" t="s">
        <v>10243</v>
      </c>
    </row>
    <row r="1709" spans="11:11" x14ac:dyDescent="0.3">
      <c r="K1709" t="s">
        <v>10244</v>
      </c>
    </row>
    <row r="1710" spans="11:11" x14ac:dyDescent="0.3">
      <c r="K1710" t="s">
        <v>10245</v>
      </c>
    </row>
    <row r="1711" spans="11:11" x14ac:dyDescent="0.3">
      <c r="K1711" t="s">
        <v>7253</v>
      </c>
    </row>
    <row r="1712" spans="11:11" x14ac:dyDescent="0.3">
      <c r="K1712" t="s">
        <v>10246</v>
      </c>
    </row>
    <row r="1713" spans="11:11" x14ac:dyDescent="0.3">
      <c r="K1713" t="s">
        <v>9394</v>
      </c>
    </row>
    <row r="1714" spans="11:11" x14ac:dyDescent="0.3">
      <c r="K1714" t="s">
        <v>8000</v>
      </c>
    </row>
    <row r="1715" spans="11:11" x14ac:dyDescent="0.3">
      <c r="K1715" t="s">
        <v>6001</v>
      </c>
    </row>
    <row r="1716" spans="11:11" x14ac:dyDescent="0.3">
      <c r="K1716" t="s">
        <v>8923</v>
      </c>
    </row>
    <row r="1717" spans="11:11" x14ac:dyDescent="0.3">
      <c r="K1717" t="s">
        <v>8001</v>
      </c>
    </row>
    <row r="1718" spans="11:11" x14ac:dyDescent="0.3">
      <c r="K1718" t="s">
        <v>7160</v>
      </c>
    </row>
    <row r="1719" spans="11:11" x14ac:dyDescent="0.3">
      <c r="K1719" t="s">
        <v>8002</v>
      </c>
    </row>
    <row r="1720" spans="11:11" x14ac:dyDescent="0.3">
      <c r="K1720" t="s">
        <v>10888</v>
      </c>
    </row>
    <row r="1721" spans="11:11" x14ac:dyDescent="0.3">
      <c r="K1721" t="s">
        <v>8924</v>
      </c>
    </row>
    <row r="1722" spans="11:11" x14ac:dyDescent="0.3">
      <c r="K1722" t="s">
        <v>8003</v>
      </c>
    </row>
    <row r="1723" spans="11:11" x14ac:dyDescent="0.3">
      <c r="K1723" t="s">
        <v>10248</v>
      </c>
    </row>
    <row r="1724" spans="11:11" x14ac:dyDescent="0.3">
      <c r="K1724" t="s">
        <v>10247</v>
      </c>
    </row>
    <row r="1725" spans="11:11" x14ac:dyDescent="0.3">
      <c r="K1725" t="s">
        <v>8925</v>
      </c>
    </row>
    <row r="1726" spans="11:11" x14ac:dyDescent="0.3">
      <c r="K1726" t="s">
        <v>7436</v>
      </c>
    </row>
    <row r="1727" spans="11:11" x14ac:dyDescent="0.3">
      <c r="K1727" t="s">
        <v>10249</v>
      </c>
    </row>
    <row r="1728" spans="11:11" x14ac:dyDescent="0.3">
      <c r="K1728" t="s">
        <v>8004</v>
      </c>
    </row>
    <row r="1729" spans="11:11" x14ac:dyDescent="0.3">
      <c r="K1729" t="s">
        <v>7437</v>
      </c>
    </row>
    <row r="1730" spans="11:11" x14ac:dyDescent="0.3">
      <c r="K1730" t="s">
        <v>6429</v>
      </c>
    </row>
    <row r="1731" spans="11:11" x14ac:dyDescent="0.3">
      <c r="K1731" t="s">
        <v>8005</v>
      </c>
    </row>
    <row r="1732" spans="11:11" x14ac:dyDescent="0.3">
      <c r="K1732" t="s">
        <v>8006</v>
      </c>
    </row>
    <row r="1733" spans="11:11" x14ac:dyDescent="0.3">
      <c r="K1733" t="s">
        <v>6597</v>
      </c>
    </row>
    <row r="1734" spans="11:11" x14ac:dyDescent="0.3">
      <c r="K1734" t="s">
        <v>7006</v>
      </c>
    </row>
    <row r="1735" spans="11:11" x14ac:dyDescent="0.3">
      <c r="K1735" t="s">
        <v>10250</v>
      </c>
    </row>
    <row r="1736" spans="11:11" x14ac:dyDescent="0.3">
      <c r="K1736" t="s">
        <v>6805</v>
      </c>
    </row>
    <row r="1737" spans="11:11" x14ac:dyDescent="0.3">
      <c r="K1737" t="s">
        <v>10889</v>
      </c>
    </row>
    <row r="1738" spans="11:11" x14ac:dyDescent="0.3">
      <c r="K1738" t="s">
        <v>8007</v>
      </c>
    </row>
    <row r="1739" spans="11:11" x14ac:dyDescent="0.3">
      <c r="K1739" t="s">
        <v>8008</v>
      </c>
    </row>
    <row r="1740" spans="11:11" x14ac:dyDescent="0.3">
      <c r="K1740" t="s">
        <v>6430</v>
      </c>
    </row>
    <row r="1741" spans="11:11" x14ac:dyDescent="0.3">
      <c r="K1741" t="s">
        <v>5681</v>
      </c>
    </row>
    <row r="1742" spans="11:11" x14ac:dyDescent="0.3">
      <c r="K1742" t="s">
        <v>9501</v>
      </c>
    </row>
    <row r="1743" spans="11:11" x14ac:dyDescent="0.3">
      <c r="K1743" t="s">
        <v>10251</v>
      </c>
    </row>
    <row r="1744" spans="11:11" x14ac:dyDescent="0.3">
      <c r="K1744" t="s">
        <v>6229</v>
      </c>
    </row>
    <row r="1745" spans="11:11" x14ac:dyDescent="0.3">
      <c r="K1745" t="s">
        <v>8926</v>
      </c>
    </row>
    <row r="1746" spans="11:11" x14ac:dyDescent="0.3">
      <c r="K1746" t="s">
        <v>10619</v>
      </c>
    </row>
    <row r="1747" spans="11:11" x14ac:dyDescent="0.3">
      <c r="K1747" t="s">
        <v>7438</v>
      </c>
    </row>
    <row r="1748" spans="11:11" x14ac:dyDescent="0.3">
      <c r="K1748" t="s">
        <v>5843</v>
      </c>
    </row>
    <row r="1749" spans="11:11" x14ac:dyDescent="0.3">
      <c r="K1749" t="s">
        <v>10252</v>
      </c>
    </row>
    <row r="1750" spans="11:11" x14ac:dyDescent="0.3">
      <c r="K1750" t="s">
        <v>9879</v>
      </c>
    </row>
    <row r="1751" spans="11:11" x14ac:dyDescent="0.3">
      <c r="K1751" t="s">
        <v>9502</v>
      </c>
    </row>
    <row r="1752" spans="11:11" x14ac:dyDescent="0.3">
      <c r="K1752" t="s">
        <v>10253</v>
      </c>
    </row>
    <row r="1753" spans="11:11" x14ac:dyDescent="0.3">
      <c r="K1753" t="s">
        <v>10890</v>
      </c>
    </row>
    <row r="1754" spans="11:11" x14ac:dyDescent="0.3">
      <c r="K1754" t="s">
        <v>9503</v>
      </c>
    </row>
    <row r="1755" spans="11:11" x14ac:dyDescent="0.3">
      <c r="K1755" t="s">
        <v>10254</v>
      </c>
    </row>
    <row r="1756" spans="11:11" x14ac:dyDescent="0.3">
      <c r="K1756" t="s">
        <v>5542</v>
      </c>
    </row>
    <row r="1757" spans="11:11" x14ac:dyDescent="0.3">
      <c r="K1757" t="s">
        <v>7439</v>
      </c>
    </row>
    <row r="1758" spans="11:11" x14ac:dyDescent="0.3">
      <c r="K1758" t="s">
        <v>7440</v>
      </c>
    </row>
    <row r="1759" spans="11:11" x14ac:dyDescent="0.3">
      <c r="K1759" t="s">
        <v>7161</v>
      </c>
    </row>
    <row r="1760" spans="11:11" x14ac:dyDescent="0.3">
      <c r="K1760" t="s">
        <v>6002</v>
      </c>
    </row>
    <row r="1761" spans="11:11" x14ac:dyDescent="0.3">
      <c r="K1761" t="s">
        <v>7007</v>
      </c>
    </row>
    <row r="1762" spans="11:11" x14ac:dyDescent="0.3">
      <c r="K1762" t="s">
        <v>7254</v>
      </c>
    </row>
    <row r="1763" spans="11:11" x14ac:dyDescent="0.3">
      <c r="K1763" t="s">
        <v>8009</v>
      </c>
    </row>
    <row r="1764" spans="11:11" x14ac:dyDescent="0.3">
      <c r="K1764" t="s">
        <v>6598</v>
      </c>
    </row>
    <row r="1765" spans="11:11" x14ac:dyDescent="0.3">
      <c r="K1765" t="s">
        <v>8011</v>
      </c>
    </row>
    <row r="1766" spans="11:11" x14ac:dyDescent="0.3">
      <c r="K1766" t="s">
        <v>8012</v>
      </c>
    </row>
    <row r="1767" spans="11:11" x14ac:dyDescent="0.3">
      <c r="K1767" t="s">
        <v>7162</v>
      </c>
    </row>
    <row r="1768" spans="11:11" x14ac:dyDescent="0.3">
      <c r="K1768" t="s">
        <v>10707</v>
      </c>
    </row>
    <row r="1769" spans="11:11" x14ac:dyDescent="0.3">
      <c r="K1769" t="s">
        <v>10255</v>
      </c>
    </row>
    <row r="1770" spans="11:11" x14ac:dyDescent="0.3">
      <c r="K1770" t="s">
        <v>9504</v>
      </c>
    </row>
    <row r="1771" spans="11:11" x14ac:dyDescent="0.3">
      <c r="K1771" t="s">
        <v>9505</v>
      </c>
    </row>
    <row r="1772" spans="11:11" x14ac:dyDescent="0.3">
      <c r="K1772" t="s">
        <v>8013</v>
      </c>
    </row>
    <row r="1773" spans="11:11" x14ac:dyDescent="0.3">
      <c r="K1773" t="s">
        <v>7008</v>
      </c>
    </row>
    <row r="1774" spans="11:11" x14ac:dyDescent="0.3">
      <c r="K1774" t="s">
        <v>6003</v>
      </c>
    </row>
    <row r="1775" spans="11:11" x14ac:dyDescent="0.3">
      <c r="K1775" t="s">
        <v>6599</v>
      </c>
    </row>
    <row r="1776" spans="11:11" x14ac:dyDescent="0.3">
      <c r="K1776" t="s">
        <v>8928</v>
      </c>
    </row>
    <row r="1777" spans="11:11" x14ac:dyDescent="0.3">
      <c r="K1777" t="s">
        <v>8927</v>
      </c>
    </row>
    <row r="1778" spans="11:11" x14ac:dyDescent="0.3">
      <c r="K1778" t="s">
        <v>8929</v>
      </c>
    </row>
    <row r="1779" spans="11:11" x14ac:dyDescent="0.3">
      <c r="K1779" t="s">
        <v>8930</v>
      </c>
    </row>
    <row r="1780" spans="11:11" x14ac:dyDescent="0.3">
      <c r="K1780" t="s">
        <v>5783</v>
      </c>
    </row>
    <row r="1781" spans="11:11" x14ac:dyDescent="0.3">
      <c r="K1781" t="s">
        <v>7009</v>
      </c>
    </row>
    <row r="1782" spans="11:11" x14ac:dyDescent="0.3">
      <c r="K1782" t="s">
        <v>8014</v>
      </c>
    </row>
    <row r="1783" spans="11:11" x14ac:dyDescent="0.3">
      <c r="K1783" t="s">
        <v>8015</v>
      </c>
    </row>
    <row r="1784" spans="11:11" x14ac:dyDescent="0.3">
      <c r="K1784" t="s">
        <v>9506</v>
      </c>
    </row>
    <row r="1785" spans="11:11" x14ac:dyDescent="0.3">
      <c r="K1785" t="s">
        <v>10620</v>
      </c>
    </row>
    <row r="1786" spans="11:11" x14ac:dyDescent="0.3">
      <c r="K1786" t="s">
        <v>10708</v>
      </c>
    </row>
    <row r="1787" spans="11:11" x14ac:dyDescent="0.3">
      <c r="K1787" t="s">
        <v>5844</v>
      </c>
    </row>
    <row r="1788" spans="11:11" x14ac:dyDescent="0.3">
      <c r="K1788" t="s">
        <v>7441</v>
      </c>
    </row>
    <row r="1789" spans="11:11" x14ac:dyDescent="0.3">
      <c r="K1789" t="s">
        <v>5845</v>
      </c>
    </row>
    <row r="1790" spans="11:11" x14ac:dyDescent="0.3">
      <c r="K1790" t="s">
        <v>7442</v>
      </c>
    </row>
    <row r="1791" spans="11:11" x14ac:dyDescent="0.3">
      <c r="K1791" t="s">
        <v>10891</v>
      </c>
    </row>
    <row r="1792" spans="11:11" x14ac:dyDescent="0.3">
      <c r="K1792" t="s">
        <v>7163</v>
      </c>
    </row>
    <row r="1793" spans="11:11" x14ac:dyDescent="0.3">
      <c r="K1793" t="s">
        <v>9508</v>
      </c>
    </row>
    <row r="1794" spans="11:11" x14ac:dyDescent="0.3">
      <c r="K1794" t="s">
        <v>9880</v>
      </c>
    </row>
    <row r="1795" spans="11:11" x14ac:dyDescent="0.3">
      <c r="K1795" t="s">
        <v>8931</v>
      </c>
    </row>
    <row r="1796" spans="11:11" x14ac:dyDescent="0.3">
      <c r="K1796" t="s">
        <v>9507</v>
      </c>
    </row>
    <row r="1797" spans="11:11" x14ac:dyDescent="0.3">
      <c r="K1797" t="s">
        <v>6600</v>
      </c>
    </row>
    <row r="1798" spans="11:11" x14ac:dyDescent="0.3">
      <c r="K1798" t="s">
        <v>8932</v>
      </c>
    </row>
    <row r="1799" spans="11:11" x14ac:dyDescent="0.3">
      <c r="K1799" t="s">
        <v>10256</v>
      </c>
    </row>
    <row r="1800" spans="11:11" x14ac:dyDescent="0.3">
      <c r="K1800" t="s">
        <v>10892</v>
      </c>
    </row>
    <row r="1801" spans="11:11" x14ac:dyDescent="0.3">
      <c r="K1801" t="s">
        <v>6230</v>
      </c>
    </row>
    <row r="1802" spans="11:11" x14ac:dyDescent="0.3">
      <c r="K1802" t="s">
        <v>7010</v>
      </c>
    </row>
    <row r="1803" spans="11:11" x14ac:dyDescent="0.3">
      <c r="K1803" t="s">
        <v>7443</v>
      </c>
    </row>
    <row r="1804" spans="11:11" x14ac:dyDescent="0.3">
      <c r="K1804" t="s">
        <v>5682</v>
      </c>
    </row>
    <row r="1805" spans="11:11" x14ac:dyDescent="0.3">
      <c r="K1805" t="s">
        <v>6231</v>
      </c>
    </row>
    <row r="1806" spans="11:11" x14ac:dyDescent="0.3">
      <c r="K1806" t="s">
        <v>7011</v>
      </c>
    </row>
    <row r="1807" spans="11:11" x14ac:dyDescent="0.3">
      <c r="K1807" t="s">
        <v>9509</v>
      </c>
    </row>
    <row r="1808" spans="11:11" x14ac:dyDescent="0.3">
      <c r="K1808" t="s">
        <v>8016</v>
      </c>
    </row>
    <row r="1809" spans="11:11" x14ac:dyDescent="0.3">
      <c r="K1809" t="s">
        <v>9510</v>
      </c>
    </row>
    <row r="1810" spans="11:11" x14ac:dyDescent="0.3">
      <c r="K1810" t="s">
        <v>10257</v>
      </c>
    </row>
    <row r="1811" spans="11:11" x14ac:dyDescent="0.3">
      <c r="K1811" t="s">
        <v>6232</v>
      </c>
    </row>
    <row r="1812" spans="11:11" x14ac:dyDescent="0.3">
      <c r="K1812" t="s">
        <v>9881</v>
      </c>
    </row>
    <row r="1813" spans="11:11" x14ac:dyDescent="0.3">
      <c r="K1813" t="s">
        <v>8933</v>
      </c>
    </row>
    <row r="1814" spans="11:11" x14ac:dyDescent="0.3">
      <c r="K1814" t="s">
        <v>9511</v>
      </c>
    </row>
    <row r="1815" spans="11:11" x14ac:dyDescent="0.3">
      <c r="K1815" t="s">
        <v>8934</v>
      </c>
    </row>
    <row r="1816" spans="11:11" x14ac:dyDescent="0.3">
      <c r="K1816" t="s">
        <v>5580</v>
      </c>
    </row>
    <row r="1817" spans="11:11" x14ac:dyDescent="0.3">
      <c r="K1817" t="s">
        <v>10258</v>
      </c>
    </row>
    <row r="1818" spans="11:11" x14ac:dyDescent="0.3">
      <c r="K1818" t="s">
        <v>8017</v>
      </c>
    </row>
    <row r="1819" spans="11:11" x14ac:dyDescent="0.3">
      <c r="K1819" t="s">
        <v>10259</v>
      </c>
    </row>
    <row r="1820" spans="11:11" x14ac:dyDescent="0.3">
      <c r="K1820" t="s">
        <v>6004</v>
      </c>
    </row>
    <row r="1821" spans="11:11" x14ac:dyDescent="0.3">
      <c r="K1821" t="s">
        <v>9512</v>
      </c>
    </row>
    <row r="1822" spans="11:11" x14ac:dyDescent="0.3">
      <c r="K1822" t="s">
        <v>7444</v>
      </c>
    </row>
    <row r="1823" spans="11:11" x14ac:dyDescent="0.3">
      <c r="K1823" t="s">
        <v>9882</v>
      </c>
    </row>
    <row r="1824" spans="11:11" x14ac:dyDescent="0.3">
      <c r="K1824" t="s">
        <v>10893</v>
      </c>
    </row>
    <row r="1825" spans="11:11" x14ac:dyDescent="0.3">
      <c r="K1825" t="s">
        <v>5846</v>
      </c>
    </row>
    <row r="1826" spans="11:11" x14ac:dyDescent="0.3">
      <c r="K1826" t="s">
        <v>10894</v>
      </c>
    </row>
    <row r="1827" spans="11:11" x14ac:dyDescent="0.3">
      <c r="K1827" t="s">
        <v>8018</v>
      </c>
    </row>
    <row r="1828" spans="11:11" x14ac:dyDescent="0.3">
      <c r="K1828" t="s">
        <v>10260</v>
      </c>
    </row>
    <row r="1829" spans="11:11" x14ac:dyDescent="0.3">
      <c r="K1829" t="s">
        <v>6431</v>
      </c>
    </row>
    <row r="1830" spans="11:11" x14ac:dyDescent="0.3">
      <c r="K1830" t="s">
        <v>9883</v>
      </c>
    </row>
    <row r="1831" spans="11:11" x14ac:dyDescent="0.3">
      <c r="K1831" t="s">
        <v>8019</v>
      </c>
    </row>
    <row r="1832" spans="11:11" x14ac:dyDescent="0.3">
      <c r="K1832" t="s">
        <v>5847</v>
      </c>
    </row>
    <row r="1833" spans="11:11" x14ac:dyDescent="0.3">
      <c r="K1833" t="s">
        <v>6005</v>
      </c>
    </row>
    <row r="1834" spans="11:11" x14ac:dyDescent="0.3">
      <c r="K1834" t="s">
        <v>10261</v>
      </c>
    </row>
    <row r="1835" spans="11:11" x14ac:dyDescent="0.3">
      <c r="K1835" t="s">
        <v>6432</v>
      </c>
    </row>
    <row r="1836" spans="11:11" x14ac:dyDescent="0.3">
      <c r="K1836" t="s">
        <v>6433</v>
      </c>
    </row>
    <row r="1837" spans="11:11" x14ac:dyDescent="0.3">
      <c r="K1837" t="s">
        <v>8020</v>
      </c>
    </row>
    <row r="1838" spans="11:11" x14ac:dyDescent="0.3">
      <c r="K1838" t="s">
        <v>6006</v>
      </c>
    </row>
    <row r="1839" spans="11:11" x14ac:dyDescent="0.3">
      <c r="K1839" t="s">
        <v>9513</v>
      </c>
    </row>
    <row r="1840" spans="11:11" x14ac:dyDescent="0.3">
      <c r="K1840" t="s">
        <v>9516</v>
      </c>
    </row>
    <row r="1841" spans="11:11" x14ac:dyDescent="0.3">
      <c r="K1841" t="s">
        <v>9884</v>
      </c>
    </row>
    <row r="1842" spans="11:11" x14ac:dyDescent="0.3">
      <c r="K1842" t="s">
        <v>8935</v>
      </c>
    </row>
    <row r="1843" spans="11:11" x14ac:dyDescent="0.3">
      <c r="K1843" t="s">
        <v>6233</v>
      </c>
    </row>
    <row r="1844" spans="11:11" x14ac:dyDescent="0.3">
      <c r="K1844" t="s">
        <v>9514</v>
      </c>
    </row>
    <row r="1845" spans="11:11" x14ac:dyDescent="0.3">
      <c r="K1845" t="s">
        <v>6234</v>
      </c>
    </row>
    <row r="1846" spans="11:11" x14ac:dyDescent="0.3">
      <c r="K1846" t="s">
        <v>8021</v>
      </c>
    </row>
    <row r="1847" spans="11:11" x14ac:dyDescent="0.3">
      <c r="K1847" t="s">
        <v>9515</v>
      </c>
    </row>
    <row r="1848" spans="11:11" x14ac:dyDescent="0.3">
      <c r="K1848" t="s">
        <v>6601</v>
      </c>
    </row>
    <row r="1849" spans="11:11" x14ac:dyDescent="0.3">
      <c r="K1849" t="s">
        <v>8022</v>
      </c>
    </row>
    <row r="1850" spans="11:11" x14ac:dyDescent="0.3">
      <c r="K1850" t="s">
        <v>6235</v>
      </c>
    </row>
    <row r="1851" spans="11:11" x14ac:dyDescent="0.3">
      <c r="K1851" t="s">
        <v>8936</v>
      </c>
    </row>
    <row r="1852" spans="11:11" x14ac:dyDescent="0.3">
      <c r="K1852" t="s">
        <v>8023</v>
      </c>
    </row>
    <row r="1853" spans="11:11" x14ac:dyDescent="0.3">
      <c r="K1853" t="s">
        <v>6236</v>
      </c>
    </row>
    <row r="1854" spans="11:11" x14ac:dyDescent="0.3">
      <c r="K1854" t="s">
        <v>8024</v>
      </c>
    </row>
    <row r="1855" spans="11:11" x14ac:dyDescent="0.3">
      <c r="K1855" t="s">
        <v>8937</v>
      </c>
    </row>
    <row r="1856" spans="11:11" x14ac:dyDescent="0.3">
      <c r="K1856" t="s">
        <v>6434</v>
      </c>
    </row>
    <row r="1857" spans="11:11" x14ac:dyDescent="0.3">
      <c r="K1857" t="s">
        <v>10262</v>
      </c>
    </row>
    <row r="1858" spans="11:11" x14ac:dyDescent="0.3">
      <c r="K1858" t="s">
        <v>8025</v>
      </c>
    </row>
    <row r="1859" spans="11:11" x14ac:dyDescent="0.3">
      <c r="K1859" t="s">
        <v>8026</v>
      </c>
    </row>
    <row r="1860" spans="11:11" x14ac:dyDescent="0.3">
      <c r="K1860" t="s">
        <v>8027</v>
      </c>
    </row>
    <row r="1861" spans="11:11" x14ac:dyDescent="0.3">
      <c r="K1861" t="s">
        <v>6806</v>
      </c>
    </row>
    <row r="1862" spans="11:11" x14ac:dyDescent="0.3">
      <c r="K1862" t="s">
        <v>7012</v>
      </c>
    </row>
    <row r="1863" spans="11:11" x14ac:dyDescent="0.3">
      <c r="K1863" t="s">
        <v>7255</v>
      </c>
    </row>
    <row r="1864" spans="11:11" x14ac:dyDescent="0.3">
      <c r="K1864" t="s">
        <v>9885</v>
      </c>
    </row>
    <row r="1865" spans="11:11" x14ac:dyDescent="0.3">
      <c r="K1865" t="s">
        <v>8029</v>
      </c>
    </row>
    <row r="1866" spans="11:11" x14ac:dyDescent="0.3">
      <c r="K1866" t="s">
        <v>8028</v>
      </c>
    </row>
    <row r="1867" spans="11:11" x14ac:dyDescent="0.3">
      <c r="K1867" t="s">
        <v>6237</v>
      </c>
    </row>
    <row r="1868" spans="11:11" x14ac:dyDescent="0.3">
      <c r="K1868" t="s">
        <v>8030</v>
      </c>
    </row>
    <row r="1869" spans="11:11" x14ac:dyDescent="0.3">
      <c r="K1869" t="s">
        <v>8031</v>
      </c>
    </row>
    <row r="1870" spans="11:11" x14ac:dyDescent="0.3">
      <c r="K1870" t="s">
        <v>6602</v>
      </c>
    </row>
    <row r="1871" spans="11:11" x14ac:dyDescent="0.3">
      <c r="K1871" t="s">
        <v>8605</v>
      </c>
    </row>
    <row r="1872" spans="11:11" x14ac:dyDescent="0.3">
      <c r="K1872" t="s">
        <v>8032</v>
      </c>
    </row>
    <row r="1873" spans="11:11" x14ac:dyDescent="0.3">
      <c r="K1873" t="s">
        <v>8938</v>
      </c>
    </row>
    <row r="1874" spans="11:11" x14ac:dyDescent="0.3">
      <c r="K1874" t="s">
        <v>6807</v>
      </c>
    </row>
    <row r="1875" spans="11:11" x14ac:dyDescent="0.3">
      <c r="K1875" t="s">
        <v>8939</v>
      </c>
    </row>
    <row r="1876" spans="11:11" x14ac:dyDescent="0.3">
      <c r="K1876" t="s">
        <v>8033</v>
      </c>
    </row>
    <row r="1877" spans="11:11" x14ac:dyDescent="0.3">
      <c r="K1877" t="s">
        <v>6603</v>
      </c>
    </row>
    <row r="1878" spans="11:11" x14ac:dyDescent="0.3">
      <c r="K1878" t="s">
        <v>9886</v>
      </c>
    </row>
    <row r="1879" spans="11:11" x14ac:dyDescent="0.3">
      <c r="K1879" t="s">
        <v>10895</v>
      </c>
    </row>
    <row r="1880" spans="11:11" x14ac:dyDescent="0.3">
      <c r="K1880" t="s">
        <v>7013</v>
      </c>
    </row>
    <row r="1881" spans="11:11" x14ac:dyDescent="0.3">
      <c r="K1881" t="s">
        <v>8034</v>
      </c>
    </row>
    <row r="1882" spans="11:11" x14ac:dyDescent="0.3">
      <c r="K1882" t="s">
        <v>7445</v>
      </c>
    </row>
    <row r="1883" spans="11:11" x14ac:dyDescent="0.3">
      <c r="K1883" t="s">
        <v>7014</v>
      </c>
    </row>
    <row r="1884" spans="11:11" x14ac:dyDescent="0.3">
      <c r="K1884" t="s">
        <v>7256</v>
      </c>
    </row>
    <row r="1885" spans="11:11" x14ac:dyDescent="0.3">
      <c r="K1885" t="s">
        <v>8940</v>
      </c>
    </row>
    <row r="1886" spans="11:11" x14ac:dyDescent="0.3">
      <c r="K1886" t="s">
        <v>10263</v>
      </c>
    </row>
    <row r="1887" spans="11:11" x14ac:dyDescent="0.3">
      <c r="K1887" t="s">
        <v>9887</v>
      </c>
    </row>
    <row r="1888" spans="11:11" x14ac:dyDescent="0.3">
      <c r="K1888" t="s">
        <v>5683</v>
      </c>
    </row>
    <row r="1889" spans="11:11" x14ac:dyDescent="0.3">
      <c r="K1889" t="s">
        <v>10264</v>
      </c>
    </row>
    <row r="1890" spans="11:11" x14ac:dyDescent="0.3">
      <c r="K1890" t="s">
        <v>9888</v>
      </c>
    </row>
    <row r="1891" spans="11:11" x14ac:dyDescent="0.3">
      <c r="K1891" t="s">
        <v>9889</v>
      </c>
    </row>
    <row r="1892" spans="11:11" x14ac:dyDescent="0.3">
      <c r="K1892" t="s">
        <v>8941</v>
      </c>
    </row>
    <row r="1893" spans="11:11" x14ac:dyDescent="0.3">
      <c r="K1893" t="s">
        <v>10709</v>
      </c>
    </row>
    <row r="1894" spans="11:11" x14ac:dyDescent="0.3">
      <c r="K1894" t="s">
        <v>10265</v>
      </c>
    </row>
    <row r="1895" spans="11:11" x14ac:dyDescent="0.3">
      <c r="K1895" t="s">
        <v>8942</v>
      </c>
    </row>
    <row r="1896" spans="11:11" x14ac:dyDescent="0.3">
      <c r="K1896" t="s">
        <v>7446</v>
      </c>
    </row>
    <row r="1897" spans="11:11" x14ac:dyDescent="0.3">
      <c r="K1897" t="s">
        <v>6238</v>
      </c>
    </row>
    <row r="1898" spans="11:11" x14ac:dyDescent="0.3">
      <c r="K1898" t="s">
        <v>10266</v>
      </c>
    </row>
    <row r="1899" spans="11:11" x14ac:dyDescent="0.3">
      <c r="K1899" t="s">
        <v>10710</v>
      </c>
    </row>
    <row r="1900" spans="11:11" x14ac:dyDescent="0.3">
      <c r="K1900" t="s">
        <v>9517</v>
      </c>
    </row>
    <row r="1901" spans="11:11" x14ac:dyDescent="0.3">
      <c r="K1901" t="s">
        <v>7257</v>
      </c>
    </row>
    <row r="1902" spans="11:11" x14ac:dyDescent="0.3">
      <c r="K1902" t="s">
        <v>8943</v>
      </c>
    </row>
    <row r="1903" spans="11:11" x14ac:dyDescent="0.3">
      <c r="K1903" t="s">
        <v>6435</v>
      </c>
    </row>
    <row r="1904" spans="11:11" x14ac:dyDescent="0.3">
      <c r="K1904" t="s">
        <v>10267</v>
      </c>
    </row>
    <row r="1905" spans="11:11" x14ac:dyDescent="0.3">
      <c r="K1905" t="s">
        <v>7447</v>
      </c>
    </row>
    <row r="1906" spans="11:11" x14ac:dyDescent="0.3">
      <c r="K1906" t="s">
        <v>8944</v>
      </c>
    </row>
    <row r="1907" spans="11:11" x14ac:dyDescent="0.3">
      <c r="K1907" t="s">
        <v>10268</v>
      </c>
    </row>
    <row r="1908" spans="11:11" x14ac:dyDescent="0.3">
      <c r="K1908" t="s">
        <v>6239</v>
      </c>
    </row>
    <row r="1909" spans="11:11" x14ac:dyDescent="0.3">
      <c r="K1909" t="s">
        <v>7164</v>
      </c>
    </row>
    <row r="1910" spans="11:11" x14ac:dyDescent="0.3">
      <c r="K1910" t="s">
        <v>10269</v>
      </c>
    </row>
    <row r="1911" spans="11:11" x14ac:dyDescent="0.3">
      <c r="K1911" t="s">
        <v>8035</v>
      </c>
    </row>
    <row r="1912" spans="11:11" x14ac:dyDescent="0.3">
      <c r="K1912" t="s">
        <v>8945</v>
      </c>
    </row>
    <row r="1913" spans="11:11" x14ac:dyDescent="0.3">
      <c r="K1913" t="s">
        <v>10711</v>
      </c>
    </row>
    <row r="1914" spans="11:11" x14ac:dyDescent="0.3">
      <c r="K1914" t="s">
        <v>10621</v>
      </c>
    </row>
    <row r="1915" spans="11:11" x14ac:dyDescent="0.3">
      <c r="K1915" t="s">
        <v>7015</v>
      </c>
    </row>
    <row r="1916" spans="11:11" x14ac:dyDescent="0.3">
      <c r="K1916" t="s">
        <v>7448</v>
      </c>
    </row>
    <row r="1917" spans="11:11" x14ac:dyDescent="0.3">
      <c r="K1917" t="s">
        <v>10270</v>
      </c>
    </row>
    <row r="1918" spans="11:11" x14ac:dyDescent="0.3">
      <c r="K1918" t="s">
        <v>6007</v>
      </c>
    </row>
    <row r="1919" spans="11:11" x14ac:dyDescent="0.3">
      <c r="K1919" t="s">
        <v>9518</v>
      </c>
    </row>
    <row r="1920" spans="11:11" x14ac:dyDescent="0.3">
      <c r="K1920" t="s">
        <v>8036</v>
      </c>
    </row>
    <row r="1921" spans="11:11" x14ac:dyDescent="0.3">
      <c r="K1921" t="s">
        <v>8037</v>
      </c>
    </row>
    <row r="1922" spans="11:11" x14ac:dyDescent="0.3">
      <c r="K1922" t="s">
        <v>7016</v>
      </c>
    </row>
    <row r="1923" spans="11:11" x14ac:dyDescent="0.3">
      <c r="K1923" t="s">
        <v>10897</v>
      </c>
    </row>
    <row r="1924" spans="11:11" x14ac:dyDescent="0.3">
      <c r="K1924" t="s">
        <v>10898</v>
      </c>
    </row>
    <row r="1925" spans="11:11" x14ac:dyDescent="0.3">
      <c r="K1925" t="s">
        <v>5684</v>
      </c>
    </row>
    <row r="1926" spans="11:11" x14ac:dyDescent="0.3">
      <c r="K1926" t="s">
        <v>10899</v>
      </c>
    </row>
    <row r="1927" spans="11:11" x14ac:dyDescent="0.3">
      <c r="K1927" t="s">
        <v>10900</v>
      </c>
    </row>
    <row r="1928" spans="11:11" x14ac:dyDescent="0.3">
      <c r="K1928" t="s">
        <v>6604</v>
      </c>
    </row>
    <row r="1929" spans="11:11" x14ac:dyDescent="0.3">
      <c r="K1929" t="s">
        <v>10901</v>
      </c>
    </row>
    <row r="1930" spans="11:11" x14ac:dyDescent="0.3">
      <c r="K1930" t="s">
        <v>5848</v>
      </c>
    </row>
    <row r="1931" spans="11:11" x14ac:dyDescent="0.3">
      <c r="K1931" t="s">
        <v>10902</v>
      </c>
    </row>
    <row r="1932" spans="11:11" x14ac:dyDescent="0.3">
      <c r="K1932" t="s">
        <v>5849</v>
      </c>
    </row>
    <row r="1933" spans="11:11" x14ac:dyDescent="0.3">
      <c r="K1933" t="s">
        <v>10903</v>
      </c>
    </row>
    <row r="1934" spans="11:11" x14ac:dyDescent="0.3">
      <c r="K1934" t="s">
        <v>9519</v>
      </c>
    </row>
    <row r="1935" spans="11:11" x14ac:dyDescent="0.3">
      <c r="K1935" t="s">
        <v>9520</v>
      </c>
    </row>
    <row r="1936" spans="11:11" x14ac:dyDescent="0.3">
      <c r="K1936" t="s">
        <v>6008</v>
      </c>
    </row>
    <row r="1937" spans="11:11" x14ac:dyDescent="0.3">
      <c r="K1937" t="s">
        <v>8038</v>
      </c>
    </row>
    <row r="1938" spans="11:11" x14ac:dyDescent="0.3">
      <c r="K1938" t="s">
        <v>7449</v>
      </c>
    </row>
    <row r="1939" spans="11:11" x14ac:dyDescent="0.3">
      <c r="K1939" t="s">
        <v>8039</v>
      </c>
    </row>
    <row r="1940" spans="11:11" x14ac:dyDescent="0.3">
      <c r="K1940" t="s">
        <v>8040</v>
      </c>
    </row>
    <row r="1941" spans="11:11" x14ac:dyDescent="0.3">
      <c r="K1941" t="s">
        <v>10904</v>
      </c>
    </row>
    <row r="1942" spans="11:11" x14ac:dyDescent="0.3">
      <c r="K1942" t="s">
        <v>6009</v>
      </c>
    </row>
    <row r="1943" spans="11:11" x14ac:dyDescent="0.3">
      <c r="K1943" t="s">
        <v>9890</v>
      </c>
    </row>
    <row r="1944" spans="11:11" x14ac:dyDescent="0.3">
      <c r="K1944" t="s">
        <v>6605</v>
      </c>
    </row>
    <row r="1945" spans="11:11" x14ac:dyDescent="0.3">
      <c r="K1945" t="s">
        <v>6010</v>
      </c>
    </row>
    <row r="1946" spans="11:11" x14ac:dyDescent="0.3">
      <c r="K1946" t="s">
        <v>6011</v>
      </c>
    </row>
    <row r="1947" spans="11:11" x14ac:dyDescent="0.3">
      <c r="K1947" t="s">
        <v>5518</v>
      </c>
    </row>
    <row r="1948" spans="11:11" x14ac:dyDescent="0.3">
      <c r="K1948" t="s">
        <v>8606</v>
      </c>
    </row>
    <row r="1949" spans="11:11" x14ac:dyDescent="0.3">
      <c r="K1949" t="s">
        <v>7351</v>
      </c>
    </row>
    <row r="1950" spans="11:11" x14ac:dyDescent="0.3">
      <c r="K1950" t="s">
        <v>6012</v>
      </c>
    </row>
    <row r="1951" spans="11:11" x14ac:dyDescent="0.3">
      <c r="K1951" t="s">
        <v>7450</v>
      </c>
    </row>
    <row r="1952" spans="11:11" x14ac:dyDescent="0.3">
      <c r="K1952" t="s">
        <v>6013</v>
      </c>
    </row>
    <row r="1953" spans="11:11" x14ac:dyDescent="0.3">
      <c r="K1953" t="s">
        <v>6014</v>
      </c>
    </row>
    <row r="1954" spans="11:11" x14ac:dyDescent="0.3">
      <c r="K1954" t="s">
        <v>8041</v>
      </c>
    </row>
    <row r="1955" spans="11:11" x14ac:dyDescent="0.3">
      <c r="K1955" t="s">
        <v>6015</v>
      </c>
    </row>
    <row r="1956" spans="11:11" x14ac:dyDescent="0.3">
      <c r="K1956" t="s">
        <v>6436</v>
      </c>
    </row>
    <row r="1957" spans="11:11" x14ac:dyDescent="0.3">
      <c r="K1957" t="s">
        <v>7258</v>
      </c>
    </row>
    <row r="1958" spans="11:11" x14ac:dyDescent="0.3">
      <c r="K1958" t="s">
        <v>6016</v>
      </c>
    </row>
    <row r="1959" spans="11:11" x14ac:dyDescent="0.3">
      <c r="K1959" t="s">
        <v>10272</v>
      </c>
    </row>
    <row r="1960" spans="11:11" x14ac:dyDescent="0.3">
      <c r="K1960" t="s">
        <v>10273</v>
      </c>
    </row>
    <row r="1961" spans="11:11" x14ac:dyDescent="0.3">
      <c r="K1961" t="s">
        <v>10271</v>
      </c>
    </row>
    <row r="1962" spans="11:11" x14ac:dyDescent="0.3">
      <c r="K1962" t="s">
        <v>9521</v>
      </c>
    </row>
    <row r="1963" spans="11:11" x14ac:dyDescent="0.3">
      <c r="K1963" t="s">
        <v>7017</v>
      </c>
    </row>
    <row r="1964" spans="11:11" x14ac:dyDescent="0.3">
      <c r="K1964" t="s">
        <v>6437</v>
      </c>
    </row>
    <row r="1965" spans="11:11" x14ac:dyDescent="0.3">
      <c r="K1965" t="s">
        <v>6438</v>
      </c>
    </row>
    <row r="1966" spans="11:11" x14ac:dyDescent="0.3">
      <c r="K1966" t="s">
        <v>8042</v>
      </c>
    </row>
    <row r="1967" spans="11:11" x14ac:dyDescent="0.3">
      <c r="K1967" t="s">
        <v>9891</v>
      </c>
    </row>
    <row r="1968" spans="11:11" x14ac:dyDescent="0.3">
      <c r="K1968" t="s">
        <v>7018</v>
      </c>
    </row>
    <row r="1969" spans="11:11" x14ac:dyDescent="0.3">
      <c r="K1969" t="s">
        <v>10274</v>
      </c>
    </row>
    <row r="1970" spans="11:11" x14ac:dyDescent="0.3">
      <c r="K1970" t="s">
        <v>9892</v>
      </c>
    </row>
    <row r="1971" spans="11:11" x14ac:dyDescent="0.3">
      <c r="K1971" t="s">
        <v>6439</v>
      </c>
    </row>
    <row r="1972" spans="11:11" x14ac:dyDescent="0.3">
      <c r="K1972" t="s">
        <v>6606</v>
      </c>
    </row>
    <row r="1973" spans="11:11" x14ac:dyDescent="0.3">
      <c r="K1973" t="s">
        <v>8043</v>
      </c>
    </row>
    <row r="1974" spans="11:11" x14ac:dyDescent="0.3">
      <c r="K1974" t="s">
        <v>10275</v>
      </c>
    </row>
    <row r="1975" spans="11:11" x14ac:dyDescent="0.3">
      <c r="K1975" t="s">
        <v>9893</v>
      </c>
    </row>
    <row r="1976" spans="11:11" x14ac:dyDescent="0.3">
      <c r="K1976" t="s">
        <v>8607</v>
      </c>
    </row>
    <row r="1977" spans="11:11" x14ac:dyDescent="0.3">
      <c r="K1977" t="s">
        <v>6240</v>
      </c>
    </row>
    <row r="1978" spans="11:11" x14ac:dyDescent="0.3">
      <c r="K1978" t="s">
        <v>10276</v>
      </c>
    </row>
    <row r="1979" spans="11:11" x14ac:dyDescent="0.3">
      <c r="K1979" t="s">
        <v>8946</v>
      </c>
    </row>
    <row r="1980" spans="11:11" x14ac:dyDescent="0.3">
      <c r="K1980" t="s">
        <v>8947</v>
      </c>
    </row>
    <row r="1981" spans="11:11" x14ac:dyDescent="0.3">
      <c r="K1981" t="s">
        <v>9522</v>
      </c>
    </row>
    <row r="1982" spans="11:11" x14ac:dyDescent="0.3">
      <c r="K1982" t="s">
        <v>8948</v>
      </c>
    </row>
    <row r="1983" spans="11:11" x14ac:dyDescent="0.3">
      <c r="K1983" t="s">
        <v>9523</v>
      </c>
    </row>
    <row r="1984" spans="11:11" x14ac:dyDescent="0.3">
      <c r="K1984" t="s">
        <v>6440</v>
      </c>
    </row>
    <row r="1985" spans="11:11" x14ac:dyDescent="0.3">
      <c r="K1985" t="s">
        <v>5581</v>
      </c>
    </row>
    <row r="1986" spans="11:11" x14ac:dyDescent="0.3">
      <c r="K1986" t="s">
        <v>5492</v>
      </c>
    </row>
    <row r="1987" spans="11:11" x14ac:dyDescent="0.3">
      <c r="K1987" t="s">
        <v>7451</v>
      </c>
    </row>
    <row r="1988" spans="11:11" x14ac:dyDescent="0.3">
      <c r="K1988" t="s">
        <v>6607</v>
      </c>
    </row>
    <row r="1989" spans="11:11" x14ac:dyDescent="0.3">
      <c r="K1989" t="s">
        <v>9524</v>
      </c>
    </row>
    <row r="1990" spans="11:11" x14ac:dyDescent="0.3">
      <c r="K1990" t="s">
        <v>7452</v>
      </c>
    </row>
    <row r="1991" spans="11:11" x14ac:dyDescent="0.3">
      <c r="K1991" t="s">
        <v>8044</v>
      </c>
    </row>
    <row r="1992" spans="11:11" x14ac:dyDescent="0.3">
      <c r="K1992" t="s">
        <v>8045</v>
      </c>
    </row>
    <row r="1993" spans="11:11" x14ac:dyDescent="0.3">
      <c r="K1993" t="s">
        <v>8949</v>
      </c>
    </row>
    <row r="1994" spans="11:11" x14ac:dyDescent="0.3">
      <c r="K1994" t="s">
        <v>8950</v>
      </c>
    </row>
    <row r="1995" spans="11:11" x14ac:dyDescent="0.3">
      <c r="K1995" t="s">
        <v>8684</v>
      </c>
    </row>
    <row r="1996" spans="11:11" x14ac:dyDescent="0.3">
      <c r="K1996" t="s">
        <v>9525</v>
      </c>
    </row>
    <row r="1997" spans="11:11" x14ac:dyDescent="0.3">
      <c r="K1997" t="s">
        <v>10905</v>
      </c>
    </row>
    <row r="1998" spans="11:11" x14ac:dyDescent="0.3">
      <c r="K1998" t="s">
        <v>10277</v>
      </c>
    </row>
    <row r="1999" spans="11:11" x14ac:dyDescent="0.3">
      <c r="K1999" t="s">
        <v>9526</v>
      </c>
    </row>
    <row r="2000" spans="11:11" x14ac:dyDescent="0.3">
      <c r="K2000" t="s">
        <v>8951</v>
      </c>
    </row>
    <row r="2001" spans="11:11" x14ac:dyDescent="0.3">
      <c r="K2001" t="s">
        <v>6808</v>
      </c>
    </row>
    <row r="2002" spans="11:11" x14ac:dyDescent="0.3">
      <c r="K2002" t="s">
        <v>8952</v>
      </c>
    </row>
    <row r="2003" spans="11:11" x14ac:dyDescent="0.3">
      <c r="K2003" t="s">
        <v>9527</v>
      </c>
    </row>
    <row r="2004" spans="11:11" x14ac:dyDescent="0.3">
      <c r="K2004" t="s">
        <v>8953</v>
      </c>
    </row>
    <row r="2005" spans="11:11" x14ac:dyDescent="0.3">
      <c r="K2005" t="s">
        <v>6441</v>
      </c>
    </row>
    <row r="2006" spans="11:11" x14ac:dyDescent="0.3">
      <c r="K2006" t="s">
        <v>8046</v>
      </c>
    </row>
    <row r="2007" spans="11:11" x14ac:dyDescent="0.3">
      <c r="K2007" t="s">
        <v>9894</v>
      </c>
    </row>
    <row r="2008" spans="11:11" x14ac:dyDescent="0.3">
      <c r="K2008" t="s">
        <v>8047</v>
      </c>
    </row>
    <row r="2009" spans="11:11" x14ac:dyDescent="0.3">
      <c r="K2009" t="s">
        <v>5850</v>
      </c>
    </row>
    <row r="2010" spans="11:11" x14ac:dyDescent="0.3">
      <c r="K2010" t="s">
        <v>10906</v>
      </c>
    </row>
    <row r="2011" spans="11:11" x14ac:dyDescent="0.3">
      <c r="K2011" t="s">
        <v>6442</v>
      </c>
    </row>
    <row r="2012" spans="11:11" x14ac:dyDescent="0.3">
      <c r="K2012" t="s">
        <v>9895</v>
      </c>
    </row>
    <row r="2013" spans="11:11" x14ac:dyDescent="0.3">
      <c r="K2013" t="s">
        <v>8048</v>
      </c>
    </row>
    <row r="2014" spans="11:11" x14ac:dyDescent="0.3">
      <c r="K2014" t="s">
        <v>8954</v>
      </c>
    </row>
    <row r="2015" spans="11:11" x14ac:dyDescent="0.3">
      <c r="K2015" t="s">
        <v>10278</v>
      </c>
    </row>
    <row r="2016" spans="11:11" x14ac:dyDescent="0.3">
      <c r="K2016" t="s">
        <v>10907</v>
      </c>
    </row>
    <row r="2017" spans="11:11" x14ac:dyDescent="0.3">
      <c r="K2017" t="s">
        <v>8049</v>
      </c>
    </row>
    <row r="2018" spans="11:11" x14ac:dyDescent="0.3">
      <c r="K2018" t="s">
        <v>9528</v>
      </c>
    </row>
    <row r="2019" spans="11:11" x14ac:dyDescent="0.3">
      <c r="K2019" t="s">
        <v>10712</v>
      </c>
    </row>
    <row r="2020" spans="11:11" x14ac:dyDescent="0.3">
      <c r="K2020" t="s">
        <v>8955</v>
      </c>
    </row>
    <row r="2021" spans="11:11" x14ac:dyDescent="0.3">
      <c r="K2021" t="s">
        <v>8608</v>
      </c>
    </row>
    <row r="2022" spans="11:11" x14ac:dyDescent="0.3">
      <c r="K2022" t="s">
        <v>9529</v>
      </c>
    </row>
    <row r="2023" spans="11:11" x14ac:dyDescent="0.3">
      <c r="K2023" t="s">
        <v>9530</v>
      </c>
    </row>
    <row r="2024" spans="11:11" x14ac:dyDescent="0.3">
      <c r="K2024" t="s">
        <v>8050</v>
      </c>
    </row>
    <row r="2025" spans="11:11" x14ac:dyDescent="0.3">
      <c r="K2025" t="s">
        <v>8956</v>
      </c>
    </row>
    <row r="2026" spans="11:11" x14ac:dyDescent="0.3">
      <c r="K2026" t="s">
        <v>8957</v>
      </c>
    </row>
    <row r="2027" spans="11:11" x14ac:dyDescent="0.3">
      <c r="K2027" t="s">
        <v>7453</v>
      </c>
    </row>
    <row r="2028" spans="11:11" x14ac:dyDescent="0.3">
      <c r="K2028" t="s">
        <v>8958</v>
      </c>
    </row>
    <row r="2029" spans="11:11" x14ac:dyDescent="0.3">
      <c r="K2029" t="s">
        <v>9531</v>
      </c>
    </row>
    <row r="2030" spans="11:11" x14ac:dyDescent="0.3">
      <c r="K2030" t="s">
        <v>8051</v>
      </c>
    </row>
    <row r="2031" spans="11:11" x14ac:dyDescent="0.3">
      <c r="K2031" t="s">
        <v>8959</v>
      </c>
    </row>
    <row r="2032" spans="11:11" x14ac:dyDescent="0.3">
      <c r="K2032" t="s">
        <v>8960</v>
      </c>
    </row>
    <row r="2033" spans="11:11" x14ac:dyDescent="0.3">
      <c r="K2033" t="s">
        <v>6241</v>
      </c>
    </row>
    <row r="2034" spans="11:11" x14ac:dyDescent="0.3">
      <c r="K2034" t="s">
        <v>10908</v>
      </c>
    </row>
    <row r="2035" spans="11:11" x14ac:dyDescent="0.3">
      <c r="K2035" t="s">
        <v>9896</v>
      </c>
    </row>
    <row r="2036" spans="11:11" x14ac:dyDescent="0.3">
      <c r="K2036" t="s">
        <v>8961</v>
      </c>
    </row>
    <row r="2037" spans="11:11" x14ac:dyDescent="0.3">
      <c r="K2037" t="s">
        <v>8962</v>
      </c>
    </row>
    <row r="2038" spans="11:11" x14ac:dyDescent="0.3">
      <c r="K2038" t="s">
        <v>9897</v>
      </c>
    </row>
    <row r="2039" spans="11:11" x14ac:dyDescent="0.3">
      <c r="K2039" t="s">
        <v>8963</v>
      </c>
    </row>
    <row r="2040" spans="11:11" x14ac:dyDescent="0.3">
      <c r="K2040" t="s">
        <v>8052</v>
      </c>
    </row>
    <row r="2041" spans="11:11" x14ac:dyDescent="0.3">
      <c r="K2041" t="s">
        <v>10622</v>
      </c>
    </row>
    <row r="2042" spans="11:11" x14ac:dyDescent="0.3">
      <c r="K2042" t="s">
        <v>8053</v>
      </c>
    </row>
    <row r="2043" spans="11:11" x14ac:dyDescent="0.3">
      <c r="K2043" t="s">
        <v>6017</v>
      </c>
    </row>
    <row r="2044" spans="11:11" x14ac:dyDescent="0.3">
      <c r="K2044" t="s">
        <v>8054</v>
      </c>
    </row>
    <row r="2045" spans="11:11" x14ac:dyDescent="0.3">
      <c r="K2045" t="s">
        <v>10713</v>
      </c>
    </row>
    <row r="2046" spans="11:11" x14ac:dyDescent="0.3">
      <c r="K2046" t="s">
        <v>8055</v>
      </c>
    </row>
    <row r="2047" spans="11:11" x14ac:dyDescent="0.3">
      <c r="K2047" t="s">
        <v>8056</v>
      </c>
    </row>
    <row r="2048" spans="11:11" x14ac:dyDescent="0.3">
      <c r="K2048" t="s">
        <v>6809</v>
      </c>
    </row>
    <row r="2049" spans="11:11" x14ac:dyDescent="0.3">
      <c r="K2049" t="s">
        <v>6810</v>
      </c>
    </row>
    <row r="2050" spans="11:11" x14ac:dyDescent="0.3">
      <c r="K2050" t="s">
        <v>5685</v>
      </c>
    </row>
    <row r="2051" spans="11:11" x14ac:dyDescent="0.3">
      <c r="K2051" t="s">
        <v>5851</v>
      </c>
    </row>
    <row r="2052" spans="11:11" x14ac:dyDescent="0.3">
      <c r="K2052" t="s">
        <v>8964</v>
      </c>
    </row>
    <row r="2053" spans="11:11" x14ac:dyDescent="0.3">
      <c r="K2053" t="s">
        <v>10279</v>
      </c>
    </row>
    <row r="2054" spans="11:11" x14ac:dyDescent="0.3">
      <c r="K2054" t="s">
        <v>10909</v>
      </c>
    </row>
    <row r="2055" spans="11:11" x14ac:dyDescent="0.3">
      <c r="K2055" t="s">
        <v>8057</v>
      </c>
    </row>
    <row r="2056" spans="11:11" x14ac:dyDescent="0.3">
      <c r="K2056" t="s">
        <v>7454</v>
      </c>
    </row>
    <row r="2057" spans="11:11" x14ac:dyDescent="0.3">
      <c r="K2057" t="s">
        <v>8965</v>
      </c>
    </row>
    <row r="2058" spans="11:11" x14ac:dyDescent="0.3">
      <c r="K2058" t="s">
        <v>9898</v>
      </c>
    </row>
    <row r="2059" spans="11:11" x14ac:dyDescent="0.3">
      <c r="K2059" t="s">
        <v>10238</v>
      </c>
    </row>
    <row r="2060" spans="11:11" x14ac:dyDescent="0.3">
      <c r="K2060" t="s">
        <v>10280</v>
      </c>
    </row>
    <row r="2061" spans="11:11" x14ac:dyDescent="0.3">
      <c r="K2061" t="s">
        <v>6443</v>
      </c>
    </row>
    <row r="2062" spans="11:11" x14ac:dyDescent="0.3">
      <c r="K2062" t="s">
        <v>10910</v>
      </c>
    </row>
    <row r="2063" spans="11:11" x14ac:dyDescent="0.3">
      <c r="K2063" t="s">
        <v>10911</v>
      </c>
    </row>
    <row r="2064" spans="11:11" x14ac:dyDescent="0.3">
      <c r="K2064" t="s">
        <v>8966</v>
      </c>
    </row>
    <row r="2065" spans="11:11" x14ac:dyDescent="0.3">
      <c r="K2065" t="s">
        <v>9532</v>
      </c>
    </row>
    <row r="2066" spans="11:11" x14ac:dyDescent="0.3">
      <c r="K2066" t="s">
        <v>6444</v>
      </c>
    </row>
    <row r="2067" spans="11:11" x14ac:dyDescent="0.3">
      <c r="K2067" t="s">
        <v>10281</v>
      </c>
    </row>
    <row r="2068" spans="11:11" x14ac:dyDescent="0.3">
      <c r="K2068" t="s">
        <v>8967</v>
      </c>
    </row>
    <row r="2069" spans="11:11" x14ac:dyDescent="0.3">
      <c r="K2069" t="s">
        <v>6242</v>
      </c>
    </row>
    <row r="2070" spans="11:11" x14ac:dyDescent="0.3">
      <c r="K2070" t="s">
        <v>10282</v>
      </c>
    </row>
    <row r="2071" spans="11:11" x14ac:dyDescent="0.3">
      <c r="K2071" t="s">
        <v>5582</v>
      </c>
    </row>
    <row r="2072" spans="11:11" x14ac:dyDescent="0.3">
      <c r="K2072" t="s">
        <v>10283</v>
      </c>
    </row>
    <row r="2073" spans="11:11" x14ac:dyDescent="0.3">
      <c r="K2073" t="s">
        <v>6018</v>
      </c>
    </row>
    <row r="2074" spans="11:11" x14ac:dyDescent="0.3">
      <c r="K2074" t="s">
        <v>8968</v>
      </c>
    </row>
    <row r="2075" spans="11:11" x14ac:dyDescent="0.3">
      <c r="K2075" t="s">
        <v>10912</v>
      </c>
    </row>
    <row r="2076" spans="11:11" x14ac:dyDescent="0.3">
      <c r="K2076" t="s">
        <v>8969</v>
      </c>
    </row>
    <row r="2077" spans="11:11" x14ac:dyDescent="0.3">
      <c r="K2077" t="s">
        <v>7455</v>
      </c>
    </row>
    <row r="2078" spans="11:11" x14ac:dyDescent="0.3">
      <c r="K2078" t="s">
        <v>8058</v>
      </c>
    </row>
    <row r="2079" spans="11:11" x14ac:dyDescent="0.3">
      <c r="K2079" t="s">
        <v>8970</v>
      </c>
    </row>
    <row r="2080" spans="11:11" x14ac:dyDescent="0.3">
      <c r="K2080" t="s">
        <v>7019</v>
      </c>
    </row>
    <row r="2081" spans="11:11" x14ac:dyDescent="0.3">
      <c r="K2081" t="s">
        <v>9533</v>
      </c>
    </row>
    <row r="2082" spans="11:11" x14ac:dyDescent="0.3">
      <c r="K2082" t="s">
        <v>10284</v>
      </c>
    </row>
    <row r="2083" spans="11:11" x14ac:dyDescent="0.3">
      <c r="K2083" t="s">
        <v>6445</v>
      </c>
    </row>
    <row r="2084" spans="11:11" x14ac:dyDescent="0.3">
      <c r="K2084" t="s">
        <v>8971</v>
      </c>
    </row>
    <row r="2085" spans="11:11" x14ac:dyDescent="0.3">
      <c r="K2085" t="s">
        <v>7165</v>
      </c>
    </row>
    <row r="2086" spans="11:11" x14ac:dyDescent="0.3">
      <c r="K2086" t="s">
        <v>8609</v>
      </c>
    </row>
    <row r="2087" spans="11:11" x14ac:dyDescent="0.3">
      <c r="K2087" t="s">
        <v>9534</v>
      </c>
    </row>
    <row r="2088" spans="11:11" x14ac:dyDescent="0.3">
      <c r="K2088" t="s">
        <v>8059</v>
      </c>
    </row>
    <row r="2089" spans="11:11" x14ac:dyDescent="0.3">
      <c r="K2089" t="s">
        <v>8060</v>
      </c>
    </row>
    <row r="2090" spans="11:11" x14ac:dyDescent="0.3">
      <c r="K2090" t="s">
        <v>10285</v>
      </c>
    </row>
    <row r="2091" spans="11:11" x14ac:dyDescent="0.3">
      <c r="K2091" t="s">
        <v>8061</v>
      </c>
    </row>
    <row r="2092" spans="11:11" x14ac:dyDescent="0.3">
      <c r="K2092" t="s">
        <v>9899</v>
      </c>
    </row>
    <row r="2093" spans="11:11" x14ac:dyDescent="0.3">
      <c r="K2093" t="s">
        <v>6446</v>
      </c>
    </row>
    <row r="2094" spans="11:11" x14ac:dyDescent="0.3">
      <c r="K2094" t="s">
        <v>6811</v>
      </c>
    </row>
    <row r="2095" spans="11:11" x14ac:dyDescent="0.3">
      <c r="K2095" t="s">
        <v>7456</v>
      </c>
    </row>
    <row r="2096" spans="11:11" x14ac:dyDescent="0.3">
      <c r="K2096" t="s">
        <v>7457</v>
      </c>
    </row>
    <row r="2097" spans="11:11" x14ac:dyDescent="0.3">
      <c r="K2097" t="s">
        <v>9900</v>
      </c>
    </row>
    <row r="2098" spans="11:11" x14ac:dyDescent="0.3">
      <c r="K2098" t="s">
        <v>7458</v>
      </c>
    </row>
    <row r="2099" spans="11:11" x14ac:dyDescent="0.3">
      <c r="K2099" t="s">
        <v>7459</v>
      </c>
    </row>
    <row r="2100" spans="11:11" x14ac:dyDescent="0.3">
      <c r="K2100" t="s">
        <v>6447</v>
      </c>
    </row>
    <row r="2101" spans="11:11" x14ac:dyDescent="0.3">
      <c r="K2101" t="s">
        <v>7020</v>
      </c>
    </row>
    <row r="2102" spans="11:11" x14ac:dyDescent="0.3">
      <c r="K2102" t="s">
        <v>7460</v>
      </c>
    </row>
    <row r="2103" spans="11:11" x14ac:dyDescent="0.3">
      <c r="K2103" t="s">
        <v>7461</v>
      </c>
    </row>
    <row r="2104" spans="11:11" x14ac:dyDescent="0.3">
      <c r="K2104" t="s">
        <v>9535</v>
      </c>
    </row>
    <row r="2105" spans="11:11" x14ac:dyDescent="0.3">
      <c r="K2105" t="s">
        <v>7462</v>
      </c>
    </row>
    <row r="2106" spans="11:11" x14ac:dyDescent="0.3">
      <c r="K2106" t="s">
        <v>8972</v>
      </c>
    </row>
    <row r="2107" spans="11:11" x14ac:dyDescent="0.3">
      <c r="K2107" t="s">
        <v>8062</v>
      </c>
    </row>
    <row r="2108" spans="11:11" x14ac:dyDescent="0.3">
      <c r="K2108" t="s">
        <v>8063</v>
      </c>
    </row>
    <row r="2109" spans="11:11" x14ac:dyDescent="0.3">
      <c r="K2109" t="s">
        <v>8610</v>
      </c>
    </row>
    <row r="2110" spans="11:11" x14ac:dyDescent="0.3">
      <c r="K2110" t="s">
        <v>10286</v>
      </c>
    </row>
    <row r="2111" spans="11:11" x14ac:dyDescent="0.3">
      <c r="K2111" t="s">
        <v>7021</v>
      </c>
    </row>
    <row r="2112" spans="11:11" x14ac:dyDescent="0.3">
      <c r="K2112" t="s">
        <v>9901</v>
      </c>
    </row>
    <row r="2113" spans="11:11" x14ac:dyDescent="0.3">
      <c r="K2113" t="s">
        <v>7463</v>
      </c>
    </row>
    <row r="2114" spans="11:11" x14ac:dyDescent="0.3">
      <c r="K2114" t="s">
        <v>7464</v>
      </c>
    </row>
    <row r="2115" spans="11:11" x14ac:dyDescent="0.3">
      <c r="K2115" t="s">
        <v>10287</v>
      </c>
    </row>
    <row r="2116" spans="11:11" x14ac:dyDescent="0.3">
      <c r="K2116" t="s">
        <v>8973</v>
      </c>
    </row>
    <row r="2117" spans="11:11" x14ac:dyDescent="0.3">
      <c r="K2117" t="s">
        <v>7465</v>
      </c>
    </row>
    <row r="2118" spans="11:11" x14ac:dyDescent="0.3">
      <c r="K2118" t="s">
        <v>8064</v>
      </c>
    </row>
    <row r="2119" spans="11:11" x14ac:dyDescent="0.3">
      <c r="K2119" t="s">
        <v>10288</v>
      </c>
    </row>
    <row r="2120" spans="11:11" x14ac:dyDescent="0.3">
      <c r="K2120" t="s">
        <v>7466</v>
      </c>
    </row>
    <row r="2121" spans="11:11" x14ac:dyDescent="0.3">
      <c r="K2121" t="s">
        <v>8974</v>
      </c>
    </row>
    <row r="2122" spans="11:11" x14ac:dyDescent="0.3">
      <c r="K2122" t="s">
        <v>8611</v>
      </c>
    </row>
    <row r="2123" spans="11:11" x14ac:dyDescent="0.3">
      <c r="K2123" t="s">
        <v>7467</v>
      </c>
    </row>
    <row r="2124" spans="11:11" x14ac:dyDescent="0.3">
      <c r="K2124" t="s">
        <v>8065</v>
      </c>
    </row>
    <row r="2125" spans="11:11" x14ac:dyDescent="0.3">
      <c r="K2125" t="s">
        <v>8066</v>
      </c>
    </row>
    <row r="2126" spans="11:11" x14ac:dyDescent="0.3">
      <c r="K2126" t="s">
        <v>8975</v>
      </c>
    </row>
    <row r="2127" spans="11:11" x14ac:dyDescent="0.3">
      <c r="K2127" t="s">
        <v>7468</v>
      </c>
    </row>
    <row r="2128" spans="11:11" x14ac:dyDescent="0.3">
      <c r="K2128" t="s">
        <v>6448</v>
      </c>
    </row>
    <row r="2129" spans="11:11" x14ac:dyDescent="0.3">
      <c r="K2129" t="s">
        <v>9902</v>
      </c>
    </row>
    <row r="2130" spans="11:11" x14ac:dyDescent="0.3">
      <c r="K2130" t="s">
        <v>8067</v>
      </c>
    </row>
    <row r="2131" spans="11:11" x14ac:dyDescent="0.3">
      <c r="K2131" t="s">
        <v>9536</v>
      </c>
    </row>
    <row r="2132" spans="11:11" x14ac:dyDescent="0.3">
      <c r="K2132" t="s">
        <v>6019</v>
      </c>
    </row>
    <row r="2133" spans="11:11" x14ac:dyDescent="0.3">
      <c r="K2133" t="s">
        <v>8976</v>
      </c>
    </row>
    <row r="2134" spans="11:11" x14ac:dyDescent="0.3">
      <c r="K2134" t="s">
        <v>7469</v>
      </c>
    </row>
    <row r="2135" spans="11:11" x14ac:dyDescent="0.3">
      <c r="K2135" t="s">
        <v>6449</v>
      </c>
    </row>
    <row r="2136" spans="11:11" x14ac:dyDescent="0.3">
      <c r="K2136" t="s">
        <v>8612</v>
      </c>
    </row>
    <row r="2137" spans="11:11" x14ac:dyDescent="0.3">
      <c r="K2137" t="s">
        <v>6608</v>
      </c>
    </row>
    <row r="2138" spans="11:11" x14ac:dyDescent="0.3">
      <c r="K2138" t="s">
        <v>8977</v>
      </c>
    </row>
    <row r="2139" spans="11:11" x14ac:dyDescent="0.3">
      <c r="K2139" t="s">
        <v>7166</v>
      </c>
    </row>
    <row r="2140" spans="11:11" x14ac:dyDescent="0.3">
      <c r="K2140" t="s">
        <v>7470</v>
      </c>
    </row>
    <row r="2141" spans="11:11" x14ac:dyDescent="0.3">
      <c r="K2141" t="s">
        <v>8978</v>
      </c>
    </row>
    <row r="2142" spans="11:11" x14ac:dyDescent="0.3">
      <c r="K2142" t="s">
        <v>6760</v>
      </c>
    </row>
    <row r="2143" spans="11:11" x14ac:dyDescent="0.3">
      <c r="K2143" t="s">
        <v>8979</v>
      </c>
    </row>
    <row r="2144" spans="11:11" x14ac:dyDescent="0.3">
      <c r="K2144" t="s">
        <v>6020</v>
      </c>
    </row>
    <row r="2145" spans="11:11" x14ac:dyDescent="0.3">
      <c r="K2145" t="s">
        <v>6021</v>
      </c>
    </row>
    <row r="2146" spans="11:11" x14ac:dyDescent="0.3">
      <c r="K2146" t="s">
        <v>8068</v>
      </c>
    </row>
    <row r="2147" spans="11:11" x14ac:dyDescent="0.3">
      <c r="K2147" t="s">
        <v>5686</v>
      </c>
    </row>
    <row r="2148" spans="11:11" x14ac:dyDescent="0.3">
      <c r="K2148" t="s">
        <v>5687</v>
      </c>
    </row>
    <row r="2149" spans="11:11" x14ac:dyDescent="0.3">
      <c r="K2149" t="s">
        <v>7022</v>
      </c>
    </row>
    <row r="2150" spans="11:11" x14ac:dyDescent="0.3">
      <c r="K2150" t="s">
        <v>8980</v>
      </c>
    </row>
    <row r="2151" spans="11:11" x14ac:dyDescent="0.3">
      <c r="K2151" t="s">
        <v>8069</v>
      </c>
    </row>
    <row r="2152" spans="11:11" x14ac:dyDescent="0.3">
      <c r="K2152" t="s">
        <v>7471</v>
      </c>
    </row>
    <row r="2153" spans="11:11" x14ac:dyDescent="0.3">
      <c r="K2153" t="s">
        <v>7167</v>
      </c>
    </row>
    <row r="2154" spans="11:11" x14ac:dyDescent="0.3">
      <c r="K2154" t="s">
        <v>10289</v>
      </c>
    </row>
    <row r="2155" spans="11:11" x14ac:dyDescent="0.3">
      <c r="K2155" t="s">
        <v>8685</v>
      </c>
    </row>
    <row r="2156" spans="11:11" x14ac:dyDescent="0.3">
      <c r="K2156" t="s">
        <v>7472</v>
      </c>
    </row>
    <row r="2157" spans="11:11" x14ac:dyDescent="0.3">
      <c r="K2157" t="s">
        <v>8981</v>
      </c>
    </row>
    <row r="2158" spans="11:11" x14ac:dyDescent="0.3">
      <c r="K2158" t="s">
        <v>7023</v>
      </c>
    </row>
    <row r="2159" spans="11:11" x14ac:dyDescent="0.3">
      <c r="K2159" t="s">
        <v>9537</v>
      </c>
    </row>
    <row r="2160" spans="11:11" x14ac:dyDescent="0.3">
      <c r="K2160" t="s">
        <v>8070</v>
      </c>
    </row>
    <row r="2161" spans="11:11" x14ac:dyDescent="0.3">
      <c r="K2161" t="s">
        <v>10623</v>
      </c>
    </row>
    <row r="2162" spans="11:11" x14ac:dyDescent="0.3">
      <c r="K2162" t="s">
        <v>6450</v>
      </c>
    </row>
    <row r="2163" spans="11:11" x14ac:dyDescent="0.3">
      <c r="K2163" t="s">
        <v>9538</v>
      </c>
    </row>
    <row r="2164" spans="11:11" x14ac:dyDescent="0.3">
      <c r="K2164" t="s">
        <v>8071</v>
      </c>
    </row>
    <row r="2165" spans="11:11" x14ac:dyDescent="0.3">
      <c r="K2165" t="s">
        <v>10290</v>
      </c>
    </row>
    <row r="2166" spans="11:11" x14ac:dyDescent="0.3">
      <c r="K2166" t="s">
        <v>8983</v>
      </c>
    </row>
    <row r="2167" spans="11:11" x14ac:dyDescent="0.3">
      <c r="K2167" t="s">
        <v>7259</v>
      </c>
    </row>
    <row r="2168" spans="11:11" x14ac:dyDescent="0.3">
      <c r="K2168" t="s">
        <v>7030</v>
      </c>
    </row>
    <row r="2169" spans="11:11" x14ac:dyDescent="0.3">
      <c r="K2169" t="s">
        <v>6243</v>
      </c>
    </row>
    <row r="2170" spans="11:11" x14ac:dyDescent="0.3">
      <c r="K2170" t="s">
        <v>8984</v>
      </c>
    </row>
    <row r="2171" spans="11:11" x14ac:dyDescent="0.3">
      <c r="K2171" t="s">
        <v>8982</v>
      </c>
    </row>
    <row r="2172" spans="11:11" x14ac:dyDescent="0.3">
      <c r="K2172" t="s">
        <v>7473</v>
      </c>
    </row>
    <row r="2173" spans="11:11" x14ac:dyDescent="0.3">
      <c r="K2173" t="s">
        <v>9903</v>
      </c>
    </row>
    <row r="2174" spans="11:11" x14ac:dyDescent="0.3">
      <c r="K2174" t="s">
        <v>8072</v>
      </c>
    </row>
    <row r="2175" spans="11:11" x14ac:dyDescent="0.3">
      <c r="K2175" t="s">
        <v>10291</v>
      </c>
    </row>
    <row r="2176" spans="11:11" x14ac:dyDescent="0.3">
      <c r="K2176" t="s">
        <v>6812</v>
      </c>
    </row>
    <row r="2177" spans="11:11" x14ac:dyDescent="0.3">
      <c r="K2177" t="s">
        <v>9904</v>
      </c>
    </row>
    <row r="2178" spans="11:11" x14ac:dyDescent="0.3">
      <c r="K2178" t="s">
        <v>9539</v>
      </c>
    </row>
    <row r="2179" spans="11:11" x14ac:dyDescent="0.3">
      <c r="K2179" t="s">
        <v>8073</v>
      </c>
    </row>
    <row r="2180" spans="11:11" x14ac:dyDescent="0.3">
      <c r="K2180" t="s">
        <v>10292</v>
      </c>
    </row>
    <row r="2181" spans="11:11" x14ac:dyDescent="0.3">
      <c r="K2181" t="s">
        <v>9905</v>
      </c>
    </row>
    <row r="2182" spans="11:11" x14ac:dyDescent="0.3">
      <c r="K2182" t="s">
        <v>9540</v>
      </c>
    </row>
    <row r="2183" spans="11:11" x14ac:dyDescent="0.3">
      <c r="K2183" t="s">
        <v>9906</v>
      </c>
    </row>
    <row r="2184" spans="11:11" x14ac:dyDescent="0.3">
      <c r="K2184" t="s">
        <v>10293</v>
      </c>
    </row>
    <row r="2185" spans="11:11" x14ac:dyDescent="0.3">
      <c r="K2185" t="s">
        <v>6022</v>
      </c>
    </row>
    <row r="2186" spans="11:11" x14ac:dyDescent="0.3">
      <c r="K2186" t="s">
        <v>9541</v>
      </c>
    </row>
    <row r="2187" spans="11:11" x14ac:dyDescent="0.3">
      <c r="K2187" t="s">
        <v>10913</v>
      </c>
    </row>
    <row r="2188" spans="11:11" x14ac:dyDescent="0.3">
      <c r="K2188" t="s">
        <v>7024</v>
      </c>
    </row>
    <row r="2189" spans="11:11" x14ac:dyDescent="0.3">
      <c r="K2189" t="s">
        <v>9542</v>
      </c>
    </row>
    <row r="2190" spans="11:11" x14ac:dyDescent="0.3">
      <c r="K2190" t="s">
        <v>8074</v>
      </c>
    </row>
    <row r="2191" spans="11:11" x14ac:dyDescent="0.3">
      <c r="K2191" t="s">
        <v>8075</v>
      </c>
    </row>
    <row r="2192" spans="11:11" x14ac:dyDescent="0.3">
      <c r="K2192" t="s">
        <v>9907</v>
      </c>
    </row>
    <row r="2193" spans="11:11" x14ac:dyDescent="0.3">
      <c r="K2193" t="s">
        <v>8985</v>
      </c>
    </row>
    <row r="2194" spans="11:11" x14ac:dyDescent="0.3">
      <c r="K2194" t="s">
        <v>6451</v>
      </c>
    </row>
    <row r="2195" spans="11:11" x14ac:dyDescent="0.3">
      <c r="K2195" t="s">
        <v>10294</v>
      </c>
    </row>
    <row r="2196" spans="11:11" x14ac:dyDescent="0.3">
      <c r="K2196" t="s">
        <v>8986</v>
      </c>
    </row>
    <row r="2197" spans="11:11" x14ac:dyDescent="0.3">
      <c r="K2197" t="s">
        <v>8076</v>
      </c>
    </row>
    <row r="2198" spans="11:11" x14ac:dyDescent="0.3">
      <c r="K2198" t="s">
        <v>9543</v>
      </c>
    </row>
    <row r="2199" spans="11:11" x14ac:dyDescent="0.3">
      <c r="K2199" t="s">
        <v>8987</v>
      </c>
    </row>
    <row r="2200" spans="11:11" x14ac:dyDescent="0.3">
      <c r="K2200" t="s">
        <v>10914</v>
      </c>
    </row>
    <row r="2201" spans="11:11" x14ac:dyDescent="0.3">
      <c r="K2201" t="s">
        <v>7260</v>
      </c>
    </row>
    <row r="2202" spans="11:11" x14ac:dyDescent="0.3">
      <c r="K2202" t="s">
        <v>10714</v>
      </c>
    </row>
    <row r="2203" spans="11:11" x14ac:dyDescent="0.3">
      <c r="K2203" t="s">
        <v>6813</v>
      </c>
    </row>
    <row r="2204" spans="11:11" x14ac:dyDescent="0.3">
      <c r="K2204" t="s">
        <v>8077</v>
      </c>
    </row>
    <row r="2205" spans="11:11" x14ac:dyDescent="0.3">
      <c r="K2205" t="s">
        <v>7025</v>
      </c>
    </row>
    <row r="2206" spans="11:11" x14ac:dyDescent="0.3">
      <c r="K2206" t="s">
        <v>10295</v>
      </c>
    </row>
    <row r="2207" spans="11:11" x14ac:dyDescent="0.3">
      <c r="K2207" t="s">
        <v>7474</v>
      </c>
    </row>
    <row r="2208" spans="11:11" x14ac:dyDescent="0.3">
      <c r="K2208" t="s">
        <v>5688</v>
      </c>
    </row>
    <row r="2209" spans="11:11" x14ac:dyDescent="0.3">
      <c r="K2209" t="s">
        <v>7168</v>
      </c>
    </row>
    <row r="2210" spans="11:11" x14ac:dyDescent="0.3">
      <c r="K2210" t="s">
        <v>8078</v>
      </c>
    </row>
    <row r="2211" spans="11:11" x14ac:dyDescent="0.3">
      <c r="K2211" t="s">
        <v>8079</v>
      </c>
    </row>
    <row r="2212" spans="11:11" x14ac:dyDescent="0.3">
      <c r="K2212" t="s">
        <v>6244</v>
      </c>
    </row>
    <row r="2213" spans="11:11" x14ac:dyDescent="0.3">
      <c r="K2213" t="s">
        <v>10915</v>
      </c>
    </row>
    <row r="2214" spans="11:11" x14ac:dyDescent="0.3">
      <c r="K2214" t="s">
        <v>8080</v>
      </c>
    </row>
    <row r="2215" spans="11:11" x14ac:dyDescent="0.3">
      <c r="K2215" t="s">
        <v>10624</v>
      </c>
    </row>
    <row r="2216" spans="11:11" x14ac:dyDescent="0.3">
      <c r="K2216" t="s">
        <v>8988</v>
      </c>
    </row>
    <row r="2217" spans="11:11" x14ac:dyDescent="0.3">
      <c r="K2217" t="s">
        <v>9908</v>
      </c>
    </row>
    <row r="2218" spans="11:11" x14ac:dyDescent="0.3">
      <c r="K2218" t="s">
        <v>8081</v>
      </c>
    </row>
    <row r="2219" spans="11:11" x14ac:dyDescent="0.3">
      <c r="K2219" t="s">
        <v>10916</v>
      </c>
    </row>
    <row r="2220" spans="11:11" x14ac:dyDescent="0.3">
      <c r="K2220" t="s">
        <v>8082</v>
      </c>
    </row>
    <row r="2221" spans="11:11" x14ac:dyDescent="0.3">
      <c r="K2221" t="s">
        <v>6609</v>
      </c>
    </row>
    <row r="2222" spans="11:11" x14ac:dyDescent="0.3">
      <c r="K2222" t="s">
        <v>6452</v>
      </c>
    </row>
    <row r="2223" spans="11:11" x14ac:dyDescent="0.3">
      <c r="K2223" t="s">
        <v>8083</v>
      </c>
    </row>
    <row r="2224" spans="11:11" x14ac:dyDescent="0.3">
      <c r="K2224" t="s">
        <v>6453</v>
      </c>
    </row>
    <row r="2225" spans="11:11" x14ac:dyDescent="0.3">
      <c r="K2225" t="s">
        <v>8989</v>
      </c>
    </row>
    <row r="2226" spans="11:11" x14ac:dyDescent="0.3">
      <c r="K2226" t="s">
        <v>10296</v>
      </c>
    </row>
    <row r="2227" spans="11:11" x14ac:dyDescent="0.3">
      <c r="K2227" t="s">
        <v>7475</v>
      </c>
    </row>
    <row r="2228" spans="11:11" x14ac:dyDescent="0.3">
      <c r="K2228" t="s">
        <v>8990</v>
      </c>
    </row>
    <row r="2229" spans="11:11" x14ac:dyDescent="0.3">
      <c r="K2229" t="s">
        <v>8991</v>
      </c>
    </row>
    <row r="2230" spans="11:11" x14ac:dyDescent="0.3">
      <c r="K2230" t="s">
        <v>8084</v>
      </c>
    </row>
    <row r="2231" spans="11:11" x14ac:dyDescent="0.3">
      <c r="K2231" t="s">
        <v>7476</v>
      </c>
    </row>
    <row r="2232" spans="11:11" x14ac:dyDescent="0.3">
      <c r="K2232" t="s">
        <v>8992</v>
      </c>
    </row>
    <row r="2233" spans="11:11" x14ac:dyDescent="0.3">
      <c r="K2233" t="s">
        <v>7477</v>
      </c>
    </row>
    <row r="2234" spans="11:11" x14ac:dyDescent="0.3">
      <c r="K2234" t="s">
        <v>9909</v>
      </c>
    </row>
    <row r="2235" spans="11:11" x14ac:dyDescent="0.3">
      <c r="K2235" t="s">
        <v>10917</v>
      </c>
    </row>
    <row r="2236" spans="11:11" x14ac:dyDescent="0.3">
      <c r="K2236" t="s">
        <v>10715</v>
      </c>
    </row>
    <row r="2237" spans="11:11" x14ac:dyDescent="0.3">
      <c r="K2237" t="s">
        <v>6245</v>
      </c>
    </row>
    <row r="2238" spans="11:11" x14ac:dyDescent="0.3">
      <c r="K2238" t="s">
        <v>10297</v>
      </c>
    </row>
    <row r="2239" spans="11:11" x14ac:dyDescent="0.3">
      <c r="K2239" t="s">
        <v>9544</v>
      </c>
    </row>
    <row r="2240" spans="11:11" x14ac:dyDescent="0.3">
      <c r="K2240" t="s">
        <v>5689</v>
      </c>
    </row>
    <row r="2241" spans="11:11" x14ac:dyDescent="0.3">
      <c r="K2241" t="s">
        <v>5583</v>
      </c>
    </row>
    <row r="2242" spans="11:11" x14ac:dyDescent="0.3">
      <c r="K2242" t="s">
        <v>7026</v>
      </c>
    </row>
    <row r="2243" spans="11:11" x14ac:dyDescent="0.3">
      <c r="K2243" t="s">
        <v>9910</v>
      </c>
    </row>
    <row r="2244" spans="11:11" x14ac:dyDescent="0.3">
      <c r="K2244" t="s">
        <v>10918</v>
      </c>
    </row>
    <row r="2245" spans="11:11" x14ac:dyDescent="0.3">
      <c r="K2245" t="s">
        <v>9545</v>
      </c>
    </row>
    <row r="2246" spans="11:11" x14ac:dyDescent="0.3">
      <c r="K2246" t="s">
        <v>8993</v>
      </c>
    </row>
    <row r="2247" spans="11:11" x14ac:dyDescent="0.3">
      <c r="K2247" t="s">
        <v>6454</v>
      </c>
    </row>
    <row r="2248" spans="11:11" x14ac:dyDescent="0.3">
      <c r="K2248" t="s">
        <v>8994</v>
      </c>
    </row>
    <row r="2249" spans="11:11" x14ac:dyDescent="0.3">
      <c r="K2249" t="s">
        <v>9911</v>
      </c>
    </row>
    <row r="2250" spans="11:11" x14ac:dyDescent="0.3">
      <c r="K2250" t="s">
        <v>7027</v>
      </c>
    </row>
    <row r="2251" spans="11:11" x14ac:dyDescent="0.3">
      <c r="K2251" t="s">
        <v>6610</v>
      </c>
    </row>
    <row r="2252" spans="11:11" x14ac:dyDescent="0.3">
      <c r="K2252" t="s">
        <v>6455</v>
      </c>
    </row>
    <row r="2253" spans="11:11" x14ac:dyDescent="0.3">
      <c r="K2253" t="s">
        <v>5852</v>
      </c>
    </row>
    <row r="2254" spans="11:11" x14ac:dyDescent="0.3">
      <c r="K2254" t="s">
        <v>8085</v>
      </c>
    </row>
    <row r="2255" spans="11:11" x14ac:dyDescent="0.3">
      <c r="K2255" t="s">
        <v>9912</v>
      </c>
    </row>
    <row r="2256" spans="11:11" x14ac:dyDescent="0.3">
      <c r="K2256" t="s">
        <v>7478</v>
      </c>
    </row>
    <row r="2257" spans="11:11" x14ac:dyDescent="0.3">
      <c r="K2257" t="s">
        <v>9546</v>
      </c>
    </row>
    <row r="2258" spans="11:11" x14ac:dyDescent="0.3">
      <c r="K2258" t="s">
        <v>6456</v>
      </c>
    </row>
    <row r="2259" spans="11:11" x14ac:dyDescent="0.3">
      <c r="K2259" t="s">
        <v>5626</v>
      </c>
    </row>
    <row r="2260" spans="11:11" x14ac:dyDescent="0.3">
      <c r="K2260" t="s">
        <v>8995</v>
      </c>
    </row>
    <row r="2261" spans="11:11" x14ac:dyDescent="0.3">
      <c r="K2261" t="s">
        <v>9913</v>
      </c>
    </row>
    <row r="2262" spans="11:11" x14ac:dyDescent="0.3">
      <c r="K2262" t="s">
        <v>8086</v>
      </c>
    </row>
    <row r="2263" spans="11:11" x14ac:dyDescent="0.3">
      <c r="K2263" t="s">
        <v>10298</v>
      </c>
    </row>
    <row r="2264" spans="11:11" x14ac:dyDescent="0.3">
      <c r="K2264" t="s">
        <v>7479</v>
      </c>
    </row>
    <row r="2265" spans="11:11" x14ac:dyDescent="0.3">
      <c r="K2265" t="s">
        <v>7480</v>
      </c>
    </row>
    <row r="2266" spans="11:11" x14ac:dyDescent="0.3">
      <c r="K2266" t="s">
        <v>5584</v>
      </c>
    </row>
    <row r="2267" spans="11:11" x14ac:dyDescent="0.3">
      <c r="K2267" t="s">
        <v>9914</v>
      </c>
    </row>
    <row r="2268" spans="11:11" x14ac:dyDescent="0.3">
      <c r="K2268" t="s">
        <v>8996</v>
      </c>
    </row>
    <row r="2269" spans="11:11" x14ac:dyDescent="0.3">
      <c r="K2269" t="s">
        <v>8997</v>
      </c>
    </row>
    <row r="2270" spans="11:11" x14ac:dyDescent="0.3">
      <c r="K2270" t="s">
        <v>7481</v>
      </c>
    </row>
    <row r="2271" spans="11:11" x14ac:dyDescent="0.3">
      <c r="K2271" t="s">
        <v>7482</v>
      </c>
    </row>
    <row r="2272" spans="11:11" x14ac:dyDescent="0.3">
      <c r="K2272" t="s">
        <v>9547</v>
      </c>
    </row>
    <row r="2273" spans="11:11" x14ac:dyDescent="0.3">
      <c r="K2273" t="s">
        <v>9915</v>
      </c>
    </row>
    <row r="2274" spans="11:11" x14ac:dyDescent="0.3">
      <c r="K2274" t="s">
        <v>6457</v>
      </c>
    </row>
    <row r="2275" spans="11:11" x14ac:dyDescent="0.3">
      <c r="K2275" t="s">
        <v>7483</v>
      </c>
    </row>
    <row r="2276" spans="11:11" x14ac:dyDescent="0.3">
      <c r="K2276" t="s">
        <v>9548</v>
      </c>
    </row>
    <row r="2277" spans="11:11" x14ac:dyDescent="0.3">
      <c r="K2277" t="s">
        <v>9916</v>
      </c>
    </row>
    <row r="2278" spans="11:11" x14ac:dyDescent="0.3">
      <c r="K2278" t="s">
        <v>5690</v>
      </c>
    </row>
    <row r="2279" spans="11:11" x14ac:dyDescent="0.3">
      <c r="K2279" t="s">
        <v>8613</v>
      </c>
    </row>
    <row r="2280" spans="11:11" x14ac:dyDescent="0.3">
      <c r="K2280" t="s">
        <v>6246</v>
      </c>
    </row>
    <row r="2281" spans="11:11" x14ac:dyDescent="0.3">
      <c r="K2281" t="s">
        <v>10919</v>
      </c>
    </row>
    <row r="2282" spans="11:11" x14ac:dyDescent="0.3">
      <c r="K2282" t="s">
        <v>9917</v>
      </c>
    </row>
    <row r="2283" spans="11:11" x14ac:dyDescent="0.3">
      <c r="K2283" t="s">
        <v>10299</v>
      </c>
    </row>
    <row r="2284" spans="11:11" x14ac:dyDescent="0.3">
      <c r="K2284" t="s">
        <v>6814</v>
      </c>
    </row>
    <row r="2285" spans="11:11" x14ac:dyDescent="0.3">
      <c r="K2285" t="s">
        <v>7261</v>
      </c>
    </row>
    <row r="2286" spans="11:11" x14ac:dyDescent="0.3">
      <c r="K2286" t="s">
        <v>7262</v>
      </c>
    </row>
    <row r="2287" spans="11:11" x14ac:dyDescent="0.3">
      <c r="K2287" t="s">
        <v>7484</v>
      </c>
    </row>
    <row r="2288" spans="11:11" x14ac:dyDescent="0.3">
      <c r="K2288" t="s">
        <v>8998</v>
      </c>
    </row>
    <row r="2289" spans="11:11" x14ac:dyDescent="0.3">
      <c r="K2289" t="s">
        <v>7485</v>
      </c>
    </row>
    <row r="2290" spans="11:11" x14ac:dyDescent="0.3">
      <c r="K2290" t="s">
        <v>10920</v>
      </c>
    </row>
    <row r="2291" spans="11:11" x14ac:dyDescent="0.3">
      <c r="K2291" t="s">
        <v>7263</v>
      </c>
    </row>
    <row r="2292" spans="11:11" x14ac:dyDescent="0.3">
      <c r="K2292" t="s">
        <v>8087</v>
      </c>
    </row>
    <row r="2293" spans="11:11" x14ac:dyDescent="0.3">
      <c r="K2293" t="s">
        <v>8088</v>
      </c>
    </row>
    <row r="2294" spans="11:11" x14ac:dyDescent="0.3">
      <c r="K2294" t="s">
        <v>8089</v>
      </c>
    </row>
    <row r="2295" spans="11:11" x14ac:dyDescent="0.3">
      <c r="K2295" t="s">
        <v>8686</v>
      </c>
    </row>
    <row r="2296" spans="11:11" x14ac:dyDescent="0.3">
      <c r="K2296" t="s">
        <v>7486</v>
      </c>
    </row>
    <row r="2297" spans="11:11" x14ac:dyDescent="0.3">
      <c r="K2297" t="s">
        <v>5853</v>
      </c>
    </row>
    <row r="2298" spans="11:11" x14ac:dyDescent="0.3">
      <c r="K2298" t="s">
        <v>8090</v>
      </c>
    </row>
    <row r="2299" spans="11:11" x14ac:dyDescent="0.3">
      <c r="K2299" t="s">
        <v>8091</v>
      </c>
    </row>
    <row r="2300" spans="11:11" x14ac:dyDescent="0.3">
      <c r="K2300" t="s">
        <v>7487</v>
      </c>
    </row>
    <row r="2301" spans="11:11" x14ac:dyDescent="0.3">
      <c r="K2301" t="s">
        <v>5585</v>
      </c>
    </row>
    <row r="2302" spans="11:11" x14ac:dyDescent="0.3">
      <c r="K2302" t="s">
        <v>7028</v>
      </c>
    </row>
    <row r="2303" spans="11:11" x14ac:dyDescent="0.3">
      <c r="K2303" t="s">
        <v>10300</v>
      </c>
    </row>
    <row r="2304" spans="11:11" x14ac:dyDescent="0.3">
      <c r="K2304" t="s">
        <v>7488</v>
      </c>
    </row>
    <row r="2305" spans="11:11" x14ac:dyDescent="0.3">
      <c r="K2305" t="s">
        <v>7489</v>
      </c>
    </row>
    <row r="2306" spans="11:11" x14ac:dyDescent="0.3">
      <c r="K2306" t="s">
        <v>7490</v>
      </c>
    </row>
    <row r="2307" spans="11:11" x14ac:dyDescent="0.3">
      <c r="K2307" t="s">
        <v>7491</v>
      </c>
    </row>
    <row r="2308" spans="11:11" x14ac:dyDescent="0.3">
      <c r="K2308" t="s">
        <v>7492</v>
      </c>
    </row>
    <row r="2309" spans="11:11" x14ac:dyDescent="0.3">
      <c r="K2309" t="s">
        <v>8614</v>
      </c>
    </row>
    <row r="2310" spans="11:11" x14ac:dyDescent="0.3">
      <c r="K2310" t="s">
        <v>8687</v>
      </c>
    </row>
    <row r="2311" spans="11:11" x14ac:dyDescent="0.3">
      <c r="K2311" t="s">
        <v>9549</v>
      </c>
    </row>
    <row r="2312" spans="11:11" x14ac:dyDescent="0.3">
      <c r="K2312" t="s">
        <v>8092</v>
      </c>
    </row>
    <row r="2313" spans="11:11" x14ac:dyDescent="0.3">
      <c r="K2313" t="s">
        <v>10921</v>
      </c>
    </row>
    <row r="2314" spans="11:11" x14ac:dyDescent="0.3">
      <c r="K2314" t="s">
        <v>10922</v>
      </c>
    </row>
    <row r="2315" spans="11:11" x14ac:dyDescent="0.3">
      <c r="K2315" t="s">
        <v>5854</v>
      </c>
    </row>
    <row r="2316" spans="11:11" x14ac:dyDescent="0.3">
      <c r="K2316" t="s">
        <v>8999</v>
      </c>
    </row>
    <row r="2317" spans="11:11" x14ac:dyDescent="0.3">
      <c r="K2317" t="s">
        <v>7029</v>
      </c>
    </row>
    <row r="2318" spans="11:11" x14ac:dyDescent="0.3">
      <c r="K2318" t="s">
        <v>6458</v>
      </c>
    </row>
    <row r="2319" spans="11:11" x14ac:dyDescent="0.3">
      <c r="K2319" t="s">
        <v>6247</v>
      </c>
    </row>
    <row r="2320" spans="11:11" x14ac:dyDescent="0.3">
      <c r="K2320" t="s">
        <v>9918</v>
      </c>
    </row>
    <row r="2321" spans="11:11" x14ac:dyDescent="0.3">
      <c r="K2321" t="s">
        <v>6023</v>
      </c>
    </row>
    <row r="2322" spans="11:11" x14ac:dyDescent="0.3">
      <c r="K2322" t="s">
        <v>8093</v>
      </c>
    </row>
    <row r="2323" spans="11:11" x14ac:dyDescent="0.3">
      <c r="K2323" t="s">
        <v>9550</v>
      </c>
    </row>
    <row r="2324" spans="11:11" x14ac:dyDescent="0.3">
      <c r="K2324" t="s">
        <v>6459</v>
      </c>
    </row>
    <row r="2325" spans="11:11" x14ac:dyDescent="0.3">
      <c r="K2325" t="s">
        <v>5691</v>
      </c>
    </row>
    <row r="2326" spans="11:11" x14ac:dyDescent="0.3">
      <c r="K2326" t="s">
        <v>10923</v>
      </c>
    </row>
    <row r="2327" spans="11:11" x14ac:dyDescent="0.3">
      <c r="K2327" t="s">
        <v>6611</v>
      </c>
    </row>
    <row r="2328" spans="11:11" x14ac:dyDescent="0.3">
      <c r="K2328" t="s">
        <v>9919</v>
      </c>
    </row>
    <row r="2329" spans="11:11" x14ac:dyDescent="0.3">
      <c r="K2329" t="s">
        <v>9000</v>
      </c>
    </row>
    <row r="2330" spans="11:11" x14ac:dyDescent="0.3">
      <c r="K2330" t="s">
        <v>7493</v>
      </c>
    </row>
    <row r="2331" spans="11:11" x14ac:dyDescent="0.3">
      <c r="K2331" t="s">
        <v>9001</v>
      </c>
    </row>
    <row r="2332" spans="11:11" x14ac:dyDescent="0.3">
      <c r="K2332" t="s">
        <v>8094</v>
      </c>
    </row>
    <row r="2333" spans="11:11" x14ac:dyDescent="0.3">
      <c r="K2333" t="s">
        <v>7494</v>
      </c>
    </row>
    <row r="2334" spans="11:11" x14ac:dyDescent="0.3">
      <c r="K2334" t="s">
        <v>8688</v>
      </c>
    </row>
    <row r="2335" spans="11:11" x14ac:dyDescent="0.3">
      <c r="K2335" t="s">
        <v>7495</v>
      </c>
    </row>
    <row r="2336" spans="11:11" x14ac:dyDescent="0.3">
      <c r="K2336" t="s">
        <v>8095</v>
      </c>
    </row>
    <row r="2337" spans="11:11" x14ac:dyDescent="0.3">
      <c r="K2337" t="s">
        <v>8096</v>
      </c>
    </row>
    <row r="2338" spans="11:11" x14ac:dyDescent="0.3">
      <c r="K2338" t="s">
        <v>5586</v>
      </c>
    </row>
    <row r="2339" spans="11:11" x14ac:dyDescent="0.3">
      <c r="K2339" t="s">
        <v>7496</v>
      </c>
    </row>
    <row r="2340" spans="11:11" x14ac:dyDescent="0.3">
      <c r="K2340" t="s">
        <v>8097</v>
      </c>
    </row>
    <row r="2341" spans="11:11" x14ac:dyDescent="0.3">
      <c r="K2341" t="s">
        <v>9551</v>
      </c>
    </row>
    <row r="2342" spans="11:11" x14ac:dyDescent="0.3">
      <c r="K2342" t="s">
        <v>8098</v>
      </c>
    </row>
    <row r="2343" spans="11:11" x14ac:dyDescent="0.3">
      <c r="K2343" t="s">
        <v>7497</v>
      </c>
    </row>
    <row r="2344" spans="11:11" x14ac:dyDescent="0.3">
      <c r="K2344" t="s">
        <v>7031</v>
      </c>
    </row>
    <row r="2345" spans="11:11" x14ac:dyDescent="0.3">
      <c r="K2345" t="s">
        <v>9552</v>
      </c>
    </row>
    <row r="2346" spans="11:11" x14ac:dyDescent="0.3">
      <c r="K2346" t="s">
        <v>8099</v>
      </c>
    </row>
    <row r="2347" spans="11:11" x14ac:dyDescent="0.3">
      <c r="K2347" t="s">
        <v>8100</v>
      </c>
    </row>
    <row r="2348" spans="11:11" x14ac:dyDescent="0.3">
      <c r="K2348" t="s">
        <v>7498</v>
      </c>
    </row>
    <row r="2349" spans="11:11" x14ac:dyDescent="0.3">
      <c r="K2349" t="s">
        <v>9002</v>
      </c>
    </row>
    <row r="2350" spans="11:11" x14ac:dyDescent="0.3">
      <c r="K2350" t="s">
        <v>8101</v>
      </c>
    </row>
    <row r="2351" spans="11:11" x14ac:dyDescent="0.3">
      <c r="K2351" t="s">
        <v>10716</v>
      </c>
    </row>
    <row r="2352" spans="11:11" x14ac:dyDescent="0.3">
      <c r="K2352" t="s">
        <v>7499</v>
      </c>
    </row>
    <row r="2353" spans="11:11" x14ac:dyDescent="0.3">
      <c r="K2353" t="s">
        <v>8102</v>
      </c>
    </row>
    <row r="2354" spans="11:11" x14ac:dyDescent="0.3">
      <c r="K2354" t="s">
        <v>8103</v>
      </c>
    </row>
    <row r="2355" spans="11:11" x14ac:dyDescent="0.3">
      <c r="K2355" t="s">
        <v>9003</v>
      </c>
    </row>
    <row r="2356" spans="11:11" x14ac:dyDescent="0.3">
      <c r="K2356" t="s">
        <v>8689</v>
      </c>
    </row>
    <row r="2357" spans="11:11" x14ac:dyDescent="0.3">
      <c r="K2357" t="s">
        <v>10924</v>
      </c>
    </row>
    <row r="2358" spans="11:11" x14ac:dyDescent="0.3">
      <c r="K2358" t="s">
        <v>6460</v>
      </c>
    </row>
    <row r="2359" spans="11:11" x14ac:dyDescent="0.3">
      <c r="K2359" t="s">
        <v>8104</v>
      </c>
    </row>
    <row r="2360" spans="11:11" x14ac:dyDescent="0.3">
      <c r="K2360" t="s">
        <v>7500</v>
      </c>
    </row>
    <row r="2361" spans="11:11" x14ac:dyDescent="0.3">
      <c r="K2361" t="s">
        <v>7501</v>
      </c>
    </row>
    <row r="2362" spans="11:11" x14ac:dyDescent="0.3">
      <c r="K2362" t="s">
        <v>7502</v>
      </c>
    </row>
    <row r="2363" spans="11:11" x14ac:dyDescent="0.3">
      <c r="K2363" t="s">
        <v>9004</v>
      </c>
    </row>
    <row r="2364" spans="11:11" x14ac:dyDescent="0.3">
      <c r="K2364" t="s">
        <v>8105</v>
      </c>
    </row>
    <row r="2365" spans="11:11" x14ac:dyDescent="0.3">
      <c r="K2365" t="s">
        <v>6024</v>
      </c>
    </row>
    <row r="2366" spans="11:11" x14ac:dyDescent="0.3">
      <c r="K2366" t="s">
        <v>9553</v>
      </c>
    </row>
    <row r="2367" spans="11:11" x14ac:dyDescent="0.3">
      <c r="K2367" t="s">
        <v>9920</v>
      </c>
    </row>
    <row r="2368" spans="11:11" x14ac:dyDescent="0.3">
      <c r="K2368" t="s">
        <v>8615</v>
      </c>
    </row>
    <row r="2369" spans="11:11" x14ac:dyDescent="0.3">
      <c r="K2369" t="s">
        <v>9554</v>
      </c>
    </row>
    <row r="2370" spans="11:11" x14ac:dyDescent="0.3">
      <c r="K2370" t="s">
        <v>8690</v>
      </c>
    </row>
    <row r="2371" spans="11:11" x14ac:dyDescent="0.3">
      <c r="K2371" t="s">
        <v>7032</v>
      </c>
    </row>
    <row r="2372" spans="11:11" x14ac:dyDescent="0.3">
      <c r="K2372" t="s">
        <v>7503</v>
      </c>
    </row>
    <row r="2373" spans="11:11" x14ac:dyDescent="0.3">
      <c r="K2373" t="s">
        <v>9005</v>
      </c>
    </row>
    <row r="2374" spans="11:11" x14ac:dyDescent="0.3">
      <c r="K2374" t="s">
        <v>8106</v>
      </c>
    </row>
    <row r="2375" spans="11:11" x14ac:dyDescent="0.3">
      <c r="K2375" t="s">
        <v>9006</v>
      </c>
    </row>
    <row r="2376" spans="11:11" x14ac:dyDescent="0.3">
      <c r="K2376" t="s">
        <v>9007</v>
      </c>
    </row>
    <row r="2377" spans="11:11" x14ac:dyDescent="0.3">
      <c r="K2377" t="s">
        <v>7504</v>
      </c>
    </row>
    <row r="2378" spans="11:11" x14ac:dyDescent="0.3">
      <c r="K2378" t="s">
        <v>6461</v>
      </c>
    </row>
    <row r="2379" spans="11:11" x14ac:dyDescent="0.3">
      <c r="K2379" t="s">
        <v>9008</v>
      </c>
    </row>
    <row r="2380" spans="11:11" x14ac:dyDescent="0.3">
      <c r="K2380" t="s">
        <v>5587</v>
      </c>
    </row>
    <row r="2381" spans="11:11" x14ac:dyDescent="0.3">
      <c r="K2381" t="s">
        <v>9921</v>
      </c>
    </row>
    <row r="2382" spans="11:11" x14ac:dyDescent="0.3">
      <c r="K2382" t="s">
        <v>9009</v>
      </c>
    </row>
    <row r="2383" spans="11:11" x14ac:dyDescent="0.3">
      <c r="K2383" t="s">
        <v>10925</v>
      </c>
    </row>
    <row r="2384" spans="11:11" x14ac:dyDescent="0.3">
      <c r="K2384" t="s">
        <v>5855</v>
      </c>
    </row>
    <row r="2385" spans="11:11" x14ac:dyDescent="0.3">
      <c r="K2385" t="s">
        <v>7033</v>
      </c>
    </row>
    <row r="2386" spans="11:11" x14ac:dyDescent="0.3">
      <c r="K2386" t="s">
        <v>7505</v>
      </c>
    </row>
    <row r="2387" spans="11:11" x14ac:dyDescent="0.3">
      <c r="K2387" t="s">
        <v>6462</v>
      </c>
    </row>
    <row r="2388" spans="11:11" x14ac:dyDescent="0.3">
      <c r="K2388" t="s">
        <v>9922</v>
      </c>
    </row>
    <row r="2389" spans="11:11" x14ac:dyDescent="0.3">
      <c r="K2389" t="s">
        <v>9010</v>
      </c>
    </row>
    <row r="2390" spans="11:11" x14ac:dyDescent="0.3">
      <c r="K2390" t="s">
        <v>5856</v>
      </c>
    </row>
    <row r="2391" spans="11:11" x14ac:dyDescent="0.3">
      <c r="K2391" t="s">
        <v>10625</v>
      </c>
    </row>
    <row r="2392" spans="11:11" x14ac:dyDescent="0.3">
      <c r="K2392" t="s">
        <v>7264</v>
      </c>
    </row>
    <row r="2393" spans="11:11" x14ac:dyDescent="0.3">
      <c r="K2393" t="s">
        <v>6815</v>
      </c>
    </row>
    <row r="2394" spans="11:11" x14ac:dyDescent="0.3">
      <c r="K2394" t="s">
        <v>9011</v>
      </c>
    </row>
    <row r="2395" spans="11:11" x14ac:dyDescent="0.3">
      <c r="K2395" t="s">
        <v>6816</v>
      </c>
    </row>
    <row r="2396" spans="11:11" x14ac:dyDescent="0.3">
      <c r="K2396" t="s">
        <v>5519</v>
      </c>
    </row>
    <row r="2397" spans="11:11" x14ac:dyDescent="0.3">
      <c r="K2397" t="s">
        <v>10301</v>
      </c>
    </row>
    <row r="2398" spans="11:11" x14ac:dyDescent="0.3">
      <c r="K2398" t="s">
        <v>9012</v>
      </c>
    </row>
    <row r="2399" spans="11:11" x14ac:dyDescent="0.3">
      <c r="K2399" t="s">
        <v>9013</v>
      </c>
    </row>
    <row r="2400" spans="11:11" x14ac:dyDescent="0.3">
      <c r="K2400" t="s">
        <v>10926</v>
      </c>
    </row>
    <row r="2401" spans="11:11" x14ac:dyDescent="0.3">
      <c r="K2401" t="s">
        <v>9014</v>
      </c>
    </row>
    <row r="2402" spans="11:11" x14ac:dyDescent="0.3">
      <c r="K2402" t="s">
        <v>7506</v>
      </c>
    </row>
    <row r="2403" spans="11:11" x14ac:dyDescent="0.3">
      <c r="K2403" t="s">
        <v>10302</v>
      </c>
    </row>
    <row r="2404" spans="11:11" x14ac:dyDescent="0.3">
      <c r="K2404" t="s">
        <v>10626</v>
      </c>
    </row>
    <row r="2405" spans="11:11" x14ac:dyDescent="0.3">
      <c r="K2405" t="s">
        <v>7034</v>
      </c>
    </row>
    <row r="2406" spans="11:11" x14ac:dyDescent="0.3">
      <c r="K2406" t="s">
        <v>8616</v>
      </c>
    </row>
    <row r="2407" spans="11:11" x14ac:dyDescent="0.3">
      <c r="K2407" t="s">
        <v>7507</v>
      </c>
    </row>
    <row r="2408" spans="11:11" x14ac:dyDescent="0.3">
      <c r="K2408" t="s">
        <v>9015</v>
      </c>
    </row>
    <row r="2409" spans="11:11" x14ac:dyDescent="0.3">
      <c r="K2409" t="s">
        <v>6463</v>
      </c>
    </row>
    <row r="2410" spans="11:11" x14ac:dyDescent="0.3">
      <c r="K2410" t="s">
        <v>9016</v>
      </c>
    </row>
    <row r="2411" spans="11:11" x14ac:dyDescent="0.3">
      <c r="K2411" t="s">
        <v>10927</v>
      </c>
    </row>
    <row r="2412" spans="11:11" x14ac:dyDescent="0.3">
      <c r="K2412" t="s">
        <v>10303</v>
      </c>
    </row>
    <row r="2413" spans="11:11" x14ac:dyDescent="0.3">
      <c r="K2413" t="s">
        <v>8691</v>
      </c>
    </row>
    <row r="2414" spans="11:11" x14ac:dyDescent="0.3">
      <c r="K2414" t="s">
        <v>8107</v>
      </c>
    </row>
    <row r="2415" spans="11:11" x14ac:dyDescent="0.3">
      <c r="K2415" t="s">
        <v>10304</v>
      </c>
    </row>
    <row r="2416" spans="11:11" x14ac:dyDescent="0.3">
      <c r="K2416" t="s">
        <v>9017</v>
      </c>
    </row>
    <row r="2417" spans="11:11" x14ac:dyDescent="0.3">
      <c r="K2417" t="s">
        <v>7508</v>
      </c>
    </row>
    <row r="2418" spans="11:11" x14ac:dyDescent="0.3">
      <c r="K2418" t="s">
        <v>9018</v>
      </c>
    </row>
    <row r="2419" spans="11:11" x14ac:dyDescent="0.3">
      <c r="K2419" t="s">
        <v>6464</v>
      </c>
    </row>
    <row r="2420" spans="11:11" x14ac:dyDescent="0.3">
      <c r="K2420" t="s">
        <v>6817</v>
      </c>
    </row>
    <row r="2421" spans="11:11" x14ac:dyDescent="0.3">
      <c r="K2421" t="s">
        <v>8108</v>
      </c>
    </row>
    <row r="2422" spans="11:11" x14ac:dyDescent="0.3">
      <c r="K2422" t="s">
        <v>6612</v>
      </c>
    </row>
    <row r="2423" spans="11:11" x14ac:dyDescent="0.3">
      <c r="K2423" t="s">
        <v>10717</v>
      </c>
    </row>
    <row r="2424" spans="11:11" x14ac:dyDescent="0.3">
      <c r="K2424" t="s">
        <v>5784</v>
      </c>
    </row>
    <row r="2425" spans="11:11" x14ac:dyDescent="0.3">
      <c r="K2425" t="s">
        <v>10928</v>
      </c>
    </row>
    <row r="2426" spans="11:11" x14ac:dyDescent="0.3">
      <c r="K2426" t="s">
        <v>6248</v>
      </c>
    </row>
    <row r="2427" spans="11:11" x14ac:dyDescent="0.3">
      <c r="K2427" t="s">
        <v>9555</v>
      </c>
    </row>
    <row r="2428" spans="11:11" x14ac:dyDescent="0.3">
      <c r="K2428" t="s">
        <v>8109</v>
      </c>
    </row>
    <row r="2429" spans="11:11" x14ac:dyDescent="0.3">
      <c r="K2429" t="s">
        <v>8110</v>
      </c>
    </row>
    <row r="2430" spans="11:11" x14ac:dyDescent="0.3">
      <c r="K2430" t="s">
        <v>6025</v>
      </c>
    </row>
    <row r="2431" spans="11:11" x14ac:dyDescent="0.3">
      <c r="K2431" t="s">
        <v>8111</v>
      </c>
    </row>
    <row r="2432" spans="11:11" x14ac:dyDescent="0.3">
      <c r="K2432" t="s">
        <v>10718</v>
      </c>
    </row>
    <row r="2433" spans="11:11" x14ac:dyDescent="0.3">
      <c r="K2433" t="s">
        <v>9019</v>
      </c>
    </row>
    <row r="2434" spans="11:11" x14ac:dyDescent="0.3">
      <c r="K2434" t="s">
        <v>9020</v>
      </c>
    </row>
    <row r="2435" spans="11:11" x14ac:dyDescent="0.3">
      <c r="K2435" t="s">
        <v>7509</v>
      </c>
    </row>
    <row r="2436" spans="11:11" x14ac:dyDescent="0.3">
      <c r="K2436" t="s">
        <v>7510</v>
      </c>
    </row>
    <row r="2437" spans="11:11" x14ac:dyDescent="0.3">
      <c r="K2437" t="s">
        <v>9021</v>
      </c>
    </row>
    <row r="2438" spans="11:11" x14ac:dyDescent="0.3">
      <c r="K2438" t="s">
        <v>7511</v>
      </c>
    </row>
    <row r="2439" spans="11:11" x14ac:dyDescent="0.3">
      <c r="K2439" t="s">
        <v>9022</v>
      </c>
    </row>
    <row r="2440" spans="11:11" x14ac:dyDescent="0.3">
      <c r="K2440" t="s">
        <v>7512</v>
      </c>
    </row>
    <row r="2441" spans="11:11" x14ac:dyDescent="0.3">
      <c r="K2441" t="s">
        <v>7513</v>
      </c>
    </row>
    <row r="2442" spans="11:11" x14ac:dyDescent="0.3">
      <c r="K2442" t="s">
        <v>8112</v>
      </c>
    </row>
    <row r="2443" spans="11:11" x14ac:dyDescent="0.3">
      <c r="K2443" t="s">
        <v>8113</v>
      </c>
    </row>
    <row r="2444" spans="11:11" x14ac:dyDescent="0.3">
      <c r="K2444" t="s">
        <v>10929</v>
      </c>
    </row>
    <row r="2445" spans="11:11" x14ac:dyDescent="0.3">
      <c r="K2445" t="s">
        <v>8114</v>
      </c>
    </row>
    <row r="2446" spans="11:11" x14ac:dyDescent="0.3">
      <c r="K2446" t="s">
        <v>9023</v>
      </c>
    </row>
    <row r="2447" spans="11:11" x14ac:dyDescent="0.3">
      <c r="K2447" t="s">
        <v>5692</v>
      </c>
    </row>
    <row r="2448" spans="11:11" x14ac:dyDescent="0.3">
      <c r="K2448" t="s">
        <v>9923</v>
      </c>
    </row>
    <row r="2449" spans="11:11" x14ac:dyDescent="0.3">
      <c r="K2449" t="s">
        <v>8115</v>
      </c>
    </row>
    <row r="2450" spans="11:11" x14ac:dyDescent="0.3">
      <c r="K2450" t="s">
        <v>8116</v>
      </c>
    </row>
    <row r="2451" spans="11:11" x14ac:dyDescent="0.3">
      <c r="K2451" t="s">
        <v>9024</v>
      </c>
    </row>
    <row r="2452" spans="11:11" x14ac:dyDescent="0.3">
      <c r="K2452" t="s">
        <v>7514</v>
      </c>
    </row>
    <row r="2453" spans="11:11" x14ac:dyDescent="0.3">
      <c r="K2453" t="s">
        <v>8617</v>
      </c>
    </row>
    <row r="2454" spans="11:11" x14ac:dyDescent="0.3">
      <c r="K2454" t="s">
        <v>9556</v>
      </c>
    </row>
    <row r="2455" spans="11:11" x14ac:dyDescent="0.3">
      <c r="K2455" t="s">
        <v>9557</v>
      </c>
    </row>
    <row r="2456" spans="11:11" x14ac:dyDescent="0.3">
      <c r="K2456" t="s">
        <v>9558</v>
      </c>
    </row>
    <row r="2457" spans="11:11" x14ac:dyDescent="0.3">
      <c r="K2457" t="s">
        <v>9559</v>
      </c>
    </row>
    <row r="2458" spans="11:11" x14ac:dyDescent="0.3">
      <c r="K2458" t="s">
        <v>10627</v>
      </c>
    </row>
    <row r="2459" spans="11:11" x14ac:dyDescent="0.3">
      <c r="K2459" t="s">
        <v>10930</v>
      </c>
    </row>
    <row r="2460" spans="11:11" x14ac:dyDescent="0.3">
      <c r="K2460" t="s">
        <v>10305</v>
      </c>
    </row>
    <row r="2461" spans="11:11" x14ac:dyDescent="0.3">
      <c r="K2461" t="s">
        <v>10306</v>
      </c>
    </row>
    <row r="2462" spans="11:11" x14ac:dyDescent="0.3">
      <c r="K2462" t="s">
        <v>7035</v>
      </c>
    </row>
    <row r="2463" spans="11:11" x14ac:dyDescent="0.3">
      <c r="K2463" t="s">
        <v>9924</v>
      </c>
    </row>
    <row r="2464" spans="11:11" x14ac:dyDescent="0.3">
      <c r="K2464" t="s">
        <v>7515</v>
      </c>
    </row>
    <row r="2465" spans="11:11" x14ac:dyDescent="0.3">
      <c r="K2465" t="s">
        <v>9025</v>
      </c>
    </row>
    <row r="2466" spans="11:11" x14ac:dyDescent="0.3">
      <c r="K2466" t="s">
        <v>9560</v>
      </c>
    </row>
    <row r="2467" spans="11:11" x14ac:dyDescent="0.3">
      <c r="K2467" t="s">
        <v>10307</v>
      </c>
    </row>
    <row r="2468" spans="11:11" x14ac:dyDescent="0.3">
      <c r="K2468" t="s">
        <v>9026</v>
      </c>
    </row>
    <row r="2469" spans="11:11" x14ac:dyDescent="0.3">
      <c r="K2469" t="s">
        <v>8117</v>
      </c>
    </row>
    <row r="2470" spans="11:11" x14ac:dyDescent="0.3">
      <c r="K2470" t="s">
        <v>6613</v>
      </c>
    </row>
    <row r="2471" spans="11:11" x14ac:dyDescent="0.3">
      <c r="K2471" t="s">
        <v>7516</v>
      </c>
    </row>
    <row r="2472" spans="11:11" x14ac:dyDescent="0.3">
      <c r="K2472" t="s">
        <v>6818</v>
      </c>
    </row>
    <row r="2473" spans="11:11" x14ac:dyDescent="0.3">
      <c r="K2473" t="s">
        <v>7169</v>
      </c>
    </row>
    <row r="2474" spans="11:11" x14ac:dyDescent="0.3">
      <c r="K2474" t="s">
        <v>5693</v>
      </c>
    </row>
    <row r="2475" spans="11:11" x14ac:dyDescent="0.3">
      <c r="K2475" t="s">
        <v>9027</v>
      </c>
    </row>
    <row r="2476" spans="11:11" x14ac:dyDescent="0.3">
      <c r="K2476" t="s">
        <v>9561</v>
      </c>
    </row>
    <row r="2477" spans="11:11" x14ac:dyDescent="0.3">
      <c r="K2477" t="s">
        <v>9028</v>
      </c>
    </row>
    <row r="2478" spans="11:11" x14ac:dyDescent="0.3">
      <c r="K2478" t="s">
        <v>10719</v>
      </c>
    </row>
    <row r="2479" spans="11:11" x14ac:dyDescent="0.3">
      <c r="K2479" t="s">
        <v>9925</v>
      </c>
    </row>
    <row r="2480" spans="11:11" x14ac:dyDescent="0.3">
      <c r="K2480" t="s">
        <v>8118</v>
      </c>
    </row>
    <row r="2481" spans="11:11" x14ac:dyDescent="0.3">
      <c r="K2481" t="s">
        <v>6249</v>
      </c>
    </row>
    <row r="2482" spans="11:11" x14ac:dyDescent="0.3">
      <c r="K2482" t="s">
        <v>7517</v>
      </c>
    </row>
    <row r="2483" spans="11:11" x14ac:dyDescent="0.3">
      <c r="K2483" t="s">
        <v>8119</v>
      </c>
    </row>
    <row r="2484" spans="11:11" x14ac:dyDescent="0.3">
      <c r="K2484" t="s">
        <v>7170</v>
      </c>
    </row>
    <row r="2485" spans="11:11" x14ac:dyDescent="0.3">
      <c r="K2485" t="s">
        <v>10308</v>
      </c>
    </row>
    <row r="2486" spans="11:11" x14ac:dyDescent="0.3">
      <c r="K2486" t="s">
        <v>5694</v>
      </c>
    </row>
    <row r="2487" spans="11:11" x14ac:dyDescent="0.3">
      <c r="K2487" t="s">
        <v>9029</v>
      </c>
    </row>
    <row r="2488" spans="11:11" x14ac:dyDescent="0.3">
      <c r="K2488" t="s">
        <v>8120</v>
      </c>
    </row>
    <row r="2489" spans="11:11" x14ac:dyDescent="0.3">
      <c r="K2489" t="s">
        <v>10309</v>
      </c>
    </row>
    <row r="2490" spans="11:11" x14ac:dyDescent="0.3">
      <c r="K2490" t="s">
        <v>9562</v>
      </c>
    </row>
    <row r="2491" spans="11:11" x14ac:dyDescent="0.3">
      <c r="K2491" t="s">
        <v>7518</v>
      </c>
    </row>
    <row r="2492" spans="11:11" x14ac:dyDescent="0.3">
      <c r="K2492" t="s">
        <v>8121</v>
      </c>
    </row>
    <row r="2493" spans="11:11" x14ac:dyDescent="0.3">
      <c r="K2493" t="s">
        <v>10310</v>
      </c>
    </row>
    <row r="2494" spans="11:11" x14ac:dyDescent="0.3">
      <c r="K2494" t="s">
        <v>7519</v>
      </c>
    </row>
    <row r="2495" spans="11:11" x14ac:dyDescent="0.3">
      <c r="K2495" t="s">
        <v>8618</v>
      </c>
    </row>
    <row r="2496" spans="11:11" x14ac:dyDescent="0.3">
      <c r="K2496" t="s">
        <v>6465</v>
      </c>
    </row>
    <row r="2497" spans="11:11" x14ac:dyDescent="0.3">
      <c r="K2497" t="s">
        <v>10311</v>
      </c>
    </row>
    <row r="2498" spans="11:11" x14ac:dyDescent="0.3">
      <c r="K2498" t="s">
        <v>9563</v>
      </c>
    </row>
    <row r="2499" spans="11:11" x14ac:dyDescent="0.3">
      <c r="K2499" t="s">
        <v>6466</v>
      </c>
    </row>
    <row r="2500" spans="11:11" x14ac:dyDescent="0.3">
      <c r="K2500" t="s">
        <v>6467</v>
      </c>
    </row>
    <row r="2501" spans="11:11" x14ac:dyDescent="0.3">
      <c r="K2501" t="s">
        <v>7520</v>
      </c>
    </row>
    <row r="2502" spans="11:11" x14ac:dyDescent="0.3">
      <c r="K2502" t="s">
        <v>9030</v>
      </c>
    </row>
    <row r="2503" spans="11:11" x14ac:dyDescent="0.3">
      <c r="K2503" t="s">
        <v>6468</v>
      </c>
    </row>
    <row r="2504" spans="11:11" x14ac:dyDescent="0.3">
      <c r="K2504" t="s">
        <v>9926</v>
      </c>
    </row>
    <row r="2505" spans="11:11" x14ac:dyDescent="0.3">
      <c r="K2505" t="s">
        <v>8122</v>
      </c>
    </row>
    <row r="2506" spans="11:11" x14ac:dyDescent="0.3">
      <c r="K2506" t="s">
        <v>6250</v>
      </c>
    </row>
    <row r="2507" spans="11:11" x14ac:dyDescent="0.3">
      <c r="K2507" t="s">
        <v>9031</v>
      </c>
    </row>
    <row r="2508" spans="11:11" x14ac:dyDescent="0.3">
      <c r="K2508" t="s">
        <v>9032</v>
      </c>
    </row>
    <row r="2509" spans="11:11" x14ac:dyDescent="0.3">
      <c r="K2509" t="s">
        <v>8123</v>
      </c>
    </row>
    <row r="2510" spans="11:11" x14ac:dyDescent="0.3">
      <c r="K2510" t="s">
        <v>8124</v>
      </c>
    </row>
    <row r="2511" spans="11:11" x14ac:dyDescent="0.3">
      <c r="K2511" t="s">
        <v>9564</v>
      </c>
    </row>
    <row r="2512" spans="11:11" x14ac:dyDescent="0.3">
      <c r="K2512" t="s">
        <v>10931</v>
      </c>
    </row>
    <row r="2513" spans="11:11" x14ac:dyDescent="0.3">
      <c r="K2513" t="s">
        <v>7521</v>
      </c>
    </row>
    <row r="2514" spans="11:11" x14ac:dyDescent="0.3">
      <c r="K2514" t="s">
        <v>6614</v>
      </c>
    </row>
    <row r="2515" spans="11:11" x14ac:dyDescent="0.3">
      <c r="K2515" t="s">
        <v>9033</v>
      </c>
    </row>
    <row r="2516" spans="11:11" x14ac:dyDescent="0.3">
      <c r="K2516" t="s">
        <v>6615</v>
      </c>
    </row>
    <row r="2517" spans="11:11" x14ac:dyDescent="0.3">
      <c r="K2517" t="s">
        <v>10720</v>
      </c>
    </row>
    <row r="2518" spans="11:11" x14ac:dyDescent="0.3">
      <c r="K2518" t="s">
        <v>9565</v>
      </c>
    </row>
    <row r="2519" spans="11:11" x14ac:dyDescent="0.3">
      <c r="K2519" t="s">
        <v>8125</v>
      </c>
    </row>
    <row r="2520" spans="11:11" x14ac:dyDescent="0.3">
      <c r="K2520" t="s">
        <v>6616</v>
      </c>
    </row>
    <row r="2521" spans="11:11" x14ac:dyDescent="0.3">
      <c r="K2521" t="s">
        <v>8126</v>
      </c>
    </row>
    <row r="2522" spans="11:11" x14ac:dyDescent="0.3">
      <c r="K2522" t="s">
        <v>7171</v>
      </c>
    </row>
    <row r="2523" spans="11:11" x14ac:dyDescent="0.3">
      <c r="K2523" t="s">
        <v>7265</v>
      </c>
    </row>
    <row r="2524" spans="11:11" x14ac:dyDescent="0.3">
      <c r="K2524" t="s">
        <v>8692</v>
      </c>
    </row>
    <row r="2525" spans="11:11" x14ac:dyDescent="0.3">
      <c r="K2525" t="s">
        <v>6617</v>
      </c>
    </row>
    <row r="2526" spans="11:11" x14ac:dyDescent="0.3">
      <c r="K2526" t="s">
        <v>9566</v>
      </c>
    </row>
    <row r="2527" spans="11:11" x14ac:dyDescent="0.3">
      <c r="K2527" t="s">
        <v>7266</v>
      </c>
    </row>
    <row r="2528" spans="11:11" x14ac:dyDescent="0.3">
      <c r="K2528" t="s">
        <v>8127</v>
      </c>
    </row>
    <row r="2529" spans="11:11" x14ac:dyDescent="0.3">
      <c r="K2529" t="s">
        <v>10628</v>
      </c>
    </row>
    <row r="2530" spans="11:11" x14ac:dyDescent="0.3">
      <c r="K2530" t="s">
        <v>5588</v>
      </c>
    </row>
    <row r="2531" spans="11:11" x14ac:dyDescent="0.3">
      <c r="K2531" t="s">
        <v>9567</v>
      </c>
    </row>
    <row r="2532" spans="11:11" x14ac:dyDescent="0.3">
      <c r="K2532" t="s">
        <v>7036</v>
      </c>
    </row>
    <row r="2533" spans="11:11" x14ac:dyDescent="0.3">
      <c r="K2533" t="s">
        <v>10312</v>
      </c>
    </row>
    <row r="2534" spans="11:11" x14ac:dyDescent="0.3">
      <c r="K2534" t="s">
        <v>9927</v>
      </c>
    </row>
    <row r="2535" spans="11:11" x14ac:dyDescent="0.3">
      <c r="K2535" t="s">
        <v>10932</v>
      </c>
    </row>
    <row r="2536" spans="11:11" x14ac:dyDescent="0.3">
      <c r="K2536" t="s">
        <v>10629</v>
      </c>
    </row>
    <row r="2537" spans="11:11" x14ac:dyDescent="0.3">
      <c r="K2537" t="s">
        <v>7172</v>
      </c>
    </row>
    <row r="2538" spans="11:11" x14ac:dyDescent="0.3">
      <c r="K2538" t="s">
        <v>9568</v>
      </c>
    </row>
    <row r="2539" spans="11:11" x14ac:dyDescent="0.3">
      <c r="K2539" t="s">
        <v>6618</v>
      </c>
    </row>
    <row r="2540" spans="11:11" x14ac:dyDescent="0.3">
      <c r="K2540" t="s">
        <v>6619</v>
      </c>
    </row>
    <row r="2541" spans="11:11" x14ac:dyDescent="0.3">
      <c r="K2541" t="s">
        <v>6251</v>
      </c>
    </row>
    <row r="2542" spans="11:11" x14ac:dyDescent="0.3">
      <c r="K2542" t="s">
        <v>6620</v>
      </c>
    </row>
    <row r="2543" spans="11:11" x14ac:dyDescent="0.3">
      <c r="K2543" t="s">
        <v>9569</v>
      </c>
    </row>
    <row r="2544" spans="11:11" x14ac:dyDescent="0.3">
      <c r="K2544" t="s">
        <v>6469</v>
      </c>
    </row>
    <row r="2545" spans="11:11" x14ac:dyDescent="0.3">
      <c r="K2545" t="s">
        <v>10630</v>
      </c>
    </row>
    <row r="2546" spans="11:11" x14ac:dyDescent="0.3">
      <c r="K2546" t="s">
        <v>9928</v>
      </c>
    </row>
    <row r="2547" spans="11:11" x14ac:dyDescent="0.3">
      <c r="K2547" t="s">
        <v>9034</v>
      </c>
    </row>
    <row r="2548" spans="11:11" x14ac:dyDescent="0.3">
      <c r="K2548" t="s">
        <v>10313</v>
      </c>
    </row>
    <row r="2549" spans="11:11" x14ac:dyDescent="0.3">
      <c r="K2549" t="s">
        <v>9035</v>
      </c>
    </row>
    <row r="2550" spans="11:11" x14ac:dyDescent="0.3">
      <c r="K2550" t="s">
        <v>5493</v>
      </c>
    </row>
    <row r="2551" spans="11:11" x14ac:dyDescent="0.3">
      <c r="K2551" t="s">
        <v>10933</v>
      </c>
    </row>
    <row r="2552" spans="11:11" x14ac:dyDescent="0.3">
      <c r="K2552" t="s">
        <v>9570</v>
      </c>
    </row>
    <row r="2553" spans="11:11" x14ac:dyDescent="0.3">
      <c r="K2553" t="s">
        <v>7037</v>
      </c>
    </row>
    <row r="2554" spans="11:11" x14ac:dyDescent="0.3">
      <c r="K2554" t="s">
        <v>10631</v>
      </c>
    </row>
    <row r="2555" spans="11:11" x14ac:dyDescent="0.3">
      <c r="K2555" t="s">
        <v>6470</v>
      </c>
    </row>
    <row r="2556" spans="11:11" x14ac:dyDescent="0.3">
      <c r="K2556" t="s">
        <v>6252</v>
      </c>
    </row>
    <row r="2557" spans="11:11" x14ac:dyDescent="0.3">
      <c r="K2557" t="s">
        <v>6026</v>
      </c>
    </row>
    <row r="2558" spans="11:11" x14ac:dyDescent="0.3">
      <c r="K2558" t="s">
        <v>7038</v>
      </c>
    </row>
    <row r="2559" spans="11:11" x14ac:dyDescent="0.3">
      <c r="K2559" t="s">
        <v>5857</v>
      </c>
    </row>
    <row r="2560" spans="11:11" x14ac:dyDescent="0.3">
      <c r="K2560" t="s">
        <v>9036</v>
      </c>
    </row>
    <row r="2561" spans="11:11" x14ac:dyDescent="0.3">
      <c r="K2561" t="s">
        <v>10934</v>
      </c>
    </row>
    <row r="2562" spans="11:11" x14ac:dyDescent="0.3">
      <c r="K2562" t="s">
        <v>10721</v>
      </c>
    </row>
    <row r="2563" spans="11:11" x14ac:dyDescent="0.3">
      <c r="K2563" t="s">
        <v>8128</v>
      </c>
    </row>
    <row r="2564" spans="11:11" x14ac:dyDescent="0.3">
      <c r="K2564" t="s">
        <v>8129</v>
      </c>
    </row>
    <row r="2565" spans="11:11" x14ac:dyDescent="0.3">
      <c r="K2565" t="s">
        <v>6027</v>
      </c>
    </row>
    <row r="2566" spans="11:11" x14ac:dyDescent="0.3">
      <c r="K2566" t="s">
        <v>8130</v>
      </c>
    </row>
    <row r="2567" spans="11:11" x14ac:dyDescent="0.3">
      <c r="K2567" t="s">
        <v>7173</v>
      </c>
    </row>
    <row r="2568" spans="11:11" x14ac:dyDescent="0.3">
      <c r="K2568" t="s">
        <v>7522</v>
      </c>
    </row>
    <row r="2569" spans="11:11" x14ac:dyDescent="0.3">
      <c r="K2569" t="s">
        <v>8131</v>
      </c>
    </row>
    <row r="2570" spans="11:11" x14ac:dyDescent="0.3">
      <c r="K2570" t="s">
        <v>8132</v>
      </c>
    </row>
    <row r="2571" spans="11:11" x14ac:dyDescent="0.3">
      <c r="K2571" t="s">
        <v>8133</v>
      </c>
    </row>
    <row r="2572" spans="11:11" x14ac:dyDescent="0.3">
      <c r="K2572" t="s">
        <v>7523</v>
      </c>
    </row>
    <row r="2573" spans="11:11" x14ac:dyDescent="0.3">
      <c r="K2573" t="s">
        <v>6819</v>
      </c>
    </row>
    <row r="2574" spans="11:11" x14ac:dyDescent="0.3">
      <c r="K2574" t="s">
        <v>9037</v>
      </c>
    </row>
    <row r="2575" spans="11:11" x14ac:dyDescent="0.3">
      <c r="K2575" t="s">
        <v>8619</v>
      </c>
    </row>
    <row r="2576" spans="11:11" x14ac:dyDescent="0.3">
      <c r="K2576" t="s">
        <v>6253</v>
      </c>
    </row>
    <row r="2577" spans="11:11" x14ac:dyDescent="0.3">
      <c r="K2577" t="s">
        <v>8134</v>
      </c>
    </row>
    <row r="2578" spans="11:11" x14ac:dyDescent="0.3">
      <c r="K2578" t="s">
        <v>9571</v>
      </c>
    </row>
    <row r="2579" spans="11:11" x14ac:dyDescent="0.3">
      <c r="K2579" t="s">
        <v>10935</v>
      </c>
    </row>
    <row r="2580" spans="11:11" x14ac:dyDescent="0.3">
      <c r="K2580" t="s">
        <v>6471</v>
      </c>
    </row>
    <row r="2581" spans="11:11" x14ac:dyDescent="0.3">
      <c r="K2581" t="s">
        <v>5494</v>
      </c>
    </row>
    <row r="2582" spans="11:11" x14ac:dyDescent="0.3">
      <c r="K2582" t="s">
        <v>7524</v>
      </c>
    </row>
    <row r="2583" spans="11:11" x14ac:dyDescent="0.3">
      <c r="K2583" t="s">
        <v>7525</v>
      </c>
    </row>
    <row r="2584" spans="11:11" x14ac:dyDescent="0.3">
      <c r="K2584" t="s">
        <v>9929</v>
      </c>
    </row>
    <row r="2585" spans="11:11" x14ac:dyDescent="0.3">
      <c r="K2585" t="s">
        <v>8135</v>
      </c>
    </row>
    <row r="2586" spans="11:11" x14ac:dyDescent="0.3">
      <c r="K2586" t="s">
        <v>8136</v>
      </c>
    </row>
    <row r="2587" spans="11:11" x14ac:dyDescent="0.3">
      <c r="K2587" t="s">
        <v>9038</v>
      </c>
    </row>
    <row r="2588" spans="11:11" x14ac:dyDescent="0.3">
      <c r="K2588" t="s">
        <v>7039</v>
      </c>
    </row>
    <row r="2589" spans="11:11" x14ac:dyDescent="0.3">
      <c r="K2589" t="s">
        <v>6621</v>
      </c>
    </row>
    <row r="2590" spans="11:11" x14ac:dyDescent="0.3">
      <c r="K2590" t="s">
        <v>6254</v>
      </c>
    </row>
    <row r="2591" spans="11:11" x14ac:dyDescent="0.3">
      <c r="K2591" t="s">
        <v>6622</v>
      </c>
    </row>
    <row r="2592" spans="11:11" x14ac:dyDescent="0.3">
      <c r="K2592" t="s">
        <v>7526</v>
      </c>
    </row>
    <row r="2593" spans="11:11" x14ac:dyDescent="0.3">
      <c r="K2593" t="s">
        <v>6028</v>
      </c>
    </row>
    <row r="2594" spans="11:11" x14ac:dyDescent="0.3">
      <c r="K2594" t="s">
        <v>8137</v>
      </c>
    </row>
    <row r="2595" spans="11:11" x14ac:dyDescent="0.3">
      <c r="K2595" t="s">
        <v>8620</v>
      </c>
    </row>
    <row r="2596" spans="11:11" x14ac:dyDescent="0.3">
      <c r="K2596" t="s">
        <v>6820</v>
      </c>
    </row>
    <row r="2597" spans="11:11" x14ac:dyDescent="0.3">
      <c r="K2597" t="s">
        <v>8138</v>
      </c>
    </row>
    <row r="2598" spans="11:11" x14ac:dyDescent="0.3">
      <c r="K2598" t="s">
        <v>9039</v>
      </c>
    </row>
    <row r="2599" spans="11:11" x14ac:dyDescent="0.3">
      <c r="K2599" t="s">
        <v>8139</v>
      </c>
    </row>
    <row r="2600" spans="11:11" x14ac:dyDescent="0.3">
      <c r="K2600" t="s">
        <v>7174</v>
      </c>
    </row>
    <row r="2601" spans="11:11" x14ac:dyDescent="0.3">
      <c r="K2601" t="s">
        <v>7040</v>
      </c>
    </row>
    <row r="2602" spans="11:11" x14ac:dyDescent="0.3">
      <c r="K2602" t="s">
        <v>6255</v>
      </c>
    </row>
    <row r="2603" spans="11:11" x14ac:dyDescent="0.3">
      <c r="K2603" t="s">
        <v>9572</v>
      </c>
    </row>
    <row r="2604" spans="11:11" x14ac:dyDescent="0.3">
      <c r="K2604" t="s">
        <v>6256</v>
      </c>
    </row>
    <row r="2605" spans="11:11" x14ac:dyDescent="0.3">
      <c r="K2605" t="s">
        <v>10314</v>
      </c>
    </row>
    <row r="2606" spans="11:11" x14ac:dyDescent="0.3">
      <c r="K2606" t="s">
        <v>9930</v>
      </c>
    </row>
    <row r="2607" spans="11:11" x14ac:dyDescent="0.3">
      <c r="K2607" t="s">
        <v>8140</v>
      </c>
    </row>
    <row r="2608" spans="11:11" x14ac:dyDescent="0.3">
      <c r="K2608" t="s">
        <v>5543</v>
      </c>
    </row>
    <row r="2609" spans="11:11" x14ac:dyDescent="0.3">
      <c r="K2609" t="s">
        <v>9931</v>
      </c>
    </row>
    <row r="2610" spans="11:11" x14ac:dyDescent="0.3">
      <c r="K2610" t="s">
        <v>9040</v>
      </c>
    </row>
    <row r="2611" spans="11:11" x14ac:dyDescent="0.3">
      <c r="K2611" t="s">
        <v>6623</v>
      </c>
    </row>
    <row r="2612" spans="11:11" x14ac:dyDescent="0.3">
      <c r="K2612" t="s">
        <v>6257</v>
      </c>
    </row>
    <row r="2613" spans="11:11" x14ac:dyDescent="0.3">
      <c r="K2613" t="s">
        <v>8141</v>
      </c>
    </row>
    <row r="2614" spans="11:11" x14ac:dyDescent="0.3">
      <c r="K2614" t="s">
        <v>8142</v>
      </c>
    </row>
    <row r="2615" spans="11:11" x14ac:dyDescent="0.3">
      <c r="K2615" t="s">
        <v>6029</v>
      </c>
    </row>
    <row r="2616" spans="11:11" x14ac:dyDescent="0.3">
      <c r="K2616" t="s">
        <v>8143</v>
      </c>
    </row>
    <row r="2617" spans="11:11" x14ac:dyDescent="0.3">
      <c r="K2617" t="s">
        <v>10936</v>
      </c>
    </row>
    <row r="2618" spans="11:11" x14ac:dyDescent="0.3">
      <c r="K2618" t="s">
        <v>10722</v>
      </c>
    </row>
    <row r="2619" spans="11:11" x14ac:dyDescent="0.3">
      <c r="K2619" t="s">
        <v>6821</v>
      </c>
    </row>
    <row r="2620" spans="11:11" x14ac:dyDescent="0.3">
      <c r="K2620" t="s">
        <v>5858</v>
      </c>
    </row>
    <row r="2621" spans="11:11" x14ac:dyDescent="0.3">
      <c r="K2621" t="s">
        <v>8145</v>
      </c>
    </row>
    <row r="2622" spans="11:11" x14ac:dyDescent="0.3">
      <c r="K2622" t="s">
        <v>6822</v>
      </c>
    </row>
    <row r="2623" spans="11:11" x14ac:dyDescent="0.3">
      <c r="K2623" t="s">
        <v>6472</v>
      </c>
    </row>
    <row r="2624" spans="11:11" x14ac:dyDescent="0.3">
      <c r="K2624" t="s">
        <v>6258</v>
      </c>
    </row>
    <row r="2625" spans="11:11" x14ac:dyDescent="0.3">
      <c r="K2625" t="s">
        <v>7527</v>
      </c>
    </row>
    <row r="2626" spans="11:11" x14ac:dyDescent="0.3">
      <c r="K2626" t="s">
        <v>6473</v>
      </c>
    </row>
    <row r="2627" spans="11:11" x14ac:dyDescent="0.3">
      <c r="K2627" t="s">
        <v>7041</v>
      </c>
    </row>
    <row r="2628" spans="11:11" x14ac:dyDescent="0.3">
      <c r="K2628" t="s">
        <v>7528</v>
      </c>
    </row>
    <row r="2629" spans="11:11" x14ac:dyDescent="0.3">
      <c r="K2629" t="s">
        <v>6624</v>
      </c>
    </row>
    <row r="2630" spans="11:11" x14ac:dyDescent="0.3">
      <c r="K2630" t="s">
        <v>10723</v>
      </c>
    </row>
    <row r="2631" spans="11:11" x14ac:dyDescent="0.3">
      <c r="K2631" t="s">
        <v>8146</v>
      </c>
    </row>
    <row r="2632" spans="11:11" x14ac:dyDescent="0.3">
      <c r="K2632" t="s">
        <v>6259</v>
      </c>
    </row>
    <row r="2633" spans="11:11" x14ac:dyDescent="0.3">
      <c r="K2633" t="s">
        <v>10315</v>
      </c>
    </row>
    <row r="2634" spans="11:11" x14ac:dyDescent="0.3">
      <c r="K2634" t="s">
        <v>9041</v>
      </c>
    </row>
    <row r="2635" spans="11:11" x14ac:dyDescent="0.3">
      <c r="K2635" t="s">
        <v>9042</v>
      </c>
    </row>
    <row r="2636" spans="11:11" x14ac:dyDescent="0.3">
      <c r="K2636" t="s">
        <v>6030</v>
      </c>
    </row>
    <row r="2637" spans="11:11" x14ac:dyDescent="0.3">
      <c r="K2637" t="s">
        <v>6823</v>
      </c>
    </row>
    <row r="2638" spans="11:11" x14ac:dyDescent="0.3">
      <c r="K2638" t="s">
        <v>7175</v>
      </c>
    </row>
    <row r="2639" spans="11:11" x14ac:dyDescent="0.3">
      <c r="K2639" t="s">
        <v>6625</v>
      </c>
    </row>
    <row r="2640" spans="11:11" x14ac:dyDescent="0.3">
      <c r="K2640" t="s">
        <v>9573</v>
      </c>
    </row>
    <row r="2641" spans="11:11" x14ac:dyDescent="0.3">
      <c r="K2641" t="s">
        <v>9043</v>
      </c>
    </row>
    <row r="2642" spans="11:11" x14ac:dyDescent="0.3">
      <c r="K2642" t="s">
        <v>7176</v>
      </c>
    </row>
    <row r="2643" spans="11:11" x14ac:dyDescent="0.3">
      <c r="K2643" t="s">
        <v>9044</v>
      </c>
    </row>
    <row r="2644" spans="11:11" x14ac:dyDescent="0.3">
      <c r="K2644" t="s">
        <v>7042</v>
      </c>
    </row>
    <row r="2645" spans="11:11" x14ac:dyDescent="0.3">
      <c r="K2645" t="s">
        <v>9932</v>
      </c>
    </row>
    <row r="2646" spans="11:11" x14ac:dyDescent="0.3">
      <c r="K2646" t="s">
        <v>9045</v>
      </c>
    </row>
    <row r="2647" spans="11:11" x14ac:dyDescent="0.3">
      <c r="K2647" t="s">
        <v>9046</v>
      </c>
    </row>
    <row r="2648" spans="11:11" x14ac:dyDescent="0.3">
      <c r="K2648" t="s">
        <v>8147</v>
      </c>
    </row>
    <row r="2649" spans="11:11" x14ac:dyDescent="0.3">
      <c r="K2649" t="s">
        <v>9574</v>
      </c>
    </row>
    <row r="2650" spans="11:11" x14ac:dyDescent="0.3">
      <c r="K2650" t="s">
        <v>7043</v>
      </c>
    </row>
    <row r="2651" spans="11:11" x14ac:dyDescent="0.3">
      <c r="K2651" t="s">
        <v>6260</v>
      </c>
    </row>
    <row r="2652" spans="11:11" x14ac:dyDescent="0.3">
      <c r="K2652" t="s">
        <v>6824</v>
      </c>
    </row>
    <row r="2653" spans="11:11" x14ac:dyDescent="0.3">
      <c r="K2653" t="s">
        <v>6825</v>
      </c>
    </row>
    <row r="2654" spans="11:11" x14ac:dyDescent="0.3">
      <c r="K2654" t="s">
        <v>5589</v>
      </c>
    </row>
    <row r="2655" spans="11:11" x14ac:dyDescent="0.3">
      <c r="K2655" t="s">
        <v>8148</v>
      </c>
    </row>
    <row r="2656" spans="11:11" x14ac:dyDescent="0.3">
      <c r="K2656" t="s">
        <v>10724</v>
      </c>
    </row>
    <row r="2657" spans="11:11" x14ac:dyDescent="0.3">
      <c r="K2657" t="s">
        <v>5695</v>
      </c>
    </row>
    <row r="2658" spans="11:11" x14ac:dyDescent="0.3">
      <c r="K2658" t="s">
        <v>10725</v>
      </c>
    </row>
    <row r="2659" spans="11:11" x14ac:dyDescent="0.3">
      <c r="K2659" t="s">
        <v>7529</v>
      </c>
    </row>
    <row r="2660" spans="11:11" x14ac:dyDescent="0.3">
      <c r="K2660" t="s">
        <v>10937</v>
      </c>
    </row>
    <row r="2661" spans="11:11" x14ac:dyDescent="0.3">
      <c r="K2661" t="s">
        <v>9575</v>
      </c>
    </row>
    <row r="2662" spans="11:11" x14ac:dyDescent="0.3">
      <c r="K2662" t="s">
        <v>7530</v>
      </c>
    </row>
    <row r="2663" spans="11:11" x14ac:dyDescent="0.3">
      <c r="K2663" t="s">
        <v>7531</v>
      </c>
    </row>
    <row r="2664" spans="11:11" x14ac:dyDescent="0.3">
      <c r="K2664" t="s">
        <v>5590</v>
      </c>
    </row>
    <row r="2665" spans="11:11" x14ac:dyDescent="0.3">
      <c r="K2665" t="s">
        <v>10632</v>
      </c>
    </row>
    <row r="2666" spans="11:11" x14ac:dyDescent="0.3">
      <c r="K2666" t="s">
        <v>8149</v>
      </c>
    </row>
    <row r="2667" spans="11:11" x14ac:dyDescent="0.3">
      <c r="K2667" t="s">
        <v>9576</v>
      </c>
    </row>
    <row r="2668" spans="11:11" x14ac:dyDescent="0.3">
      <c r="K2668" t="s">
        <v>5591</v>
      </c>
    </row>
    <row r="2669" spans="11:11" x14ac:dyDescent="0.3">
      <c r="K2669" t="s">
        <v>9933</v>
      </c>
    </row>
    <row r="2670" spans="11:11" x14ac:dyDescent="0.3">
      <c r="K2670" t="s">
        <v>8150</v>
      </c>
    </row>
    <row r="2671" spans="11:11" x14ac:dyDescent="0.3">
      <c r="K2671" t="s">
        <v>10633</v>
      </c>
    </row>
    <row r="2672" spans="11:11" x14ac:dyDescent="0.3">
      <c r="K2672" t="s">
        <v>7532</v>
      </c>
    </row>
    <row r="2673" spans="11:11" x14ac:dyDescent="0.3">
      <c r="K2673" t="s">
        <v>8151</v>
      </c>
    </row>
    <row r="2674" spans="11:11" x14ac:dyDescent="0.3">
      <c r="K2674" t="s">
        <v>7267</v>
      </c>
    </row>
    <row r="2675" spans="11:11" x14ac:dyDescent="0.3">
      <c r="K2675" t="s">
        <v>9934</v>
      </c>
    </row>
    <row r="2676" spans="11:11" x14ac:dyDescent="0.3">
      <c r="K2676" t="s">
        <v>6031</v>
      </c>
    </row>
    <row r="2677" spans="11:11" x14ac:dyDescent="0.3">
      <c r="K2677" t="s">
        <v>6032</v>
      </c>
    </row>
    <row r="2678" spans="11:11" x14ac:dyDescent="0.3">
      <c r="K2678" t="s">
        <v>6035</v>
      </c>
    </row>
    <row r="2679" spans="11:11" x14ac:dyDescent="0.3">
      <c r="K2679" t="s">
        <v>6033</v>
      </c>
    </row>
    <row r="2680" spans="11:11" x14ac:dyDescent="0.3">
      <c r="K2680" t="s">
        <v>6262</v>
      </c>
    </row>
    <row r="2681" spans="11:11" x14ac:dyDescent="0.3">
      <c r="K2681" t="s">
        <v>10316</v>
      </c>
    </row>
    <row r="2682" spans="11:11" x14ac:dyDescent="0.3">
      <c r="K2682" t="s">
        <v>6626</v>
      </c>
    </row>
    <row r="2683" spans="11:11" x14ac:dyDescent="0.3">
      <c r="K2683" t="s">
        <v>7177</v>
      </c>
    </row>
    <row r="2684" spans="11:11" x14ac:dyDescent="0.3">
      <c r="K2684" t="s">
        <v>5859</v>
      </c>
    </row>
    <row r="2685" spans="11:11" x14ac:dyDescent="0.3">
      <c r="K2685" t="s">
        <v>8152</v>
      </c>
    </row>
    <row r="2686" spans="11:11" x14ac:dyDescent="0.3">
      <c r="K2686" t="s">
        <v>6827</v>
      </c>
    </row>
    <row r="2687" spans="11:11" x14ac:dyDescent="0.3">
      <c r="K2687" t="s">
        <v>6627</v>
      </c>
    </row>
    <row r="2688" spans="11:11" x14ac:dyDescent="0.3">
      <c r="K2688" t="s">
        <v>6264</v>
      </c>
    </row>
    <row r="2689" spans="11:11" x14ac:dyDescent="0.3">
      <c r="K2689" t="s">
        <v>6628</v>
      </c>
    </row>
    <row r="2690" spans="11:11" x14ac:dyDescent="0.3">
      <c r="K2690" t="s">
        <v>6263</v>
      </c>
    </row>
    <row r="2691" spans="11:11" x14ac:dyDescent="0.3">
      <c r="K2691" t="s">
        <v>7044</v>
      </c>
    </row>
    <row r="2692" spans="11:11" x14ac:dyDescent="0.3">
      <c r="K2692" t="s">
        <v>7045</v>
      </c>
    </row>
    <row r="2693" spans="11:11" x14ac:dyDescent="0.3">
      <c r="K2693" t="s">
        <v>6034</v>
      </c>
    </row>
    <row r="2694" spans="11:11" x14ac:dyDescent="0.3">
      <c r="K2694" t="s">
        <v>7046</v>
      </c>
    </row>
    <row r="2695" spans="11:11" x14ac:dyDescent="0.3">
      <c r="K2695" t="s">
        <v>6265</v>
      </c>
    </row>
    <row r="2696" spans="11:11" x14ac:dyDescent="0.3">
      <c r="K2696" t="s">
        <v>6266</v>
      </c>
    </row>
    <row r="2697" spans="11:11" x14ac:dyDescent="0.3">
      <c r="K2697" t="s">
        <v>5860</v>
      </c>
    </row>
    <row r="2698" spans="11:11" x14ac:dyDescent="0.3">
      <c r="K2698" t="s">
        <v>7047</v>
      </c>
    </row>
    <row r="2699" spans="11:11" x14ac:dyDescent="0.3">
      <c r="K2699" t="s">
        <v>8153</v>
      </c>
    </row>
    <row r="2700" spans="11:11" x14ac:dyDescent="0.3">
      <c r="K2700" t="s">
        <v>10318</v>
      </c>
    </row>
    <row r="2701" spans="11:11" x14ac:dyDescent="0.3">
      <c r="K2701" t="s">
        <v>8154</v>
      </c>
    </row>
    <row r="2702" spans="11:11" x14ac:dyDescent="0.3">
      <c r="K2702" t="s">
        <v>8155</v>
      </c>
    </row>
    <row r="2703" spans="11:11" x14ac:dyDescent="0.3">
      <c r="K2703" t="s">
        <v>6036</v>
      </c>
    </row>
    <row r="2704" spans="11:11" x14ac:dyDescent="0.3">
      <c r="K2704" t="s">
        <v>8156</v>
      </c>
    </row>
    <row r="2705" spans="11:11" x14ac:dyDescent="0.3">
      <c r="K2705" t="s">
        <v>7048</v>
      </c>
    </row>
    <row r="2706" spans="11:11" x14ac:dyDescent="0.3">
      <c r="K2706" t="s">
        <v>6629</v>
      </c>
    </row>
    <row r="2707" spans="11:11" x14ac:dyDescent="0.3">
      <c r="K2707" t="s">
        <v>7533</v>
      </c>
    </row>
    <row r="2708" spans="11:11" x14ac:dyDescent="0.3">
      <c r="K2708" t="s">
        <v>6630</v>
      </c>
    </row>
    <row r="2709" spans="11:11" x14ac:dyDescent="0.3">
      <c r="K2709" t="s">
        <v>10938</v>
      </c>
    </row>
    <row r="2710" spans="11:11" x14ac:dyDescent="0.3">
      <c r="K2710" t="s">
        <v>8157</v>
      </c>
    </row>
    <row r="2711" spans="11:11" x14ac:dyDescent="0.3">
      <c r="K2711" t="s">
        <v>6828</v>
      </c>
    </row>
    <row r="2712" spans="11:11" x14ac:dyDescent="0.3">
      <c r="K2712" t="s">
        <v>10319</v>
      </c>
    </row>
    <row r="2713" spans="11:11" x14ac:dyDescent="0.3">
      <c r="K2713" t="s">
        <v>6826</v>
      </c>
    </row>
    <row r="2714" spans="11:11" x14ac:dyDescent="0.3">
      <c r="K2714" t="s">
        <v>10317</v>
      </c>
    </row>
    <row r="2715" spans="11:11" x14ac:dyDescent="0.3">
      <c r="K2715" t="s">
        <v>6261</v>
      </c>
    </row>
    <row r="2716" spans="11:11" x14ac:dyDescent="0.3">
      <c r="K2716" t="s">
        <v>9047</v>
      </c>
    </row>
    <row r="2717" spans="11:11" x14ac:dyDescent="0.3">
      <c r="K2717" t="s">
        <v>10634</v>
      </c>
    </row>
    <row r="2718" spans="11:11" x14ac:dyDescent="0.3">
      <c r="K2718" t="s">
        <v>9935</v>
      </c>
    </row>
    <row r="2719" spans="11:11" x14ac:dyDescent="0.3">
      <c r="K2719" t="s">
        <v>8693</v>
      </c>
    </row>
    <row r="2720" spans="11:11" x14ac:dyDescent="0.3">
      <c r="K2720" t="s">
        <v>7534</v>
      </c>
    </row>
    <row r="2721" spans="11:11" x14ac:dyDescent="0.3">
      <c r="K2721" t="s">
        <v>10321</v>
      </c>
    </row>
    <row r="2722" spans="11:11" x14ac:dyDescent="0.3">
      <c r="K2722" t="s">
        <v>9936</v>
      </c>
    </row>
    <row r="2723" spans="11:11" x14ac:dyDescent="0.3">
      <c r="K2723" t="s">
        <v>6037</v>
      </c>
    </row>
    <row r="2724" spans="11:11" x14ac:dyDescent="0.3">
      <c r="K2724" t="s">
        <v>10320</v>
      </c>
    </row>
    <row r="2725" spans="11:11" x14ac:dyDescent="0.3">
      <c r="K2725" t="s">
        <v>5861</v>
      </c>
    </row>
    <row r="2726" spans="11:11" x14ac:dyDescent="0.3">
      <c r="K2726" t="s">
        <v>7535</v>
      </c>
    </row>
    <row r="2727" spans="11:11" x14ac:dyDescent="0.3">
      <c r="K2727" t="s">
        <v>7536</v>
      </c>
    </row>
    <row r="2728" spans="11:11" x14ac:dyDescent="0.3">
      <c r="K2728" t="s">
        <v>7537</v>
      </c>
    </row>
    <row r="2729" spans="11:11" x14ac:dyDescent="0.3">
      <c r="K2729" t="s">
        <v>7049</v>
      </c>
    </row>
    <row r="2730" spans="11:11" x14ac:dyDescent="0.3">
      <c r="K2730" t="s">
        <v>6632</v>
      </c>
    </row>
    <row r="2731" spans="11:11" x14ac:dyDescent="0.3">
      <c r="K2731" t="s">
        <v>6631</v>
      </c>
    </row>
    <row r="2732" spans="11:11" x14ac:dyDescent="0.3">
      <c r="K2732" t="s">
        <v>8158</v>
      </c>
    </row>
    <row r="2733" spans="11:11" x14ac:dyDescent="0.3">
      <c r="K2733" t="s">
        <v>7538</v>
      </c>
    </row>
    <row r="2734" spans="11:11" x14ac:dyDescent="0.3">
      <c r="K2734" t="s">
        <v>10726</v>
      </c>
    </row>
    <row r="2735" spans="11:11" x14ac:dyDescent="0.3">
      <c r="K2735" t="s">
        <v>8159</v>
      </c>
    </row>
    <row r="2736" spans="11:11" x14ac:dyDescent="0.3">
      <c r="K2736" t="s">
        <v>8160</v>
      </c>
    </row>
    <row r="2737" spans="11:11" x14ac:dyDescent="0.3">
      <c r="K2737" t="s">
        <v>6267</v>
      </c>
    </row>
    <row r="2738" spans="11:11" x14ac:dyDescent="0.3">
      <c r="K2738" t="s">
        <v>9577</v>
      </c>
    </row>
    <row r="2739" spans="11:11" x14ac:dyDescent="0.3">
      <c r="K2739" t="s">
        <v>7539</v>
      </c>
    </row>
    <row r="2740" spans="11:11" x14ac:dyDescent="0.3">
      <c r="K2740" t="s">
        <v>8621</v>
      </c>
    </row>
    <row r="2741" spans="11:11" x14ac:dyDescent="0.3">
      <c r="K2741" t="s">
        <v>5785</v>
      </c>
    </row>
    <row r="2742" spans="11:11" x14ac:dyDescent="0.3">
      <c r="K2742" t="s">
        <v>9048</v>
      </c>
    </row>
    <row r="2743" spans="11:11" x14ac:dyDescent="0.3">
      <c r="K2743" t="s">
        <v>8161</v>
      </c>
    </row>
    <row r="2744" spans="11:11" x14ac:dyDescent="0.3">
      <c r="K2744" t="s">
        <v>9578</v>
      </c>
    </row>
    <row r="2745" spans="11:11" x14ac:dyDescent="0.3">
      <c r="K2745" t="s">
        <v>9579</v>
      </c>
    </row>
    <row r="2746" spans="11:11" x14ac:dyDescent="0.3">
      <c r="K2746" t="s">
        <v>7268</v>
      </c>
    </row>
    <row r="2747" spans="11:11" x14ac:dyDescent="0.3">
      <c r="K2747" t="s">
        <v>8162</v>
      </c>
    </row>
    <row r="2748" spans="11:11" x14ac:dyDescent="0.3">
      <c r="K2748" t="s">
        <v>6829</v>
      </c>
    </row>
    <row r="2749" spans="11:11" x14ac:dyDescent="0.3">
      <c r="K2749" t="s">
        <v>9937</v>
      </c>
    </row>
    <row r="2750" spans="11:11" x14ac:dyDescent="0.3">
      <c r="K2750" t="s">
        <v>7540</v>
      </c>
    </row>
    <row r="2751" spans="11:11" x14ac:dyDescent="0.3">
      <c r="K2751" t="s">
        <v>9938</v>
      </c>
    </row>
    <row r="2752" spans="11:11" x14ac:dyDescent="0.3">
      <c r="K2752" t="s">
        <v>5862</v>
      </c>
    </row>
    <row r="2753" spans="11:11" x14ac:dyDescent="0.3">
      <c r="K2753" t="s">
        <v>9049</v>
      </c>
    </row>
    <row r="2754" spans="11:11" x14ac:dyDescent="0.3">
      <c r="K2754" t="s">
        <v>6474</v>
      </c>
    </row>
    <row r="2755" spans="11:11" x14ac:dyDescent="0.3">
      <c r="K2755" t="s">
        <v>10322</v>
      </c>
    </row>
    <row r="2756" spans="11:11" x14ac:dyDescent="0.3">
      <c r="K2756" t="s">
        <v>8163</v>
      </c>
    </row>
    <row r="2757" spans="11:11" x14ac:dyDescent="0.3">
      <c r="K2757" t="s">
        <v>9050</v>
      </c>
    </row>
    <row r="2758" spans="11:11" x14ac:dyDescent="0.3">
      <c r="K2758" t="s">
        <v>8164</v>
      </c>
    </row>
    <row r="2759" spans="11:11" x14ac:dyDescent="0.3">
      <c r="K2759" t="s">
        <v>9939</v>
      </c>
    </row>
    <row r="2760" spans="11:11" x14ac:dyDescent="0.3">
      <c r="K2760" t="s">
        <v>8165</v>
      </c>
    </row>
    <row r="2761" spans="11:11" x14ac:dyDescent="0.3">
      <c r="K2761" t="s">
        <v>9051</v>
      </c>
    </row>
    <row r="2762" spans="11:11" x14ac:dyDescent="0.3">
      <c r="K2762" t="s">
        <v>9052</v>
      </c>
    </row>
    <row r="2763" spans="11:11" x14ac:dyDescent="0.3">
      <c r="K2763" t="s">
        <v>7541</v>
      </c>
    </row>
    <row r="2764" spans="11:11" x14ac:dyDescent="0.3">
      <c r="K2764" t="s">
        <v>9940</v>
      </c>
    </row>
    <row r="2765" spans="11:11" x14ac:dyDescent="0.3">
      <c r="K2765" t="s">
        <v>8166</v>
      </c>
    </row>
    <row r="2766" spans="11:11" x14ac:dyDescent="0.3">
      <c r="K2766" t="s">
        <v>10939</v>
      </c>
    </row>
    <row r="2767" spans="11:11" x14ac:dyDescent="0.3">
      <c r="K2767" t="s">
        <v>9580</v>
      </c>
    </row>
    <row r="2768" spans="11:11" x14ac:dyDescent="0.3">
      <c r="K2768" t="s">
        <v>10323</v>
      </c>
    </row>
    <row r="2769" spans="11:11" x14ac:dyDescent="0.3">
      <c r="K2769" t="s">
        <v>8167</v>
      </c>
    </row>
    <row r="2770" spans="11:11" x14ac:dyDescent="0.3">
      <c r="K2770" t="s">
        <v>7542</v>
      </c>
    </row>
    <row r="2771" spans="11:11" x14ac:dyDescent="0.3">
      <c r="K2771" t="s">
        <v>9581</v>
      </c>
    </row>
    <row r="2772" spans="11:11" x14ac:dyDescent="0.3">
      <c r="K2772" t="s">
        <v>6038</v>
      </c>
    </row>
    <row r="2773" spans="11:11" x14ac:dyDescent="0.3">
      <c r="K2773" t="s">
        <v>8168</v>
      </c>
    </row>
    <row r="2774" spans="11:11" x14ac:dyDescent="0.3">
      <c r="K2774" t="s">
        <v>8169</v>
      </c>
    </row>
    <row r="2775" spans="11:11" x14ac:dyDescent="0.3">
      <c r="K2775" t="s">
        <v>9053</v>
      </c>
    </row>
    <row r="2776" spans="11:11" x14ac:dyDescent="0.3">
      <c r="K2776" t="s">
        <v>7178</v>
      </c>
    </row>
    <row r="2777" spans="11:11" x14ac:dyDescent="0.3">
      <c r="K2777" t="s">
        <v>5696</v>
      </c>
    </row>
    <row r="2778" spans="11:11" x14ac:dyDescent="0.3">
      <c r="K2778" t="s">
        <v>6475</v>
      </c>
    </row>
    <row r="2779" spans="11:11" x14ac:dyDescent="0.3">
      <c r="K2779" t="s">
        <v>7050</v>
      </c>
    </row>
    <row r="2780" spans="11:11" x14ac:dyDescent="0.3">
      <c r="K2780" t="s">
        <v>9582</v>
      </c>
    </row>
    <row r="2781" spans="11:11" x14ac:dyDescent="0.3">
      <c r="K2781" t="s">
        <v>9941</v>
      </c>
    </row>
    <row r="2782" spans="11:11" x14ac:dyDescent="0.3">
      <c r="K2782" t="s">
        <v>9054</v>
      </c>
    </row>
    <row r="2783" spans="11:11" x14ac:dyDescent="0.3">
      <c r="K2783" t="s">
        <v>10324</v>
      </c>
    </row>
    <row r="2784" spans="11:11" x14ac:dyDescent="0.3">
      <c r="K2784" t="s">
        <v>10325</v>
      </c>
    </row>
    <row r="2785" spans="11:11" x14ac:dyDescent="0.3">
      <c r="K2785" t="s">
        <v>8622</v>
      </c>
    </row>
    <row r="2786" spans="11:11" x14ac:dyDescent="0.3">
      <c r="K2786" t="s">
        <v>9055</v>
      </c>
    </row>
    <row r="2787" spans="11:11" x14ac:dyDescent="0.3">
      <c r="K2787" t="s">
        <v>7543</v>
      </c>
    </row>
    <row r="2788" spans="11:11" x14ac:dyDescent="0.3">
      <c r="K2788" t="s">
        <v>6830</v>
      </c>
    </row>
    <row r="2789" spans="11:11" x14ac:dyDescent="0.3">
      <c r="K2789" t="s">
        <v>5863</v>
      </c>
    </row>
    <row r="2790" spans="11:11" x14ac:dyDescent="0.3">
      <c r="K2790" t="s">
        <v>9583</v>
      </c>
    </row>
    <row r="2791" spans="11:11" x14ac:dyDescent="0.3">
      <c r="K2791" t="s">
        <v>9584</v>
      </c>
    </row>
    <row r="2792" spans="11:11" x14ac:dyDescent="0.3">
      <c r="K2792" t="s">
        <v>6831</v>
      </c>
    </row>
    <row r="2793" spans="11:11" x14ac:dyDescent="0.3">
      <c r="K2793" t="s">
        <v>9585</v>
      </c>
    </row>
    <row r="2794" spans="11:11" x14ac:dyDescent="0.3">
      <c r="K2794" t="s">
        <v>8170</v>
      </c>
    </row>
    <row r="2795" spans="11:11" x14ac:dyDescent="0.3">
      <c r="K2795" t="s">
        <v>9942</v>
      </c>
    </row>
    <row r="2796" spans="11:11" x14ac:dyDescent="0.3">
      <c r="K2796" t="s">
        <v>9056</v>
      </c>
    </row>
    <row r="2797" spans="11:11" x14ac:dyDescent="0.3">
      <c r="K2797" t="s">
        <v>6039</v>
      </c>
    </row>
    <row r="2798" spans="11:11" x14ac:dyDescent="0.3">
      <c r="K2798" t="s">
        <v>9057</v>
      </c>
    </row>
    <row r="2799" spans="11:11" x14ac:dyDescent="0.3">
      <c r="K2799" t="s">
        <v>9058</v>
      </c>
    </row>
    <row r="2800" spans="11:11" x14ac:dyDescent="0.3">
      <c r="K2800" t="s">
        <v>10727</v>
      </c>
    </row>
    <row r="2801" spans="11:11" x14ac:dyDescent="0.3">
      <c r="K2801" t="s">
        <v>9059</v>
      </c>
    </row>
    <row r="2802" spans="11:11" x14ac:dyDescent="0.3">
      <c r="K2802" t="s">
        <v>6832</v>
      </c>
    </row>
    <row r="2803" spans="11:11" x14ac:dyDescent="0.3">
      <c r="K2803" t="s">
        <v>9060</v>
      </c>
    </row>
    <row r="2804" spans="11:11" x14ac:dyDescent="0.3">
      <c r="K2804" t="s">
        <v>10728</v>
      </c>
    </row>
    <row r="2805" spans="11:11" x14ac:dyDescent="0.3">
      <c r="K2805" t="s">
        <v>6633</v>
      </c>
    </row>
    <row r="2806" spans="11:11" x14ac:dyDescent="0.3">
      <c r="K2806" t="s">
        <v>9061</v>
      </c>
    </row>
    <row r="2807" spans="11:11" x14ac:dyDescent="0.3">
      <c r="K2807" t="s">
        <v>6268</v>
      </c>
    </row>
    <row r="2808" spans="11:11" x14ac:dyDescent="0.3">
      <c r="K2808" t="s">
        <v>6040</v>
      </c>
    </row>
    <row r="2809" spans="11:11" x14ac:dyDescent="0.3">
      <c r="K2809" t="s">
        <v>7544</v>
      </c>
    </row>
    <row r="2810" spans="11:11" x14ac:dyDescent="0.3">
      <c r="K2810" t="s">
        <v>6634</v>
      </c>
    </row>
    <row r="2811" spans="11:11" x14ac:dyDescent="0.3">
      <c r="K2811" t="s">
        <v>8171</v>
      </c>
    </row>
    <row r="2812" spans="11:11" x14ac:dyDescent="0.3">
      <c r="K2812" t="s">
        <v>8172</v>
      </c>
    </row>
    <row r="2813" spans="11:11" x14ac:dyDescent="0.3">
      <c r="K2813" t="s">
        <v>9943</v>
      </c>
    </row>
    <row r="2814" spans="11:11" x14ac:dyDescent="0.3">
      <c r="K2814" t="s">
        <v>9586</v>
      </c>
    </row>
    <row r="2815" spans="11:11" x14ac:dyDescent="0.3">
      <c r="K2815" t="s">
        <v>9062</v>
      </c>
    </row>
    <row r="2816" spans="11:11" x14ac:dyDescent="0.3">
      <c r="K2816" t="s">
        <v>8173</v>
      </c>
    </row>
    <row r="2817" spans="11:11" x14ac:dyDescent="0.3">
      <c r="K2817" t="s">
        <v>9587</v>
      </c>
    </row>
    <row r="2818" spans="11:11" x14ac:dyDescent="0.3">
      <c r="K2818" t="s">
        <v>9063</v>
      </c>
    </row>
    <row r="2819" spans="11:11" x14ac:dyDescent="0.3">
      <c r="K2819" t="s">
        <v>9588</v>
      </c>
    </row>
    <row r="2820" spans="11:11" x14ac:dyDescent="0.3">
      <c r="K2820" t="s">
        <v>9064</v>
      </c>
    </row>
    <row r="2821" spans="11:11" x14ac:dyDescent="0.3">
      <c r="K2821" t="s">
        <v>8174</v>
      </c>
    </row>
    <row r="2822" spans="11:11" x14ac:dyDescent="0.3">
      <c r="K2822" t="s">
        <v>9944</v>
      </c>
    </row>
    <row r="2823" spans="11:11" x14ac:dyDescent="0.3">
      <c r="K2823" t="s">
        <v>10940</v>
      </c>
    </row>
    <row r="2824" spans="11:11" x14ac:dyDescent="0.3">
      <c r="K2824" t="s">
        <v>6269</v>
      </c>
    </row>
    <row r="2825" spans="11:11" x14ac:dyDescent="0.3">
      <c r="K2825" t="s">
        <v>5864</v>
      </c>
    </row>
    <row r="2826" spans="11:11" x14ac:dyDescent="0.3">
      <c r="K2826" t="s">
        <v>8694</v>
      </c>
    </row>
    <row r="2827" spans="11:11" x14ac:dyDescent="0.3">
      <c r="K2827" t="s">
        <v>6635</v>
      </c>
    </row>
    <row r="2828" spans="11:11" x14ac:dyDescent="0.3">
      <c r="K2828" t="s">
        <v>7545</v>
      </c>
    </row>
    <row r="2829" spans="11:11" x14ac:dyDescent="0.3">
      <c r="K2829" t="s">
        <v>10327</v>
      </c>
    </row>
    <row r="2830" spans="11:11" x14ac:dyDescent="0.3">
      <c r="K2830" t="s">
        <v>7269</v>
      </c>
    </row>
    <row r="2831" spans="11:11" x14ac:dyDescent="0.3">
      <c r="K2831" t="s">
        <v>5786</v>
      </c>
    </row>
    <row r="2832" spans="11:11" x14ac:dyDescent="0.3">
      <c r="K2832" t="s">
        <v>7051</v>
      </c>
    </row>
    <row r="2833" spans="11:11" x14ac:dyDescent="0.3">
      <c r="K2833" t="s">
        <v>7546</v>
      </c>
    </row>
    <row r="2834" spans="11:11" x14ac:dyDescent="0.3">
      <c r="K2834" t="s">
        <v>9065</v>
      </c>
    </row>
    <row r="2835" spans="11:11" x14ac:dyDescent="0.3">
      <c r="K2835" t="s">
        <v>6636</v>
      </c>
    </row>
    <row r="2836" spans="11:11" x14ac:dyDescent="0.3">
      <c r="K2836" t="s">
        <v>9066</v>
      </c>
    </row>
    <row r="2837" spans="11:11" x14ac:dyDescent="0.3">
      <c r="K2837" t="s">
        <v>7547</v>
      </c>
    </row>
    <row r="2838" spans="11:11" x14ac:dyDescent="0.3">
      <c r="K2838" t="s">
        <v>9067</v>
      </c>
    </row>
    <row r="2839" spans="11:11" x14ac:dyDescent="0.3">
      <c r="K2839" t="s">
        <v>7179</v>
      </c>
    </row>
    <row r="2840" spans="11:11" x14ac:dyDescent="0.3">
      <c r="K2840" t="s">
        <v>8175</v>
      </c>
    </row>
    <row r="2841" spans="11:11" x14ac:dyDescent="0.3">
      <c r="K2841" t="s">
        <v>5495</v>
      </c>
    </row>
    <row r="2842" spans="11:11" x14ac:dyDescent="0.3">
      <c r="K2842" t="s">
        <v>10326</v>
      </c>
    </row>
    <row r="2843" spans="11:11" x14ac:dyDescent="0.3">
      <c r="K2843" t="s">
        <v>8176</v>
      </c>
    </row>
    <row r="2844" spans="11:11" x14ac:dyDescent="0.3">
      <c r="K2844" t="s">
        <v>7052</v>
      </c>
    </row>
    <row r="2845" spans="11:11" x14ac:dyDescent="0.3">
      <c r="K2845" t="s">
        <v>9945</v>
      </c>
    </row>
    <row r="2846" spans="11:11" x14ac:dyDescent="0.3">
      <c r="K2846" t="s">
        <v>8695</v>
      </c>
    </row>
    <row r="2847" spans="11:11" x14ac:dyDescent="0.3">
      <c r="K2847" t="s">
        <v>7548</v>
      </c>
    </row>
    <row r="2848" spans="11:11" x14ac:dyDescent="0.3">
      <c r="K2848" t="s">
        <v>6476</v>
      </c>
    </row>
    <row r="2849" spans="11:11" x14ac:dyDescent="0.3">
      <c r="K2849" t="s">
        <v>6270</v>
      </c>
    </row>
    <row r="2850" spans="11:11" x14ac:dyDescent="0.3">
      <c r="K2850" t="s">
        <v>8177</v>
      </c>
    </row>
    <row r="2851" spans="11:11" x14ac:dyDescent="0.3">
      <c r="K2851" t="s">
        <v>7549</v>
      </c>
    </row>
    <row r="2852" spans="11:11" x14ac:dyDescent="0.3">
      <c r="K2852" t="s">
        <v>6833</v>
      </c>
    </row>
    <row r="2853" spans="11:11" x14ac:dyDescent="0.3">
      <c r="K2853" t="s">
        <v>5697</v>
      </c>
    </row>
    <row r="2854" spans="11:11" x14ac:dyDescent="0.3">
      <c r="K2854" t="s">
        <v>7550</v>
      </c>
    </row>
    <row r="2855" spans="11:11" x14ac:dyDescent="0.3">
      <c r="K2855" t="s">
        <v>9946</v>
      </c>
    </row>
    <row r="2856" spans="11:11" x14ac:dyDescent="0.3">
      <c r="K2856" t="s">
        <v>5698</v>
      </c>
    </row>
    <row r="2857" spans="11:11" x14ac:dyDescent="0.3">
      <c r="K2857" t="s">
        <v>6041</v>
      </c>
    </row>
    <row r="2858" spans="11:11" x14ac:dyDescent="0.3">
      <c r="K2858" t="s">
        <v>9068</v>
      </c>
    </row>
    <row r="2859" spans="11:11" x14ac:dyDescent="0.3">
      <c r="K2859" t="s">
        <v>8696</v>
      </c>
    </row>
    <row r="2860" spans="11:11" x14ac:dyDescent="0.3">
      <c r="K2860" t="s">
        <v>7551</v>
      </c>
    </row>
    <row r="2861" spans="11:11" x14ac:dyDescent="0.3">
      <c r="K2861" t="s">
        <v>7552</v>
      </c>
    </row>
    <row r="2862" spans="11:11" x14ac:dyDescent="0.3">
      <c r="K2862" t="s">
        <v>9069</v>
      </c>
    </row>
    <row r="2863" spans="11:11" x14ac:dyDescent="0.3">
      <c r="K2863" t="s">
        <v>9070</v>
      </c>
    </row>
    <row r="2864" spans="11:11" x14ac:dyDescent="0.3">
      <c r="K2864" t="s">
        <v>10941</v>
      </c>
    </row>
    <row r="2865" spans="11:11" x14ac:dyDescent="0.3">
      <c r="K2865" t="s">
        <v>9947</v>
      </c>
    </row>
    <row r="2866" spans="11:11" x14ac:dyDescent="0.3">
      <c r="K2866" t="s">
        <v>7180</v>
      </c>
    </row>
    <row r="2867" spans="11:11" x14ac:dyDescent="0.3">
      <c r="K2867" t="s">
        <v>6637</v>
      </c>
    </row>
    <row r="2868" spans="11:11" x14ac:dyDescent="0.3">
      <c r="K2868" t="s">
        <v>9948</v>
      </c>
    </row>
    <row r="2869" spans="11:11" x14ac:dyDescent="0.3">
      <c r="K2869" t="s">
        <v>8178</v>
      </c>
    </row>
    <row r="2870" spans="11:11" x14ac:dyDescent="0.3">
      <c r="K2870" t="s">
        <v>7554</v>
      </c>
    </row>
    <row r="2871" spans="11:11" x14ac:dyDescent="0.3">
      <c r="K2871" t="s">
        <v>7270</v>
      </c>
    </row>
    <row r="2872" spans="11:11" x14ac:dyDescent="0.3">
      <c r="K2872" t="s">
        <v>7553</v>
      </c>
    </row>
    <row r="2873" spans="11:11" x14ac:dyDescent="0.3">
      <c r="K2873" t="s">
        <v>7271</v>
      </c>
    </row>
    <row r="2874" spans="11:11" x14ac:dyDescent="0.3">
      <c r="K2874" t="s">
        <v>9589</v>
      </c>
    </row>
    <row r="2875" spans="11:11" x14ac:dyDescent="0.3">
      <c r="K2875" t="s">
        <v>6834</v>
      </c>
    </row>
    <row r="2876" spans="11:11" x14ac:dyDescent="0.3">
      <c r="K2876" t="s">
        <v>6835</v>
      </c>
    </row>
    <row r="2877" spans="11:11" x14ac:dyDescent="0.3">
      <c r="K2877" t="s">
        <v>10942</v>
      </c>
    </row>
    <row r="2878" spans="11:11" x14ac:dyDescent="0.3">
      <c r="K2878" t="s">
        <v>9590</v>
      </c>
    </row>
    <row r="2879" spans="11:11" x14ac:dyDescent="0.3">
      <c r="K2879" t="s">
        <v>8179</v>
      </c>
    </row>
    <row r="2880" spans="11:11" x14ac:dyDescent="0.3">
      <c r="K2880" t="s">
        <v>10328</v>
      </c>
    </row>
    <row r="2881" spans="11:11" x14ac:dyDescent="0.3">
      <c r="K2881" t="s">
        <v>5592</v>
      </c>
    </row>
    <row r="2882" spans="11:11" x14ac:dyDescent="0.3">
      <c r="K2882" t="s">
        <v>6836</v>
      </c>
    </row>
    <row r="2883" spans="11:11" x14ac:dyDescent="0.3">
      <c r="K2883" t="s">
        <v>5593</v>
      </c>
    </row>
    <row r="2884" spans="11:11" x14ac:dyDescent="0.3">
      <c r="K2884" t="s">
        <v>7053</v>
      </c>
    </row>
    <row r="2885" spans="11:11" x14ac:dyDescent="0.3">
      <c r="K2885" t="s">
        <v>5594</v>
      </c>
    </row>
    <row r="2886" spans="11:11" x14ac:dyDescent="0.3">
      <c r="K2886" t="s">
        <v>5544</v>
      </c>
    </row>
    <row r="2887" spans="11:11" x14ac:dyDescent="0.3">
      <c r="K2887" t="s">
        <v>9591</v>
      </c>
    </row>
    <row r="2888" spans="11:11" x14ac:dyDescent="0.3">
      <c r="K2888" t="s">
        <v>9592</v>
      </c>
    </row>
    <row r="2889" spans="11:11" x14ac:dyDescent="0.3">
      <c r="K2889" t="s">
        <v>9593</v>
      </c>
    </row>
    <row r="2890" spans="11:11" x14ac:dyDescent="0.3">
      <c r="K2890" t="s">
        <v>9071</v>
      </c>
    </row>
    <row r="2891" spans="11:11" x14ac:dyDescent="0.3">
      <c r="K2891" t="s">
        <v>9594</v>
      </c>
    </row>
    <row r="2892" spans="11:11" x14ac:dyDescent="0.3">
      <c r="K2892" t="s">
        <v>8180</v>
      </c>
    </row>
    <row r="2893" spans="11:11" x14ac:dyDescent="0.3">
      <c r="K2893" t="s">
        <v>8697</v>
      </c>
    </row>
    <row r="2894" spans="11:11" x14ac:dyDescent="0.3">
      <c r="K2894" t="s">
        <v>9595</v>
      </c>
    </row>
    <row r="2895" spans="11:11" x14ac:dyDescent="0.3">
      <c r="K2895" t="s">
        <v>8181</v>
      </c>
    </row>
    <row r="2896" spans="11:11" x14ac:dyDescent="0.3">
      <c r="K2896" t="s">
        <v>8182</v>
      </c>
    </row>
    <row r="2897" spans="11:11" x14ac:dyDescent="0.3">
      <c r="K2897" t="s">
        <v>5595</v>
      </c>
    </row>
    <row r="2898" spans="11:11" x14ac:dyDescent="0.3">
      <c r="K2898" t="s">
        <v>6271</v>
      </c>
    </row>
    <row r="2899" spans="11:11" x14ac:dyDescent="0.3">
      <c r="K2899" t="s">
        <v>9596</v>
      </c>
    </row>
    <row r="2900" spans="11:11" x14ac:dyDescent="0.3">
      <c r="K2900" t="s">
        <v>5545</v>
      </c>
    </row>
    <row r="2901" spans="11:11" x14ac:dyDescent="0.3">
      <c r="K2901" t="s">
        <v>10329</v>
      </c>
    </row>
    <row r="2902" spans="11:11" x14ac:dyDescent="0.3">
      <c r="K2902" t="s">
        <v>7555</v>
      </c>
    </row>
    <row r="2903" spans="11:11" x14ac:dyDescent="0.3">
      <c r="K2903" t="s">
        <v>7556</v>
      </c>
    </row>
    <row r="2904" spans="11:11" x14ac:dyDescent="0.3">
      <c r="K2904" t="s">
        <v>8183</v>
      </c>
    </row>
    <row r="2905" spans="11:11" x14ac:dyDescent="0.3">
      <c r="K2905" t="s">
        <v>8623</v>
      </c>
    </row>
    <row r="2906" spans="11:11" x14ac:dyDescent="0.3">
      <c r="K2906" t="s">
        <v>10330</v>
      </c>
    </row>
    <row r="2907" spans="11:11" x14ac:dyDescent="0.3">
      <c r="K2907" t="s">
        <v>8185</v>
      </c>
    </row>
    <row r="2908" spans="11:11" x14ac:dyDescent="0.3">
      <c r="K2908" t="s">
        <v>7185</v>
      </c>
    </row>
    <row r="2909" spans="11:11" x14ac:dyDescent="0.3">
      <c r="K2909" t="s">
        <v>10943</v>
      </c>
    </row>
    <row r="2910" spans="11:11" x14ac:dyDescent="0.3">
      <c r="K2910" t="s">
        <v>5596</v>
      </c>
    </row>
    <row r="2911" spans="11:11" x14ac:dyDescent="0.3">
      <c r="K2911" t="s">
        <v>9072</v>
      </c>
    </row>
    <row r="2912" spans="11:11" x14ac:dyDescent="0.3">
      <c r="K2912" t="s">
        <v>5699</v>
      </c>
    </row>
    <row r="2913" spans="11:11" x14ac:dyDescent="0.3">
      <c r="K2913" t="s">
        <v>6042</v>
      </c>
    </row>
    <row r="2914" spans="11:11" x14ac:dyDescent="0.3">
      <c r="K2914" t="s">
        <v>9073</v>
      </c>
    </row>
    <row r="2915" spans="11:11" x14ac:dyDescent="0.3">
      <c r="K2915" t="s">
        <v>9949</v>
      </c>
    </row>
    <row r="2916" spans="11:11" x14ac:dyDescent="0.3">
      <c r="K2916" t="s">
        <v>10635</v>
      </c>
    </row>
    <row r="2917" spans="11:11" x14ac:dyDescent="0.3">
      <c r="K2917" t="s">
        <v>5700</v>
      </c>
    </row>
    <row r="2918" spans="11:11" x14ac:dyDescent="0.3">
      <c r="K2918" t="s">
        <v>6477</v>
      </c>
    </row>
    <row r="2919" spans="11:11" x14ac:dyDescent="0.3">
      <c r="K2919" t="s">
        <v>7557</v>
      </c>
    </row>
    <row r="2920" spans="11:11" x14ac:dyDescent="0.3">
      <c r="K2920" t="s">
        <v>7181</v>
      </c>
    </row>
    <row r="2921" spans="11:11" x14ac:dyDescent="0.3">
      <c r="K2921" t="s">
        <v>7558</v>
      </c>
    </row>
    <row r="2922" spans="11:11" x14ac:dyDescent="0.3">
      <c r="K2922" t="s">
        <v>7054</v>
      </c>
    </row>
    <row r="2923" spans="11:11" x14ac:dyDescent="0.3">
      <c r="K2923" t="s">
        <v>6043</v>
      </c>
    </row>
    <row r="2924" spans="11:11" x14ac:dyDescent="0.3">
      <c r="K2924" t="s">
        <v>6478</v>
      </c>
    </row>
    <row r="2925" spans="11:11" x14ac:dyDescent="0.3">
      <c r="K2925" t="s">
        <v>6044</v>
      </c>
    </row>
    <row r="2926" spans="11:11" x14ac:dyDescent="0.3">
      <c r="K2926" t="s">
        <v>5701</v>
      </c>
    </row>
    <row r="2927" spans="11:11" x14ac:dyDescent="0.3">
      <c r="K2927" t="s">
        <v>9074</v>
      </c>
    </row>
    <row r="2928" spans="11:11" x14ac:dyDescent="0.3">
      <c r="K2928" t="s">
        <v>10331</v>
      </c>
    </row>
    <row r="2929" spans="11:11" x14ac:dyDescent="0.3">
      <c r="K2929" t="s">
        <v>8624</v>
      </c>
    </row>
    <row r="2930" spans="11:11" x14ac:dyDescent="0.3">
      <c r="K2930" t="s">
        <v>7559</v>
      </c>
    </row>
    <row r="2931" spans="11:11" x14ac:dyDescent="0.3">
      <c r="K2931" t="s">
        <v>10332</v>
      </c>
    </row>
    <row r="2932" spans="11:11" x14ac:dyDescent="0.3">
      <c r="K2932" t="s">
        <v>7182</v>
      </c>
    </row>
    <row r="2933" spans="11:11" x14ac:dyDescent="0.3">
      <c r="K2933" t="s">
        <v>9950</v>
      </c>
    </row>
    <row r="2934" spans="11:11" x14ac:dyDescent="0.3">
      <c r="K2934" t="s">
        <v>8184</v>
      </c>
    </row>
    <row r="2935" spans="11:11" x14ac:dyDescent="0.3">
      <c r="K2935" t="s">
        <v>6837</v>
      </c>
    </row>
    <row r="2936" spans="11:11" x14ac:dyDescent="0.3">
      <c r="K2936" t="s">
        <v>10730</v>
      </c>
    </row>
    <row r="2937" spans="11:11" x14ac:dyDescent="0.3">
      <c r="K2937" t="s">
        <v>10333</v>
      </c>
    </row>
    <row r="2938" spans="11:11" x14ac:dyDescent="0.3">
      <c r="K2938" t="s">
        <v>6638</v>
      </c>
    </row>
    <row r="2939" spans="11:11" x14ac:dyDescent="0.3">
      <c r="K2939" t="s">
        <v>7560</v>
      </c>
    </row>
    <row r="2940" spans="11:11" x14ac:dyDescent="0.3">
      <c r="K2940" t="s">
        <v>6479</v>
      </c>
    </row>
    <row r="2941" spans="11:11" x14ac:dyDescent="0.3">
      <c r="K2941" t="s">
        <v>6272</v>
      </c>
    </row>
    <row r="2942" spans="11:11" x14ac:dyDescent="0.3">
      <c r="K2942" t="s">
        <v>6273</v>
      </c>
    </row>
    <row r="2943" spans="11:11" x14ac:dyDescent="0.3">
      <c r="K2943" t="s">
        <v>9597</v>
      </c>
    </row>
    <row r="2944" spans="11:11" x14ac:dyDescent="0.3">
      <c r="K2944" t="s">
        <v>7183</v>
      </c>
    </row>
    <row r="2945" spans="11:11" x14ac:dyDescent="0.3">
      <c r="K2945" t="s">
        <v>8625</v>
      </c>
    </row>
    <row r="2946" spans="11:11" x14ac:dyDescent="0.3">
      <c r="K2946" t="s">
        <v>5546</v>
      </c>
    </row>
    <row r="2947" spans="11:11" x14ac:dyDescent="0.3">
      <c r="K2947" t="s">
        <v>9951</v>
      </c>
    </row>
    <row r="2948" spans="11:11" x14ac:dyDescent="0.3">
      <c r="K2948" t="s">
        <v>6838</v>
      </c>
    </row>
    <row r="2949" spans="11:11" x14ac:dyDescent="0.3">
      <c r="K2949" t="s">
        <v>8186</v>
      </c>
    </row>
    <row r="2950" spans="11:11" x14ac:dyDescent="0.3">
      <c r="K2950" t="s">
        <v>9598</v>
      </c>
    </row>
    <row r="2951" spans="11:11" x14ac:dyDescent="0.3">
      <c r="K2951" t="s">
        <v>9599</v>
      </c>
    </row>
    <row r="2952" spans="11:11" x14ac:dyDescent="0.3">
      <c r="K2952" t="s">
        <v>10334</v>
      </c>
    </row>
    <row r="2953" spans="11:11" x14ac:dyDescent="0.3">
      <c r="K2953" t="s">
        <v>8187</v>
      </c>
    </row>
    <row r="2954" spans="11:11" x14ac:dyDescent="0.3">
      <c r="K2954" t="s">
        <v>10335</v>
      </c>
    </row>
    <row r="2955" spans="11:11" x14ac:dyDescent="0.3">
      <c r="K2955" t="s">
        <v>5865</v>
      </c>
    </row>
    <row r="2956" spans="11:11" x14ac:dyDescent="0.3">
      <c r="K2956" t="s">
        <v>9075</v>
      </c>
    </row>
    <row r="2957" spans="11:11" x14ac:dyDescent="0.3">
      <c r="K2957" t="s">
        <v>7184</v>
      </c>
    </row>
    <row r="2958" spans="11:11" x14ac:dyDescent="0.3">
      <c r="K2958" t="s">
        <v>8698</v>
      </c>
    </row>
    <row r="2959" spans="11:11" x14ac:dyDescent="0.3">
      <c r="K2959" t="s">
        <v>8188</v>
      </c>
    </row>
    <row r="2960" spans="11:11" x14ac:dyDescent="0.3">
      <c r="K2960" t="s">
        <v>9600</v>
      </c>
    </row>
    <row r="2961" spans="11:11" x14ac:dyDescent="0.3">
      <c r="K2961" t="s">
        <v>8626</v>
      </c>
    </row>
    <row r="2962" spans="11:11" x14ac:dyDescent="0.3">
      <c r="K2962" t="s">
        <v>9601</v>
      </c>
    </row>
    <row r="2963" spans="11:11" x14ac:dyDescent="0.3">
      <c r="K2963" t="s">
        <v>9076</v>
      </c>
    </row>
    <row r="2964" spans="11:11" x14ac:dyDescent="0.3">
      <c r="K2964" t="s">
        <v>9602</v>
      </c>
    </row>
    <row r="2965" spans="11:11" x14ac:dyDescent="0.3">
      <c r="K2965" t="s">
        <v>9603</v>
      </c>
    </row>
    <row r="2966" spans="11:11" x14ac:dyDescent="0.3">
      <c r="K2966" t="s">
        <v>9077</v>
      </c>
    </row>
    <row r="2967" spans="11:11" x14ac:dyDescent="0.3">
      <c r="K2967" t="s">
        <v>8189</v>
      </c>
    </row>
    <row r="2968" spans="11:11" x14ac:dyDescent="0.3">
      <c r="K2968" t="s">
        <v>9604</v>
      </c>
    </row>
    <row r="2969" spans="11:11" x14ac:dyDescent="0.3">
      <c r="K2969" t="s">
        <v>8190</v>
      </c>
    </row>
    <row r="2970" spans="11:11" x14ac:dyDescent="0.3">
      <c r="K2970" t="s">
        <v>9605</v>
      </c>
    </row>
    <row r="2971" spans="11:11" x14ac:dyDescent="0.3">
      <c r="K2971" t="s">
        <v>5702</v>
      </c>
    </row>
    <row r="2972" spans="11:11" x14ac:dyDescent="0.3">
      <c r="K2972" t="s">
        <v>6839</v>
      </c>
    </row>
    <row r="2973" spans="11:11" x14ac:dyDescent="0.3">
      <c r="K2973" t="s">
        <v>8191</v>
      </c>
    </row>
    <row r="2974" spans="11:11" x14ac:dyDescent="0.3">
      <c r="K2974" t="s">
        <v>9606</v>
      </c>
    </row>
    <row r="2975" spans="11:11" x14ac:dyDescent="0.3">
      <c r="K2975" t="s">
        <v>8192</v>
      </c>
    </row>
    <row r="2976" spans="11:11" x14ac:dyDescent="0.3">
      <c r="K2976" t="s">
        <v>10336</v>
      </c>
    </row>
    <row r="2977" spans="11:11" x14ac:dyDescent="0.3">
      <c r="K2977" t="s">
        <v>9607</v>
      </c>
    </row>
    <row r="2978" spans="11:11" x14ac:dyDescent="0.3">
      <c r="K2978" t="s">
        <v>8193</v>
      </c>
    </row>
    <row r="2979" spans="11:11" x14ac:dyDescent="0.3">
      <c r="K2979" t="s">
        <v>6480</v>
      </c>
    </row>
    <row r="2980" spans="11:11" x14ac:dyDescent="0.3">
      <c r="K2980" t="s">
        <v>9078</v>
      </c>
    </row>
    <row r="2981" spans="11:11" x14ac:dyDescent="0.3">
      <c r="K2981" t="s">
        <v>8194</v>
      </c>
    </row>
    <row r="2982" spans="11:11" x14ac:dyDescent="0.3">
      <c r="K2982" t="s">
        <v>6639</v>
      </c>
    </row>
    <row r="2983" spans="11:11" x14ac:dyDescent="0.3">
      <c r="K2983" t="s">
        <v>7272</v>
      </c>
    </row>
    <row r="2984" spans="11:11" x14ac:dyDescent="0.3">
      <c r="K2984" t="s">
        <v>9608</v>
      </c>
    </row>
    <row r="2985" spans="11:11" x14ac:dyDescent="0.3">
      <c r="K2985" t="s">
        <v>10944</v>
      </c>
    </row>
    <row r="2986" spans="11:11" x14ac:dyDescent="0.3">
      <c r="K2986" t="s">
        <v>7561</v>
      </c>
    </row>
    <row r="2987" spans="11:11" x14ac:dyDescent="0.3">
      <c r="K2987" t="s">
        <v>6274</v>
      </c>
    </row>
    <row r="2988" spans="11:11" x14ac:dyDescent="0.3">
      <c r="K2988" t="s">
        <v>6481</v>
      </c>
    </row>
    <row r="2989" spans="11:11" x14ac:dyDescent="0.3">
      <c r="K2989" t="s">
        <v>6840</v>
      </c>
    </row>
    <row r="2990" spans="11:11" x14ac:dyDescent="0.3">
      <c r="K2990" t="s">
        <v>9952</v>
      </c>
    </row>
    <row r="2991" spans="11:11" x14ac:dyDescent="0.3">
      <c r="K2991" t="s">
        <v>7562</v>
      </c>
    </row>
    <row r="2992" spans="11:11" x14ac:dyDescent="0.3">
      <c r="K2992" t="s">
        <v>7186</v>
      </c>
    </row>
    <row r="2993" spans="11:11" x14ac:dyDescent="0.3">
      <c r="K2993" t="s">
        <v>6045</v>
      </c>
    </row>
    <row r="2994" spans="11:11" x14ac:dyDescent="0.3">
      <c r="K2994" t="s">
        <v>8195</v>
      </c>
    </row>
    <row r="2995" spans="11:11" x14ac:dyDescent="0.3">
      <c r="K2995" t="s">
        <v>10337</v>
      </c>
    </row>
    <row r="2996" spans="11:11" x14ac:dyDescent="0.3">
      <c r="K2996" t="s">
        <v>9079</v>
      </c>
    </row>
    <row r="2997" spans="11:11" x14ac:dyDescent="0.3">
      <c r="K2997" t="s">
        <v>6841</v>
      </c>
    </row>
    <row r="2998" spans="11:11" x14ac:dyDescent="0.3">
      <c r="K2998" t="s">
        <v>5866</v>
      </c>
    </row>
    <row r="2999" spans="11:11" x14ac:dyDescent="0.3">
      <c r="K2999" t="s">
        <v>9609</v>
      </c>
    </row>
    <row r="3000" spans="11:11" x14ac:dyDescent="0.3">
      <c r="K3000" t="s">
        <v>8196</v>
      </c>
    </row>
    <row r="3001" spans="11:11" x14ac:dyDescent="0.3">
      <c r="K3001" t="s">
        <v>8197</v>
      </c>
    </row>
    <row r="3002" spans="11:11" x14ac:dyDescent="0.3">
      <c r="K3002" t="s">
        <v>8572</v>
      </c>
    </row>
    <row r="3003" spans="11:11" x14ac:dyDescent="0.3">
      <c r="K3003" t="s">
        <v>8198</v>
      </c>
    </row>
    <row r="3004" spans="11:11" x14ac:dyDescent="0.3">
      <c r="K3004" t="s">
        <v>8199</v>
      </c>
    </row>
    <row r="3005" spans="11:11" x14ac:dyDescent="0.3">
      <c r="K3005" t="s">
        <v>6275</v>
      </c>
    </row>
    <row r="3006" spans="11:11" x14ac:dyDescent="0.3">
      <c r="K3006" t="s">
        <v>7563</v>
      </c>
    </row>
    <row r="3007" spans="11:11" x14ac:dyDescent="0.3">
      <c r="K3007" t="s">
        <v>6046</v>
      </c>
    </row>
    <row r="3008" spans="11:11" x14ac:dyDescent="0.3">
      <c r="K3008" t="s">
        <v>6842</v>
      </c>
    </row>
    <row r="3009" spans="11:11" x14ac:dyDescent="0.3">
      <c r="K3009" t="s">
        <v>9610</v>
      </c>
    </row>
    <row r="3010" spans="11:11" x14ac:dyDescent="0.3">
      <c r="K3010" t="s">
        <v>8200</v>
      </c>
    </row>
    <row r="3011" spans="11:11" x14ac:dyDescent="0.3">
      <c r="K3011" t="s">
        <v>10338</v>
      </c>
    </row>
    <row r="3012" spans="11:11" x14ac:dyDescent="0.3">
      <c r="K3012" t="s">
        <v>6843</v>
      </c>
    </row>
    <row r="3013" spans="11:11" x14ac:dyDescent="0.3">
      <c r="K3013" t="s">
        <v>10339</v>
      </c>
    </row>
    <row r="3014" spans="11:11" x14ac:dyDescent="0.3">
      <c r="K3014" t="s">
        <v>10340</v>
      </c>
    </row>
    <row r="3015" spans="11:11" x14ac:dyDescent="0.3">
      <c r="K3015" t="s">
        <v>9611</v>
      </c>
    </row>
    <row r="3016" spans="11:11" x14ac:dyDescent="0.3">
      <c r="K3016" t="s">
        <v>8201</v>
      </c>
    </row>
    <row r="3017" spans="11:11" x14ac:dyDescent="0.3">
      <c r="K3017" t="s">
        <v>6048</v>
      </c>
    </row>
    <row r="3018" spans="11:11" x14ac:dyDescent="0.3">
      <c r="K3018" t="s">
        <v>6047</v>
      </c>
    </row>
    <row r="3019" spans="11:11" x14ac:dyDescent="0.3">
      <c r="K3019" t="s">
        <v>9953</v>
      </c>
    </row>
    <row r="3020" spans="11:11" x14ac:dyDescent="0.3">
      <c r="K3020" t="s">
        <v>8202</v>
      </c>
    </row>
    <row r="3021" spans="11:11" x14ac:dyDescent="0.3">
      <c r="K3021" t="s">
        <v>10945</v>
      </c>
    </row>
    <row r="3022" spans="11:11" x14ac:dyDescent="0.3">
      <c r="K3022" t="s">
        <v>7187</v>
      </c>
    </row>
    <row r="3023" spans="11:11" x14ac:dyDescent="0.3">
      <c r="K3023" t="s">
        <v>10731</v>
      </c>
    </row>
    <row r="3024" spans="11:11" x14ac:dyDescent="0.3">
      <c r="K3024" t="s">
        <v>6844</v>
      </c>
    </row>
    <row r="3025" spans="11:11" x14ac:dyDescent="0.3">
      <c r="K3025" t="s">
        <v>8203</v>
      </c>
    </row>
    <row r="3026" spans="11:11" x14ac:dyDescent="0.3">
      <c r="K3026" t="s">
        <v>9612</v>
      </c>
    </row>
    <row r="3027" spans="11:11" x14ac:dyDescent="0.3">
      <c r="K3027" t="s">
        <v>9080</v>
      </c>
    </row>
    <row r="3028" spans="11:11" x14ac:dyDescent="0.3">
      <c r="K3028" t="s">
        <v>5597</v>
      </c>
    </row>
    <row r="3029" spans="11:11" x14ac:dyDescent="0.3">
      <c r="K3029" t="s">
        <v>5867</v>
      </c>
    </row>
    <row r="3030" spans="11:11" x14ac:dyDescent="0.3">
      <c r="K3030" t="s">
        <v>10946</v>
      </c>
    </row>
    <row r="3031" spans="11:11" x14ac:dyDescent="0.3">
      <c r="K3031" t="s">
        <v>6482</v>
      </c>
    </row>
    <row r="3032" spans="11:11" x14ac:dyDescent="0.3">
      <c r="K3032" t="s">
        <v>6640</v>
      </c>
    </row>
    <row r="3033" spans="11:11" x14ac:dyDescent="0.3">
      <c r="K3033" t="s">
        <v>10341</v>
      </c>
    </row>
    <row r="3034" spans="11:11" x14ac:dyDescent="0.3">
      <c r="K3034" t="s">
        <v>5787</v>
      </c>
    </row>
    <row r="3035" spans="11:11" x14ac:dyDescent="0.3">
      <c r="K3035" t="s">
        <v>7564</v>
      </c>
    </row>
    <row r="3036" spans="11:11" x14ac:dyDescent="0.3">
      <c r="K3036" t="s">
        <v>8204</v>
      </c>
    </row>
    <row r="3037" spans="11:11" x14ac:dyDescent="0.3">
      <c r="K3037" t="s">
        <v>9613</v>
      </c>
    </row>
    <row r="3038" spans="11:11" x14ac:dyDescent="0.3">
      <c r="K3038" t="s">
        <v>5703</v>
      </c>
    </row>
    <row r="3039" spans="11:11" x14ac:dyDescent="0.3">
      <c r="K3039" t="s">
        <v>8205</v>
      </c>
    </row>
    <row r="3040" spans="11:11" x14ac:dyDescent="0.3">
      <c r="K3040" t="s">
        <v>9954</v>
      </c>
    </row>
    <row r="3041" spans="11:11" x14ac:dyDescent="0.3">
      <c r="K3041" t="s">
        <v>5704</v>
      </c>
    </row>
    <row r="3042" spans="11:11" x14ac:dyDescent="0.3">
      <c r="K3042" t="s">
        <v>8206</v>
      </c>
    </row>
    <row r="3043" spans="11:11" x14ac:dyDescent="0.3">
      <c r="K3043" t="s">
        <v>8699</v>
      </c>
    </row>
    <row r="3044" spans="11:11" x14ac:dyDescent="0.3">
      <c r="K3044" t="s">
        <v>9081</v>
      </c>
    </row>
    <row r="3045" spans="11:11" x14ac:dyDescent="0.3">
      <c r="K3045" t="s">
        <v>9614</v>
      </c>
    </row>
    <row r="3046" spans="11:11" x14ac:dyDescent="0.3">
      <c r="K3046" t="s">
        <v>8207</v>
      </c>
    </row>
    <row r="3047" spans="11:11" x14ac:dyDescent="0.3">
      <c r="K3047" t="s">
        <v>9082</v>
      </c>
    </row>
    <row r="3048" spans="11:11" x14ac:dyDescent="0.3">
      <c r="K3048" t="s">
        <v>6483</v>
      </c>
    </row>
    <row r="3049" spans="11:11" x14ac:dyDescent="0.3">
      <c r="K3049" t="s">
        <v>9083</v>
      </c>
    </row>
    <row r="3050" spans="11:11" x14ac:dyDescent="0.3">
      <c r="K3050" t="s">
        <v>8208</v>
      </c>
    </row>
    <row r="3051" spans="11:11" x14ac:dyDescent="0.3">
      <c r="K3051" t="s">
        <v>8700</v>
      </c>
    </row>
    <row r="3052" spans="11:11" x14ac:dyDescent="0.3">
      <c r="K3052" t="s">
        <v>6641</v>
      </c>
    </row>
    <row r="3053" spans="11:11" x14ac:dyDescent="0.3">
      <c r="K3053" t="s">
        <v>7188</v>
      </c>
    </row>
    <row r="3054" spans="11:11" x14ac:dyDescent="0.3">
      <c r="K3054" t="s">
        <v>6276</v>
      </c>
    </row>
    <row r="3055" spans="11:11" x14ac:dyDescent="0.3">
      <c r="K3055" t="s">
        <v>7565</v>
      </c>
    </row>
    <row r="3056" spans="11:11" x14ac:dyDescent="0.3">
      <c r="K3056" t="s">
        <v>6277</v>
      </c>
    </row>
    <row r="3057" spans="11:11" x14ac:dyDescent="0.3">
      <c r="K3057" t="s">
        <v>8701</v>
      </c>
    </row>
    <row r="3058" spans="11:11" x14ac:dyDescent="0.3">
      <c r="K3058" t="s">
        <v>9084</v>
      </c>
    </row>
    <row r="3059" spans="11:11" x14ac:dyDescent="0.3">
      <c r="K3059" t="s">
        <v>6049</v>
      </c>
    </row>
    <row r="3060" spans="11:11" x14ac:dyDescent="0.3">
      <c r="K3060" t="s">
        <v>7566</v>
      </c>
    </row>
    <row r="3061" spans="11:11" x14ac:dyDescent="0.3">
      <c r="K3061" t="s">
        <v>6484</v>
      </c>
    </row>
    <row r="3062" spans="11:11" x14ac:dyDescent="0.3">
      <c r="K3062" t="s">
        <v>6485</v>
      </c>
    </row>
    <row r="3063" spans="11:11" x14ac:dyDescent="0.3">
      <c r="K3063" t="s">
        <v>6278</v>
      </c>
    </row>
    <row r="3064" spans="11:11" x14ac:dyDescent="0.3">
      <c r="K3064" t="s">
        <v>10947</v>
      </c>
    </row>
    <row r="3065" spans="11:11" x14ac:dyDescent="0.3">
      <c r="K3065" t="s">
        <v>8627</v>
      </c>
    </row>
    <row r="3066" spans="11:11" x14ac:dyDescent="0.3">
      <c r="K3066" t="s">
        <v>10948</v>
      </c>
    </row>
    <row r="3067" spans="11:11" x14ac:dyDescent="0.3">
      <c r="K3067" t="s">
        <v>7189</v>
      </c>
    </row>
    <row r="3068" spans="11:11" x14ac:dyDescent="0.3">
      <c r="K3068" t="s">
        <v>10342</v>
      </c>
    </row>
    <row r="3069" spans="11:11" x14ac:dyDescent="0.3">
      <c r="K3069" t="s">
        <v>8209</v>
      </c>
    </row>
    <row r="3070" spans="11:11" x14ac:dyDescent="0.3">
      <c r="K3070" t="s">
        <v>8210</v>
      </c>
    </row>
    <row r="3071" spans="11:11" x14ac:dyDescent="0.3">
      <c r="K3071" t="s">
        <v>9085</v>
      </c>
    </row>
    <row r="3072" spans="11:11" x14ac:dyDescent="0.3">
      <c r="K3072" t="s">
        <v>10949</v>
      </c>
    </row>
    <row r="3073" spans="11:11" x14ac:dyDescent="0.3">
      <c r="K3073" t="s">
        <v>5520</v>
      </c>
    </row>
    <row r="3074" spans="11:11" x14ac:dyDescent="0.3">
      <c r="K3074" t="s">
        <v>9087</v>
      </c>
    </row>
    <row r="3075" spans="11:11" x14ac:dyDescent="0.3">
      <c r="K3075" t="s">
        <v>8211</v>
      </c>
    </row>
    <row r="3076" spans="11:11" x14ac:dyDescent="0.3">
      <c r="K3076" t="s">
        <v>9086</v>
      </c>
    </row>
    <row r="3077" spans="11:11" x14ac:dyDescent="0.3">
      <c r="K3077" t="s">
        <v>5868</v>
      </c>
    </row>
    <row r="3078" spans="11:11" x14ac:dyDescent="0.3">
      <c r="K3078" t="s">
        <v>8702</v>
      </c>
    </row>
    <row r="3079" spans="11:11" x14ac:dyDescent="0.3">
      <c r="K3079" t="s">
        <v>6050</v>
      </c>
    </row>
    <row r="3080" spans="11:11" x14ac:dyDescent="0.3">
      <c r="K3080" t="s">
        <v>9615</v>
      </c>
    </row>
    <row r="3081" spans="11:11" x14ac:dyDescent="0.3">
      <c r="K3081" t="s">
        <v>8212</v>
      </c>
    </row>
    <row r="3082" spans="11:11" x14ac:dyDescent="0.3">
      <c r="K3082" t="s">
        <v>10343</v>
      </c>
    </row>
    <row r="3083" spans="11:11" x14ac:dyDescent="0.3">
      <c r="K3083" t="s">
        <v>8213</v>
      </c>
    </row>
    <row r="3084" spans="11:11" x14ac:dyDescent="0.3">
      <c r="K3084" t="s">
        <v>6486</v>
      </c>
    </row>
    <row r="3085" spans="11:11" x14ac:dyDescent="0.3">
      <c r="K3085" t="s">
        <v>6051</v>
      </c>
    </row>
    <row r="3086" spans="11:11" x14ac:dyDescent="0.3">
      <c r="K3086" t="s">
        <v>10636</v>
      </c>
    </row>
    <row r="3087" spans="11:11" x14ac:dyDescent="0.3">
      <c r="K3087" t="s">
        <v>7055</v>
      </c>
    </row>
    <row r="3088" spans="11:11" x14ac:dyDescent="0.3">
      <c r="K3088" t="s">
        <v>9088</v>
      </c>
    </row>
    <row r="3089" spans="11:11" x14ac:dyDescent="0.3">
      <c r="K3089" t="s">
        <v>7567</v>
      </c>
    </row>
    <row r="3090" spans="11:11" x14ac:dyDescent="0.3">
      <c r="K3090" t="s">
        <v>5869</v>
      </c>
    </row>
    <row r="3091" spans="11:11" x14ac:dyDescent="0.3">
      <c r="K3091" t="s">
        <v>5521</v>
      </c>
    </row>
    <row r="3092" spans="11:11" x14ac:dyDescent="0.3">
      <c r="K3092" t="s">
        <v>9089</v>
      </c>
    </row>
    <row r="3093" spans="11:11" x14ac:dyDescent="0.3">
      <c r="K3093" t="s">
        <v>7568</v>
      </c>
    </row>
    <row r="3094" spans="11:11" x14ac:dyDescent="0.3">
      <c r="K3094" t="s">
        <v>9616</v>
      </c>
    </row>
    <row r="3095" spans="11:11" x14ac:dyDescent="0.3">
      <c r="K3095" t="s">
        <v>10732</v>
      </c>
    </row>
    <row r="3096" spans="11:11" x14ac:dyDescent="0.3">
      <c r="K3096" t="s">
        <v>9090</v>
      </c>
    </row>
    <row r="3097" spans="11:11" x14ac:dyDescent="0.3">
      <c r="K3097" t="s">
        <v>9091</v>
      </c>
    </row>
    <row r="3098" spans="11:11" x14ac:dyDescent="0.3">
      <c r="K3098" t="s">
        <v>8214</v>
      </c>
    </row>
    <row r="3099" spans="11:11" x14ac:dyDescent="0.3">
      <c r="K3099" t="s">
        <v>9955</v>
      </c>
    </row>
    <row r="3100" spans="11:11" x14ac:dyDescent="0.3">
      <c r="K3100" t="s">
        <v>6052</v>
      </c>
    </row>
    <row r="3101" spans="11:11" x14ac:dyDescent="0.3">
      <c r="K3101" t="s">
        <v>9617</v>
      </c>
    </row>
    <row r="3102" spans="11:11" x14ac:dyDescent="0.3">
      <c r="K3102" t="s">
        <v>6487</v>
      </c>
    </row>
    <row r="3103" spans="11:11" x14ac:dyDescent="0.3">
      <c r="K3103" t="s">
        <v>5705</v>
      </c>
    </row>
    <row r="3104" spans="11:11" x14ac:dyDescent="0.3">
      <c r="K3104" t="s">
        <v>9092</v>
      </c>
    </row>
    <row r="3105" spans="11:11" x14ac:dyDescent="0.3">
      <c r="K3105" t="s">
        <v>9956</v>
      </c>
    </row>
    <row r="3106" spans="11:11" x14ac:dyDescent="0.3">
      <c r="K3106" t="s">
        <v>8215</v>
      </c>
    </row>
    <row r="3107" spans="11:11" x14ac:dyDescent="0.3">
      <c r="K3107" t="s">
        <v>8216</v>
      </c>
    </row>
    <row r="3108" spans="11:11" x14ac:dyDescent="0.3">
      <c r="K3108" t="s">
        <v>6845</v>
      </c>
    </row>
    <row r="3109" spans="11:11" x14ac:dyDescent="0.3">
      <c r="K3109" t="s">
        <v>9094</v>
      </c>
    </row>
    <row r="3110" spans="11:11" x14ac:dyDescent="0.3">
      <c r="K3110" t="s">
        <v>10950</v>
      </c>
    </row>
    <row r="3111" spans="11:11" x14ac:dyDescent="0.3">
      <c r="K3111" t="s">
        <v>7273</v>
      </c>
    </row>
    <row r="3112" spans="11:11" x14ac:dyDescent="0.3">
      <c r="K3112" t="s">
        <v>9093</v>
      </c>
    </row>
    <row r="3113" spans="11:11" x14ac:dyDescent="0.3">
      <c r="K3113" t="s">
        <v>9095</v>
      </c>
    </row>
    <row r="3114" spans="11:11" x14ac:dyDescent="0.3">
      <c r="K3114" t="s">
        <v>5706</v>
      </c>
    </row>
    <row r="3115" spans="11:11" x14ac:dyDescent="0.3">
      <c r="K3115" t="s">
        <v>5707</v>
      </c>
    </row>
    <row r="3116" spans="11:11" x14ac:dyDescent="0.3">
      <c r="K3116" t="s">
        <v>6488</v>
      </c>
    </row>
    <row r="3117" spans="11:11" x14ac:dyDescent="0.3">
      <c r="K3117" t="s">
        <v>9096</v>
      </c>
    </row>
    <row r="3118" spans="11:11" x14ac:dyDescent="0.3">
      <c r="K3118" t="s">
        <v>6053</v>
      </c>
    </row>
    <row r="3119" spans="11:11" x14ac:dyDescent="0.3">
      <c r="K3119" t="s">
        <v>9097</v>
      </c>
    </row>
    <row r="3120" spans="11:11" x14ac:dyDescent="0.3">
      <c r="K3120" t="s">
        <v>9957</v>
      </c>
    </row>
    <row r="3121" spans="11:11" x14ac:dyDescent="0.3">
      <c r="K3121" t="s">
        <v>9098</v>
      </c>
    </row>
    <row r="3122" spans="11:11" x14ac:dyDescent="0.3">
      <c r="K3122" t="s">
        <v>8217</v>
      </c>
    </row>
    <row r="3123" spans="11:11" x14ac:dyDescent="0.3">
      <c r="K3123" t="s">
        <v>6279</v>
      </c>
    </row>
    <row r="3124" spans="11:11" x14ac:dyDescent="0.3">
      <c r="K3124" t="s">
        <v>6280</v>
      </c>
    </row>
    <row r="3125" spans="11:11" x14ac:dyDescent="0.3">
      <c r="K3125" t="s">
        <v>8218</v>
      </c>
    </row>
    <row r="3126" spans="11:11" x14ac:dyDescent="0.3">
      <c r="K3126" t="s">
        <v>6489</v>
      </c>
    </row>
    <row r="3127" spans="11:11" x14ac:dyDescent="0.3">
      <c r="K3127" t="s">
        <v>6846</v>
      </c>
    </row>
    <row r="3128" spans="11:11" x14ac:dyDescent="0.3">
      <c r="K3128" t="s">
        <v>8219</v>
      </c>
    </row>
    <row r="3129" spans="11:11" x14ac:dyDescent="0.3">
      <c r="K3129" t="s">
        <v>8628</v>
      </c>
    </row>
    <row r="3130" spans="11:11" x14ac:dyDescent="0.3">
      <c r="K3130" t="s">
        <v>6642</v>
      </c>
    </row>
    <row r="3131" spans="11:11" x14ac:dyDescent="0.3">
      <c r="K3131" t="s">
        <v>10344</v>
      </c>
    </row>
    <row r="3132" spans="11:11" x14ac:dyDescent="0.3">
      <c r="K3132" t="s">
        <v>10951</v>
      </c>
    </row>
    <row r="3133" spans="11:11" x14ac:dyDescent="0.3">
      <c r="K3133" t="s">
        <v>8220</v>
      </c>
    </row>
    <row r="3134" spans="11:11" x14ac:dyDescent="0.3">
      <c r="K3134" t="s">
        <v>7274</v>
      </c>
    </row>
    <row r="3135" spans="11:11" x14ac:dyDescent="0.3">
      <c r="K3135" t="s">
        <v>6281</v>
      </c>
    </row>
    <row r="3136" spans="11:11" x14ac:dyDescent="0.3">
      <c r="K3136" t="s">
        <v>9099</v>
      </c>
    </row>
    <row r="3137" spans="11:11" x14ac:dyDescent="0.3">
      <c r="K3137" t="s">
        <v>10345</v>
      </c>
    </row>
    <row r="3138" spans="11:11" x14ac:dyDescent="0.3">
      <c r="K3138" t="s">
        <v>5708</v>
      </c>
    </row>
    <row r="3139" spans="11:11" x14ac:dyDescent="0.3">
      <c r="K3139" t="s">
        <v>6643</v>
      </c>
    </row>
    <row r="3140" spans="11:11" x14ac:dyDescent="0.3">
      <c r="K3140" t="s">
        <v>9100</v>
      </c>
    </row>
    <row r="3141" spans="11:11" x14ac:dyDescent="0.3">
      <c r="K3141" t="s">
        <v>9101</v>
      </c>
    </row>
    <row r="3142" spans="11:11" x14ac:dyDescent="0.3">
      <c r="K3142" t="s">
        <v>9102</v>
      </c>
    </row>
    <row r="3143" spans="11:11" x14ac:dyDescent="0.3">
      <c r="K3143" t="s">
        <v>8221</v>
      </c>
    </row>
    <row r="3144" spans="11:11" x14ac:dyDescent="0.3">
      <c r="K3144" t="s">
        <v>10346</v>
      </c>
    </row>
    <row r="3145" spans="11:11" x14ac:dyDescent="0.3">
      <c r="K3145" t="s">
        <v>8222</v>
      </c>
    </row>
    <row r="3146" spans="11:11" x14ac:dyDescent="0.3">
      <c r="K3146" t="s">
        <v>9958</v>
      </c>
    </row>
    <row r="3147" spans="11:11" x14ac:dyDescent="0.3">
      <c r="K3147" t="s">
        <v>8223</v>
      </c>
    </row>
    <row r="3148" spans="11:11" x14ac:dyDescent="0.3">
      <c r="K3148" t="s">
        <v>9959</v>
      </c>
    </row>
    <row r="3149" spans="11:11" x14ac:dyDescent="0.3">
      <c r="K3149" t="s">
        <v>9103</v>
      </c>
    </row>
    <row r="3150" spans="11:11" x14ac:dyDescent="0.3">
      <c r="K3150" t="s">
        <v>6644</v>
      </c>
    </row>
    <row r="3151" spans="11:11" x14ac:dyDescent="0.3">
      <c r="K3151" t="s">
        <v>5870</v>
      </c>
    </row>
    <row r="3152" spans="11:11" x14ac:dyDescent="0.3">
      <c r="K3152" t="s">
        <v>8224</v>
      </c>
    </row>
    <row r="3153" spans="11:11" x14ac:dyDescent="0.3">
      <c r="K3153" t="s">
        <v>6847</v>
      </c>
    </row>
    <row r="3154" spans="11:11" x14ac:dyDescent="0.3">
      <c r="K3154" t="s">
        <v>9105</v>
      </c>
    </row>
    <row r="3155" spans="11:11" x14ac:dyDescent="0.3">
      <c r="K3155" t="s">
        <v>5522</v>
      </c>
    </row>
    <row r="3156" spans="11:11" x14ac:dyDescent="0.3">
      <c r="K3156" t="s">
        <v>8225</v>
      </c>
    </row>
    <row r="3157" spans="11:11" x14ac:dyDescent="0.3">
      <c r="K3157" t="s">
        <v>5871</v>
      </c>
    </row>
    <row r="3158" spans="11:11" x14ac:dyDescent="0.3">
      <c r="K3158" t="s">
        <v>7569</v>
      </c>
    </row>
    <row r="3159" spans="11:11" x14ac:dyDescent="0.3">
      <c r="K3159" t="s">
        <v>8227</v>
      </c>
    </row>
    <row r="3160" spans="11:11" x14ac:dyDescent="0.3">
      <c r="K3160" t="s">
        <v>9104</v>
      </c>
    </row>
    <row r="3161" spans="11:11" x14ac:dyDescent="0.3">
      <c r="K3161" t="s">
        <v>6848</v>
      </c>
    </row>
    <row r="3162" spans="11:11" x14ac:dyDescent="0.3">
      <c r="K3162" t="s">
        <v>7190</v>
      </c>
    </row>
    <row r="3163" spans="11:11" x14ac:dyDescent="0.3">
      <c r="K3163" t="s">
        <v>10347</v>
      </c>
    </row>
    <row r="3164" spans="11:11" x14ac:dyDescent="0.3">
      <c r="K3164" t="s">
        <v>6054</v>
      </c>
    </row>
    <row r="3165" spans="11:11" x14ac:dyDescent="0.3">
      <c r="K3165" t="s">
        <v>10952</v>
      </c>
    </row>
    <row r="3166" spans="11:11" x14ac:dyDescent="0.3">
      <c r="K3166" t="s">
        <v>8226</v>
      </c>
    </row>
    <row r="3167" spans="11:11" x14ac:dyDescent="0.3">
      <c r="K3167" t="s">
        <v>8228</v>
      </c>
    </row>
    <row r="3168" spans="11:11" x14ac:dyDescent="0.3">
      <c r="K3168" t="s">
        <v>10954</v>
      </c>
    </row>
    <row r="3169" spans="11:11" x14ac:dyDescent="0.3">
      <c r="K3169" t="s">
        <v>10953</v>
      </c>
    </row>
    <row r="3170" spans="11:11" x14ac:dyDescent="0.3">
      <c r="K3170" t="s">
        <v>8229</v>
      </c>
    </row>
    <row r="3171" spans="11:11" x14ac:dyDescent="0.3">
      <c r="K3171" t="s">
        <v>6490</v>
      </c>
    </row>
    <row r="3172" spans="11:11" x14ac:dyDescent="0.3">
      <c r="K3172" t="s">
        <v>6491</v>
      </c>
    </row>
    <row r="3173" spans="11:11" x14ac:dyDescent="0.3">
      <c r="K3173" t="s">
        <v>7109</v>
      </c>
    </row>
    <row r="3174" spans="11:11" x14ac:dyDescent="0.3">
      <c r="K3174" t="s">
        <v>9618</v>
      </c>
    </row>
    <row r="3175" spans="11:11" x14ac:dyDescent="0.3">
      <c r="K3175" t="s">
        <v>7056</v>
      </c>
    </row>
    <row r="3176" spans="11:11" x14ac:dyDescent="0.3">
      <c r="K3176" t="s">
        <v>10348</v>
      </c>
    </row>
    <row r="3177" spans="11:11" x14ac:dyDescent="0.3">
      <c r="K3177" t="s">
        <v>7570</v>
      </c>
    </row>
    <row r="3178" spans="11:11" x14ac:dyDescent="0.3">
      <c r="K3178" t="s">
        <v>9619</v>
      </c>
    </row>
    <row r="3179" spans="11:11" x14ac:dyDescent="0.3">
      <c r="K3179" t="s">
        <v>10349</v>
      </c>
    </row>
    <row r="3180" spans="11:11" x14ac:dyDescent="0.3">
      <c r="K3180" t="s">
        <v>6492</v>
      </c>
    </row>
    <row r="3181" spans="11:11" x14ac:dyDescent="0.3">
      <c r="K3181" t="s">
        <v>10955</v>
      </c>
    </row>
    <row r="3182" spans="11:11" x14ac:dyDescent="0.3">
      <c r="K3182" t="s">
        <v>10956</v>
      </c>
    </row>
    <row r="3183" spans="11:11" x14ac:dyDescent="0.3">
      <c r="K3183" t="s">
        <v>9106</v>
      </c>
    </row>
    <row r="3184" spans="11:11" x14ac:dyDescent="0.3">
      <c r="K3184" t="s">
        <v>6282</v>
      </c>
    </row>
    <row r="3185" spans="11:11" x14ac:dyDescent="0.3">
      <c r="K3185" t="s">
        <v>9960</v>
      </c>
    </row>
    <row r="3186" spans="11:11" x14ac:dyDescent="0.3">
      <c r="K3186" t="s">
        <v>8230</v>
      </c>
    </row>
    <row r="3187" spans="11:11" x14ac:dyDescent="0.3">
      <c r="K3187" t="s">
        <v>6283</v>
      </c>
    </row>
    <row r="3188" spans="11:11" x14ac:dyDescent="0.3">
      <c r="K3188" t="s">
        <v>7571</v>
      </c>
    </row>
    <row r="3189" spans="11:11" x14ac:dyDescent="0.3">
      <c r="K3189" t="s">
        <v>8231</v>
      </c>
    </row>
    <row r="3190" spans="11:11" x14ac:dyDescent="0.3">
      <c r="K3190" t="s">
        <v>9961</v>
      </c>
    </row>
    <row r="3191" spans="11:11" x14ac:dyDescent="0.3">
      <c r="K3191" t="s">
        <v>10350</v>
      </c>
    </row>
    <row r="3192" spans="11:11" x14ac:dyDescent="0.3">
      <c r="K3192" t="s">
        <v>10351</v>
      </c>
    </row>
    <row r="3193" spans="11:11" x14ac:dyDescent="0.3">
      <c r="K3193" t="s">
        <v>6055</v>
      </c>
    </row>
    <row r="3194" spans="11:11" x14ac:dyDescent="0.3">
      <c r="K3194" t="s">
        <v>7572</v>
      </c>
    </row>
    <row r="3195" spans="11:11" x14ac:dyDescent="0.3">
      <c r="K3195" t="s">
        <v>9107</v>
      </c>
    </row>
    <row r="3196" spans="11:11" x14ac:dyDescent="0.3">
      <c r="K3196" t="s">
        <v>10957</v>
      </c>
    </row>
    <row r="3197" spans="11:11" x14ac:dyDescent="0.3">
      <c r="K3197" t="s">
        <v>6645</v>
      </c>
    </row>
    <row r="3198" spans="11:11" x14ac:dyDescent="0.3">
      <c r="K3198" t="s">
        <v>10352</v>
      </c>
    </row>
    <row r="3199" spans="11:11" x14ac:dyDescent="0.3">
      <c r="K3199" t="s">
        <v>9108</v>
      </c>
    </row>
    <row r="3200" spans="11:11" x14ac:dyDescent="0.3">
      <c r="K3200" t="s">
        <v>10958</v>
      </c>
    </row>
    <row r="3201" spans="11:11" x14ac:dyDescent="0.3">
      <c r="K3201" t="s">
        <v>5709</v>
      </c>
    </row>
    <row r="3202" spans="11:11" x14ac:dyDescent="0.3">
      <c r="K3202" t="s">
        <v>5627</v>
      </c>
    </row>
    <row r="3203" spans="11:11" x14ac:dyDescent="0.3">
      <c r="K3203" t="s">
        <v>6493</v>
      </c>
    </row>
    <row r="3204" spans="11:11" x14ac:dyDescent="0.3">
      <c r="K3204" t="s">
        <v>7573</v>
      </c>
    </row>
    <row r="3205" spans="11:11" x14ac:dyDescent="0.3">
      <c r="K3205" t="s">
        <v>10353</v>
      </c>
    </row>
    <row r="3206" spans="11:11" x14ac:dyDescent="0.3">
      <c r="K3206" t="s">
        <v>7574</v>
      </c>
    </row>
    <row r="3207" spans="11:11" x14ac:dyDescent="0.3">
      <c r="K3207" t="s">
        <v>8629</v>
      </c>
    </row>
    <row r="3208" spans="11:11" x14ac:dyDescent="0.3">
      <c r="K3208" t="s">
        <v>10354</v>
      </c>
    </row>
    <row r="3209" spans="11:11" x14ac:dyDescent="0.3">
      <c r="K3209" t="s">
        <v>10355</v>
      </c>
    </row>
    <row r="3210" spans="11:11" x14ac:dyDescent="0.3">
      <c r="K3210" t="s">
        <v>7575</v>
      </c>
    </row>
    <row r="3211" spans="11:11" x14ac:dyDescent="0.3">
      <c r="K3211" t="s">
        <v>6494</v>
      </c>
    </row>
    <row r="3212" spans="11:11" x14ac:dyDescent="0.3">
      <c r="K3212" t="s">
        <v>6849</v>
      </c>
    </row>
    <row r="3213" spans="11:11" x14ac:dyDescent="0.3">
      <c r="K3213" t="s">
        <v>7576</v>
      </c>
    </row>
    <row r="3214" spans="11:11" x14ac:dyDescent="0.3">
      <c r="K3214" t="s">
        <v>10959</v>
      </c>
    </row>
    <row r="3215" spans="11:11" x14ac:dyDescent="0.3">
      <c r="K3215" t="s">
        <v>10637</v>
      </c>
    </row>
    <row r="3216" spans="11:11" x14ac:dyDescent="0.3">
      <c r="K3216" t="s">
        <v>9620</v>
      </c>
    </row>
    <row r="3217" spans="11:11" x14ac:dyDescent="0.3">
      <c r="K3217" t="s">
        <v>8232</v>
      </c>
    </row>
    <row r="3218" spans="11:11" x14ac:dyDescent="0.3">
      <c r="K3218" t="s">
        <v>7577</v>
      </c>
    </row>
    <row r="3219" spans="11:11" x14ac:dyDescent="0.3">
      <c r="K3219" t="s">
        <v>8630</v>
      </c>
    </row>
    <row r="3220" spans="11:11" x14ac:dyDescent="0.3">
      <c r="K3220" t="s">
        <v>7578</v>
      </c>
    </row>
    <row r="3221" spans="11:11" x14ac:dyDescent="0.3">
      <c r="K3221" t="s">
        <v>8631</v>
      </c>
    </row>
    <row r="3222" spans="11:11" x14ac:dyDescent="0.3">
      <c r="K3222" t="s">
        <v>8233</v>
      </c>
    </row>
    <row r="3223" spans="11:11" x14ac:dyDescent="0.3">
      <c r="K3223" t="s">
        <v>7275</v>
      </c>
    </row>
    <row r="3224" spans="11:11" x14ac:dyDescent="0.3">
      <c r="K3224" t="s">
        <v>6284</v>
      </c>
    </row>
    <row r="3225" spans="11:11" x14ac:dyDescent="0.3">
      <c r="K3225" t="s">
        <v>7191</v>
      </c>
    </row>
    <row r="3226" spans="11:11" x14ac:dyDescent="0.3">
      <c r="K3226" t="s">
        <v>5873</v>
      </c>
    </row>
    <row r="3227" spans="11:11" x14ac:dyDescent="0.3">
      <c r="K3227" t="s">
        <v>7579</v>
      </c>
    </row>
    <row r="3228" spans="11:11" x14ac:dyDescent="0.3">
      <c r="K3228" t="s">
        <v>9109</v>
      </c>
    </row>
    <row r="3229" spans="11:11" x14ac:dyDescent="0.3">
      <c r="K3229" t="s">
        <v>7580</v>
      </c>
    </row>
    <row r="3230" spans="11:11" x14ac:dyDescent="0.3">
      <c r="K3230" t="s">
        <v>8234</v>
      </c>
    </row>
    <row r="3231" spans="11:11" x14ac:dyDescent="0.3">
      <c r="K3231" t="s">
        <v>10960</v>
      </c>
    </row>
    <row r="3232" spans="11:11" x14ac:dyDescent="0.3">
      <c r="K3232" t="s">
        <v>8235</v>
      </c>
    </row>
    <row r="3233" spans="11:11" x14ac:dyDescent="0.3">
      <c r="K3233" t="s">
        <v>8236</v>
      </c>
    </row>
    <row r="3234" spans="11:11" x14ac:dyDescent="0.3">
      <c r="K3234" t="s">
        <v>9110</v>
      </c>
    </row>
    <row r="3235" spans="11:11" x14ac:dyDescent="0.3">
      <c r="K3235" t="s">
        <v>8237</v>
      </c>
    </row>
    <row r="3236" spans="11:11" x14ac:dyDescent="0.3">
      <c r="K3236" t="s">
        <v>10356</v>
      </c>
    </row>
    <row r="3237" spans="11:11" x14ac:dyDescent="0.3">
      <c r="K3237" t="s">
        <v>8238</v>
      </c>
    </row>
    <row r="3238" spans="11:11" x14ac:dyDescent="0.3">
      <c r="K3238" t="s">
        <v>9111</v>
      </c>
    </row>
    <row r="3239" spans="11:11" x14ac:dyDescent="0.3">
      <c r="K3239" t="s">
        <v>6646</v>
      </c>
    </row>
    <row r="3240" spans="11:11" x14ac:dyDescent="0.3">
      <c r="K3240" t="s">
        <v>8239</v>
      </c>
    </row>
    <row r="3241" spans="11:11" x14ac:dyDescent="0.3">
      <c r="K3241" t="s">
        <v>8240</v>
      </c>
    </row>
    <row r="3242" spans="11:11" x14ac:dyDescent="0.3">
      <c r="K3242" t="s">
        <v>9112</v>
      </c>
    </row>
    <row r="3243" spans="11:11" x14ac:dyDescent="0.3">
      <c r="K3243" t="s">
        <v>8703</v>
      </c>
    </row>
    <row r="3244" spans="11:11" x14ac:dyDescent="0.3">
      <c r="K3244" t="s">
        <v>5874</v>
      </c>
    </row>
    <row r="3245" spans="11:11" x14ac:dyDescent="0.3">
      <c r="K3245" t="s">
        <v>6850</v>
      </c>
    </row>
    <row r="3246" spans="11:11" x14ac:dyDescent="0.3">
      <c r="K3246" t="s">
        <v>9962</v>
      </c>
    </row>
    <row r="3247" spans="11:11" x14ac:dyDescent="0.3">
      <c r="K3247" t="s">
        <v>10638</v>
      </c>
    </row>
    <row r="3248" spans="11:11" x14ac:dyDescent="0.3">
      <c r="K3248" t="s">
        <v>7057</v>
      </c>
    </row>
    <row r="3249" spans="11:11" x14ac:dyDescent="0.3">
      <c r="K3249" t="s">
        <v>6285</v>
      </c>
    </row>
    <row r="3250" spans="11:11" x14ac:dyDescent="0.3">
      <c r="K3250" t="s">
        <v>9113</v>
      </c>
    </row>
    <row r="3251" spans="11:11" x14ac:dyDescent="0.3">
      <c r="K3251" t="s">
        <v>7581</v>
      </c>
    </row>
    <row r="3252" spans="11:11" x14ac:dyDescent="0.3">
      <c r="K3252" t="s">
        <v>5875</v>
      </c>
    </row>
    <row r="3253" spans="11:11" x14ac:dyDescent="0.3">
      <c r="K3253" t="s">
        <v>8241</v>
      </c>
    </row>
    <row r="3254" spans="11:11" x14ac:dyDescent="0.3">
      <c r="K3254" t="s">
        <v>6851</v>
      </c>
    </row>
    <row r="3255" spans="11:11" x14ac:dyDescent="0.3">
      <c r="K3255" t="s">
        <v>6286</v>
      </c>
    </row>
    <row r="3256" spans="11:11" x14ac:dyDescent="0.3">
      <c r="K3256" t="s">
        <v>10961</v>
      </c>
    </row>
    <row r="3257" spans="11:11" x14ac:dyDescent="0.3">
      <c r="K3257" t="s">
        <v>7276</v>
      </c>
    </row>
    <row r="3258" spans="11:11" x14ac:dyDescent="0.3">
      <c r="K3258" t="s">
        <v>8242</v>
      </c>
    </row>
    <row r="3259" spans="11:11" x14ac:dyDescent="0.3">
      <c r="K3259" t="s">
        <v>10962</v>
      </c>
    </row>
    <row r="3260" spans="11:11" x14ac:dyDescent="0.3">
      <c r="K3260" t="s">
        <v>9114</v>
      </c>
    </row>
    <row r="3261" spans="11:11" x14ac:dyDescent="0.3">
      <c r="K3261" t="s">
        <v>5598</v>
      </c>
    </row>
    <row r="3262" spans="11:11" x14ac:dyDescent="0.3">
      <c r="K3262" t="s">
        <v>9115</v>
      </c>
    </row>
    <row r="3263" spans="11:11" x14ac:dyDescent="0.3">
      <c r="K3263" t="s">
        <v>10357</v>
      </c>
    </row>
    <row r="3264" spans="11:11" x14ac:dyDescent="0.3">
      <c r="K3264" t="s">
        <v>7582</v>
      </c>
    </row>
    <row r="3265" spans="11:11" x14ac:dyDescent="0.3">
      <c r="K3265" t="s">
        <v>8704</v>
      </c>
    </row>
    <row r="3266" spans="11:11" x14ac:dyDescent="0.3">
      <c r="K3266" t="s">
        <v>6056</v>
      </c>
    </row>
    <row r="3267" spans="11:11" x14ac:dyDescent="0.3">
      <c r="K3267" t="s">
        <v>8243</v>
      </c>
    </row>
    <row r="3268" spans="11:11" x14ac:dyDescent="0.3">
      <c r="K3268" t="s">
        <v>10639</v>
      </c>
    </row>
    <row r="3269" spans="11:11" x14ac:dyDescent="0.3">
      <c r="K3269" t="s">
        <v>9116</v>
      </c>
    </row>
    <row r="3270" spans="11:11" x14ac:dyDescent="0.3">
      <c r="K3270" t="s">
        <v>10963</v>
      </c>
    </row>
    <row r="3271" spans="11:11" x14ac:dyDescent="0.3">
      <c r="K3271" t="s">
        <v>6647</v>
      </c>
    </row>
    <row r="3272" spans="11:11" x14ac:dyDescent="0.3">
      <c r="K3272" t="s">
        <v>8705</v>
      </c>
    </row>
    <row r="3273" spans="11:11" x14ac:dyDescent="0.3">
      <c r="K3273" t="s">
        <v>10733</v>
      </c>
    </row>
    <row r="3274" spans="11:11" x14ac:dyDescent="0.3">
      <c r="K3274" t="s">
        <v>10358</v>
      </c>
    </row>
    <row r="3275" spans="11:11" x14ac:dyDescent="0.3">
      <c r="K3275" t="s">
        <v>7583</v>
      </c>
    </row>
    <row r="3276" spans="11:11" x14ac:dyDescent="0.3">
      <c r="K3276" t="s">
        <v>5628</v>
      </c>
    </row>
    <row r="3277" spans="11:11" x14ac:dyDescent="0.3">
      <c r="K3277" t="s">
        <v>10734</v>
      </c>
    </row>
    <row r="3278" spans="11:11" x14ac:dyDescent="0.3">
      <c r="K3278" t="s">
        <v>7277</v>
      </c>
    </row>
    <row r="3279" spans="11:11" x14ac:dyDescent="0.3">
      <c r="K3279" t="s">
        <v>7278</v>
      </c>
    </row>
    <row r="3280" spans="11:11" x14ac:dyDescent="0.3">
      <c r="K3280" t="s">
        <v>7279</v>
      </c>
    </row>
    <row r="3281" spans="11:11" x14ac:dyDescent="0.3">
      <c r="K3281" t="s">
        <v>9621</v>
      </c>
    </row>
    <row r="3282" spans="11:11" x14ac:dyDescent="0.3">
      <c r="K3282" t="s">
        <v>7280</v>
      </c>
    </row>
    <row r="3283" spans="11:11" x14ac:dyDescent="0.3">
      <c r="K3283" t="s">
        <v>6287</v>
      </c>
    </row>
    <row r="3284" spans="11:11" x14ac:dyDescent="0.3">
      <c r="K3284" t="s">
        <v>10735</v>
      </c>
    </row>
    <row r="3285" spans="11:11" x14ac:dyDescent="0.3">
      <c r="K3285" t="s">
        <v>7281</v>
      </c>
    </row>
    <row r="3286" spans="11:11" x14ac:dyDescent="0.3">
      <c r="K3286" t="s">
        <v>6288</v>
      </c>
    </row>
    <row r="3287" spans="11:11" x14ac:dyDescent="0.3">
      <c r="K3287" t="s">
        <v>9622</v>
      </c>
    </row>
    <row r="3288" spans="11:11" x14ac:dyDescent="0.3">
      <c r="K3288" t="s">
        <v>9117</v>
      </c>
    </row>
    <row r="3289" spans="11:11" x14ac:dyDescent="0.3">
      <c r="K3289" t="s">
        <v>10640</v>
      </c>
    </row>
    <row r="3290" spans="11:11" x14ac:dyDescent="0.3">
      <c r="K3290" t="s">
        <v>10359</v>
      </c>
    </row>
    <row r="3291" spans="11:11" x14ac:dyDescent="0.3">
      <c r="K3291" t="s">
        <v>9623</v>
      </c>
    </row>
    <row r="3292" spans="11:11" x14ac:dyDescent="0.3">
      <c r="K3292" t="s">
        <v>10964</v>
      </c>
    </row>
    <row r="3293" spans="11:11" x14ac:dyDescent="0.3">
      <c r="K3293" t="s">
        <v>10641</v>
      </c>
    </row>
    <row r="3294" spans="11:11" x14ac:dyDescent="0.3">
      <c r="K3294" t="s">
        <v>10360</v>
      </c>
    </row>
    <row r="3295" spans="11:11" x14ac:dyDescent="0.3">
      <c r="K3295" t="s">
        <v>10965</v>
      </c>
    </row>
    <row r="3296" spans="11:11" x14ac:dyDescent="0.3">
      <c r="K3296" t="s">
        <v>9624</v>
      </c>
    </row>
    <row r="3297" spans="11:11" x14ac:dyDescent="0.3">
      <c r="K3297" t="s">
        <v>10736</v>
      </c>
    </row>
    <row r="3298" spans="11:11" x14ac:dyDescent="0.3">
      <c r="K3298" t="s">
        <v>10361</v>
      </c>
    </row>
    <row r="3299" spans="11:11" x14ac:dyDescent="0.3">
      <c r="K3299" t="s">
        <v>8244</v>
      </c>
    </row>
    <row r="3300" spans="11:11" x14ac:dyDescent="0.3">
      <c r="K3300" t="s">
        <v>10362</v>
      </c>
    </row>
    <row r="3301" spans="11:11" x14ac:dyDescent="0.3">
      <c r="K3301" t="s">
        <v>5496</v>
      </c>
    </row>
    <row r="3302" spans="11:11" x14ac:dyDescent="0.3">
      <c r="K3302" t="s">
        <v>10740</v>
      </c>
    </row>
    <row r="3303" spans="11:11" x14ac:dyDescent="0.3">
      <c r="K3303" t="s">
        <v>10363</v>
      </c>
    </row>
    <row r="3304" spans="11:11" x14ac:dyDescent="0.3">
      <c r="K3304" t="s">
        <v>9118</v>
      </c>
    </row>
    <row r="3305" spans="11:11" x14ac:dyDescent="0.3">
      <c r="K3305" t="s">
        <v>10741</v>
      </c>
    </row>
    <row r="3306" spans="11:11" x14ac:dyDescent="0.3">
      <c r="K3306" t="s">
        <v>9119</v>
      </c>
    </row>
    <row r="3307" spans="11:11" x14ac:dyDescent="0.3">
      <c r="K3307" t="s">
        <v>7584</v>
      </c>
    </row>
    <row r="3308" spans="11:11" x14ac:dyDescent="0.3">
      <c r="K3308" t="s">
        <v>10364</v>
      </c>
    </row>
    <row r="3309" spans="11:11" x14ac:dyDescent="0.3">
      <c r="K3309" t="s">
        <v>9625</v>
      </c>
    </row>
    <row r="3310" spans="11:11" x14ac:dyDescent="0.3">
      <c r="K3310" t="s">
        <v>9120</v>
      </c>
    </row>
    <row r="3311" spans="11:11" x14ac:dyDescent="0.3">
      <c r="K3311" t="s">
        <v>6057</v>
      </c>
    </row>
    <row r="3312" spans="11:11" x14ac:dyDescent="0.3">
      <c r="K3312" t="s">
        <v>10966</v>
      </c>
    </row>
    <row r="3313" spans="11:11" x14ac:dyDescent="0.3">
      <c r="K3313" t="s">
        <v>6648</v>
      </c>
    </row>
    <row r="3314" spans="11:11" x14ac:dyDescent="0.3">
      <c r="K3314" t="s">
        <v>8245</v>
      </c>
    </row>
    <row r="3315" spans="11:11" x14ac:dyDescent="0.3">
      <c r="K3315" t="s">
        <v>9963</v>
      </c>
    </row>
    <row r="3316" spans="11:11" x14ac:dyDescent="0.3">
      <c r="K3316" t="s">
        <v>5710</v>
      </c>
    </row>
    <row r="3317" spans="11:11" x14ac:dyDescent="0.3">
      <c r="K3317" t="s">
        <v>9627</v>
      </c>
    </row>
    <row r="3318" spans="11:11" x14ac:dyDescent="0.3">
      <c r="K3318" t="s">
        <v>10365</v>
      </c>
    </row>
    <row r="3319" spans="11:11" x14ac:dyDescent="0.3">
      <c r="K3319" t="s">
        <v>9626</v>
      </c>
    </row>
    <row r="3320" spans="11:11" x14ac:dyDescent="0.3">
      <c r="K3320" t="s">
        <v>9121</v>
      </c>
    </row>
    <row r="3321" spans="11:11" x14ac:dyDescent="0.3">
      <c r="K3321" t="s">
        <v>7585</v>
      </c>
    </row>
    <row r="3322" spans="11:11" x14ac:dyDescent="0.3">
      <c r="K3322" t="s">
        <v>9628</v>
      </c>
    </row>
    <row r="3323" spans="11:11" x14ac:dyDescent="0.3">
      <c r="K3323" t="s">
        <v>6852</v>
      </c>
    </row>
    <row r="3324" spans="11:11" x14ac:dyDescent="0.3">
      <c r="K3324" t="s">
        <v>8706</v>
      </c>
    </row>
    <row r="3325" spans="11:11" x14ac:dyDescent="0.3">
      <c r="K3325" t="s">
        <v>10967</v>
      </c>
    </row>
    <row r="3326" spans="11:11" x14ac:dyDescent="0.3">
      <c r="K3326" t="s">
        <v>9122</v>
      </c>
    </row>
    <row r="3327" spans="11:11" x14ac:dyDescent="0.3">
      <c r="K3327" t="s">
        <v>10802</v>
      </c>
    </row>
    <row r="3328" spans="11:11" x14ac:dyDescent="0.3">
      <c r="K3328" t="s">
        <v>9123</v>
      </c>
    </row>
    <row r="3329" spans="11:11" x14ac:dyDescent="0.3">
      <c r="K3329" t="s">
        <v>10366</v>
      </c>
    </row>
    <row r="3330" spans="11:11" x14ac:dyDescent="0.3">
      <c r="K3330" t="s">
        <v>7586</v>
      </c>
    </row>
    <row r="3331" spans="11:11" x14ac:dyDescent="0.3">
      <c r="K3331" t="s">
        <v>10968</v>
      </c>
    </row>
    <row r="3332" spans="11:11" x14ac:dyDescent="0.3">
      <c r="K3332" t="s">
        <v>8707</v>
      </c>
    </row>
    <row r="3333" spans="11:11" x14ac:dyDescent="0.3">
      <c r="K3333" t="s">
        <v>9124</v>
      </c>
    </row>
    <row r="3334" spans="11:11" x14ac:dyDescent="0.3">
      <c r="K3334" t="s">
        <v>6058</v>
      </c>
    </row>
    <row r="3335" spans="11:11" x14ac:dyDescent="0.3">
      <c r="K3335" t="s">
        <v>5711</v>
      </c>
    </row>
    <row r="3336" spans="11:11" x14ac:dyDescent="0.3">
      <c r="K3336" t="s">
        <v>9964</v>
      </c>
    </row>
    <row r="3337" spans="11:11" x14ac:dyDescent="0.3">
      <c r="K3337" t="s">
        <v>7587</v>
      </c>
    </row>
    <row r="3338" spans="11:11" x14ac:dyDescent="0.3">
      <c r="K3338" t="s">
        <v>10738</v>
      </c>
    </row>
    <row r="3339" spans="11:11" x14ac:dyDescent="0.3">
      <c r="K3339" t="s">
        <v>9629</v>
      </c>
    </row>
    <row r="3340" spans="11:11" x14ac:dyDescent="0.3">
      <c r="K3340" t="s">
        <v>8246</v>
      </c>
    </row>
    <row r="3341" spans="11:11" x14ac:dyDescent="0.3">
      <c r="K3341" t="s">
        <v>9630</v>
      </c>
    </row>
    <row r="3342" spans="11:11" x14ac:dyDescent="0.3">
      <c r="K3342" t="s">
        <v>9126</v>
      </c>
    </row>
    <row r="3343" spans="11:11" x14ac:dyDescent="0.3">
      <c r="K3343" t="s">
        <v>5506</v>
      </c>
    </row>
    <row r="3344" spans="11:11" x14ac:dyDescent="0.3">
      <c r="K3344" t="s">
        <v>10803</v>
      </c>
    </row>
    <row r="3345" spans="11:11" x14ac:dyDescent="0.3">
      <c r="K3345" t="s">
        <v>10804</v>
      </c>
    </row>
    <row r="3346" spans="11:11" x14ac:dyDescent="0.3">
      <c r="K3346" t="s">
        <v>8247</v>
      </c>
    </row>
    <row r="3347" spans="11:11" x14ac:dyDescent="0.3">
      <c r="K3347" t="s">
        <v>10805</v>
      </c>
    </row>
    <row r="3348" spans="11:11" x14ac:dyDescent="0.3">
      <c r="K3348" t="s">
        <v>10742</v>
      </c>
    </row>
    <row r="3349" spans="11:11" x14ac:dyDescent="0.3">
      <c r="K3349" t="s">
        <v>10737</v>
      </c>
    </row>
    <row r="3350" spans="11:11" x14ac:dyDescent="0.3">
      <c r="K3350" t="s">
        <v>9127</v>
      </c>
    </row>
    <row r="3351" spans="11:11" x14ac:dyDescent="0.3">
      <c r="K3351" t="s">
        <v>10743</v>
      </c>
    </row>
    <row r="3352" spans="11:11" x14ac:dyDescent="0.3">
      <c r="K3352" t="s">
        <v>9631</v>
      </c>
    </row>
    <row r="3353" spans="11:11" x14ac:dyDescent="0.3">
      <c r="K3353" t="s">
        <v>6059</v>
      </c>
    </row>
    <row r="3354" spans="11:11" x14ac:dyDescent="0.3">
      <c r="K3354" t="s">
        <v>5599</v>
      </c>
    </row>
    <row r="3355" spans="11:11" x14ac:dyDescent="0.3">
      <c r="K3355" t="s">
        <v>6495</v>
      </c>
    </row>
    <row r="3356" spans="11:11" x14ac:dyDescent="0.3">
      <c r="K3356" t="s">
        <v>6853</v>
      </c>
    </row>
    <row r="3357" spans="11:11" x14ac:dyDescent="0.3">
      <c r="K3357" t="s">
        <v>5876</v>
      </c>
    </row>
    <row r="3358" spans="11:11" x14ac:dyDescent="0.3">
      <c r="K3358" t="s">
        <v>10367</v>
      </c>
    </row>
    <row r="3359" spans="11:11" x14ac:dyDescent="0.3">
      <c r="K3359" t="s">
        <v>10368</v>
      </c>
    </row>
    <row r="3360" spans="11:11" x14ac:dyDescent="0.3">
      <c r="K3360" t="s">
        <v>6854</v>
      </c>
    </row>
    <row r="3361" spans="11:11" x14ac:dyDescent="0.3">
      <c r="K3361" t="s">
        <v>10369</v>
      </c>
    </row>
    <row r="3362" spans="11:11" x14ac:dyDescent="0.3">
      <c r="K3362" t="s">
        <v>8248</v>
      </c>
    </row>
    <row r="3363" spans="11:11" x14ac:dyDescent="0.3">
      <c r="K3363" t="s">
        <v>8249</v>
      </c>
    </row>
    <row r="3364" spans="11:11" x14ac:dyDescent="0.3">
      <c r="K3364" t="s">
        <v>9634</v>
      </c>
    </row>
    <row r="3365" spans="11:11" x14ac:dyDescent="0.3">
      <c r="K3365" t="s">
        <v>10370</v>
      </c>
    </row>
    <row r="3366" spans="11:11" x14ac:dyDescent="0.3">
      <c r="K3366" t="s">
        <v>10371</v>
      </c>
    </row>
    <row r="3367" spans="11:11" x14ac:dyDescent="0.3">
      <c r="K3367" t="s">
        <v>7588</v>
      </c>
    </row>
    <row r="3368" spans="11:11" x14ac:dyDescent="0.3">
      <c r="K3368" t="s">
        <v>8250</v>
      </c>
    </row>
    <row r="3369" spans="11:11" x14ac:dyDescent="0.3">
      <c r="K3369" t="s">
        <v>10372</v>
      </c>
    </row>
    <row r="3370" spans="11:11" x14ac:dyDescent="0.3">
      <c r="K3370" t="s">
        <v>10969</v>
      </c>
    </row>
    <row r="3371" spans="11:11" x14ac:dyDescent="0.3">
      <c r="K3371" t="s">
        <v>5877</v>
      </c>
    </row>
    <row r="3372" spans="11:11" x14ac:dyDescent="0.3">
      <c r="K3372" t="s">
        <v>6496</v>
      </c>
    </row>
    <row r="3373" spans="11:11" x14ac:dyDescent="0.3">
      <c r="K3373" t="s">
        <v>9632</v>
      </c>
    </row>
    <row r="3374" spans="11:11" x14ac:dyDescent="0.3">
      <c r="K3374" t="s">
        <v>10739</v>
      </c>
    </row>
    <row r="3375" spans="11:11" x14ac:dyDescent="0.3">
      <c r="K3375" t="s">
        <v>6308</v>
      </c>
    </row>
    <row r="3376" spans="11:11" x14ac:dyDescent="0.3">
      <c r="K3376" t="s">
        <v>10373</v>
      </c>
    </row>
    <row r="3377" spans="11:11" x14ac:dyDescent="0.3">
      <c r="K3377" t="s">
        <v>9633</v>
      </c>
    </row>
    <row r="3378" spans="11:11" x14ac:dyDescent="0.3">
      <c r="K3378" t="s">
        <v>8251</v>
      </c>
    </row>
    <row r="3379" spans="11:11" x14ac:dyDescent="0.3">
      <c r="K3379" t="s">
        <v>7589</v>
      </c>
    </row>
    <row r="3380" spans="11:11" x14ac:dyDescent="0.3">
      <c r="K3380" t="s">
        <v>9635</v>
      </c>
    </row>
    <row r="3381" spans="11:11" x14ac:dyDescent="0.3">
      <c r="K3381" t="s">
        <v>5712</v>
      </c>
    </row>
    <row r="3382" spans="11:11" x14ac:dyDescent="0.3">
      <c r="K3382" t="s">
        <v>9965</v>
      </c>
    </row>
    <row r="3383" spans="11:11" x14ac:dyDescent="0.3">
      <c r="K3383" t="s">
        <v>10744</v>
      </c>
    </row>
    <row r="3384" spans="11:11" x14ac:dyDescent="0.3">
      <c r="K3384" t="s">
        <v>8144</v>
      </c>
    </row>
    <row r="3385" spans="11:11" x14ac:dyDescent="0.3">
      <c r="K3385" t="s">
        <v>5523</v>
      </c>
    </row>
    <row r="3386" spans="11:11" x14ac:dyDescent="0.3">
      <c r="K3386" t="s">
        <v>8632</v>
      </c>
    </row>
    <row r="3387" spans="11:11" x14ac:dyDescent="0.3">
      <c r="K3387" t="s">
        <v>10970</v>
      </c>
    </row>
    <row r="3388" spans="11:11" x14ac:dyDescent="0.3">
      <c r="K3388" t="s">
        <v>9966</v>
      </c>
    </row>
    <row r="3389" spans="11:11" x14ac:dyDescent="0.3">
      <c r="K3389" t="s">
        <v>7590</v>
      </c>
    </row>
    <row r="3390" spans="11:11" x14ac:dyDescent="0.3">
      <c r="K3390" t="s">
        <v>10745</v>
      </c>
    </row>
    <row r="3391" spans="11:11" x14ac:dyDescent="0.3">
      <c r="K3391" t="s">
        <v>9125</v>
      </c>
    </row>
    <row r="3392" spans="11:11" x14ac:dyDescent="0.3">
      <c r="K3392" t="s">
        <v>5878</v>
      </c>
    </row>
    <row r="3393" spans="11:11" x14ac:dyDescent="0.3">
      <c r="K3393" t="s">
        <v>5600</v>
      </c>
    </row>
    <row r="3394" spans="11:11" x14ac:dyDescent="0.3">
      <c r="K3394" t="s">
        <v>5879</v>
      </c>
    </row>
    <row r="3395" spans="11:11" x14ac:dyDescent="0.3">
      <c r="K3395" t="s">
        <v>5601</v>
      </c>
    </row>
    <row r="3396" spans="11:11" x14ac:dyDescent="0.3">
      <c r="K3396" t="s">
        <v>10379</v>
      </c>
    </row>
    <row r="3397" spans="11:11" x14ac:dyDescent="0.3">
      <c r="K3397" t="s">
        <v>10971</v>
      </c>
    </row>
    <row r="3398" spans="11:11" x14ac:dyDescent="0.3">
      <c r="K3398" t="s">
        <v>10374</v>
      </c>
    </row>
    <row r="3399" spans="11:11" x14ac:dyDescent="0.3">
      <c r="K3399" t="s">
        <v>8252</v>
      </c>
    </row>
    <row r="3400" spans="11:11" x14ac:dyDescent="0.3">
      <c r="K3400" t="s">
        <v>10972</v>
      </c>
    </row>
    <row r="3401" spans="11:11" x14ac:dyDescent="0.3">
      <c r="K3401" t="s">
        <v>10375</v>
      </c>
    </row>
    <row r="3402" spans="11:11" x14ac:dyDescent="0.3">
      <c r="K3402" t="s">
        <v>10747</v>
      </c>
    </row>
    <row r="3403" spans="11:11" x14ac:dyDescent="0.3">
      <c r="K3403" t="s">
        <v>5511</v>
      </c>
    </row>
    <row r="3404" spans="11:11" x14ac:dyDescent="0.3">
      <c r="K3404" t="s">
        <v>10642</v>
      </c>
    </row>
    <row r="3405" spans="11:11" x14ac:dyDescent="0.3">
      <c r="K3405" t="s">
        <v>7591</v>
      </c>
    </row>
    <row r="3406" spans="11:11" x14ac:dyDescent="0.3">
      <c r="K3406" t="s">
        <v>9967</v>
      </c>
    </row>
    <row r="3407" spans="11:11" x14ac:dyDescent="0.3">
      <c r="K3407" t="s">
        <v>9128</v>
      </c>
    </row>
    <row r="3408" spans="11:11" x14ac:dyDescent="0.3">
      <c r="K3408" t="s">
        <v>9636</v>
      </c>
    </row>
    <row r="3409" spans="11:11" x14ac:dyDescent="0.3">
      <c r="K3409" t="s">
        <v>5880</v>
      </c>
    </row>
    <row r="3410" spans="11:11" x14ac:dyDescent="0.3">
      <c r="K3410" t="s">
        <v>7192</v>
      </c>
    </row>
    <row r="3411" spans="11:11" x14ac:dyDescent="0.3">
      <c r="K3411" t="s">
        <v>10376</v>
      </c>
    </row>
    <row r="3412" spans="11:11" x14ac:dyDescent="0.3">
      <c r="K3412" t="s">
        <v>10746</v>
      </c>
    </row>
    <row r="3413" spans="11:11" x14ac:dyDescent="0.3">
      <c r="K3413" t="s">
        <v>8253</v>
      </c>
    </row>
    <row r="3414" spans="11:11" x14ac:dyDescent="0.3">
      <c r="K3414" t="s">
        <v>6289</v>
      </c>
    </row>
    <row r="3415" spans="11:11" x14ac:dyDescent="0.3">
      <c r="K3415" t="s">
        <v>6497</v>
      </c>
    </row>
    <row r="3416" spans="11:11" x14ac:dyDescent="0.3">
      <c r="K3416" t="s">
        <v>10973</v>
      </c>
    </row>
    <row r="3417" spans="11:11" x14ac:dyDescent="0.3">
      <c r="K3417" t="s">
        <v>5713</v>
      </c>
    </row>
    <row r="3418" spans="11:11" x14ac:dyDescent="0.3">
      <c r="K3418" t="s">
        <v>5714</v>
      </c>
    </row>
    <row r="3419" spans="11:11" x14ac:dyDescent="0.3">
      <c r="K3419" t="s">
        <v>10751</v>
      </c>
    </row>
    <row r="3420" spans="11:11" x14ac:dyDescent="0.3">
      <c r="K3420" t="s">
        <v>6290</v>
      </c>
    </row>
    <row r="3421" spans="11:11" x14ac:dyDescent="0.3">
      <c r="K3421" t="s">
        <v>10748</v>
      </c>
    </row>
    <row r="3422" spans="11:11" x14ac:dyDescent="0.3">
      <c r="K3422" t="s">
        <v>10377</v>
      </c>
    </row>
    <row r="3423" spans="11:11" x14ac:dyDescent="0.3">
      <c r="K3423" t="s">
        <v>7592</v>
      </c>
    </row>
    <row r="3424" spans="11:11" x14ac:dyDescent="0.3">
      <c r="K3424" t="s">
        <v>10378</v>
      </c>
    </row>
    <row r="3425" spans="11:11" x14ac:dyDescent="0.3">
      <c r="K3425" t="s">
        <v>8254</v>
      </c>
    </row>
    <row r="3426" spans="11:11" x14ac:dyDescent="0.3">
      <c r="K3426" t="s">
        <v>9129</v>
      </c>
    </row>
    <row r="3427" spans="11:11" x14ac:dyDescent="0.3">
      <c r="K3427" t="s">
        <v>5715</v>
      </c>
    </row>
    <row r="3428" spans="11:11" x14ac:dyDescent="0.3">
      <c r="K3428" t="s">
        <v>6498</v>
      </c>
    </row>
    <row r="3429" spans="11:11" x14ac:dyDescent="0.3">
      <c r="K3429" t="s">
        <v>9130</v>
      </c>
    </row>
    <row r="3430" spans="11:11" x14ac:dyDescent="0.3">
      <c r="K3430" t="s">
        <v>5716</v>
      </c>
    </row>
    <row r="3431" spans="11:11" x14ac:dyDescent="0.3">
      <c r="K3431" t="s">
        <v>6291</v>
      </c>
    </row>
    <row r="3432" spans="11:11" x14ac:dyDescent="0.3">
      <c r="K3432" t="s">
        <v>5788</v>
      </c>
    </row>
    <row r="3433" spans="11:11" x14ac:dyDescent="0.3">
      <c r="K3433" t="s">
        <v>8255</v>
      </c>
    </row>
    <row r="3434" spans="11:11" x14ac:dyDescent="0.3">
      <c r="K3434" t="s">
        <v>9131</v>
      </c>
    </row>
    <row r="3435" spans="11:11" x14ac:dyDescent="0.3">
      <c r="K3435" t="s">
        <v>6060</v>
      </c>
    </row>
    <row r="3436" spans="11:11" x14ac:dyDescent="0.3">
      <c r="K3436" t="s">
        <v>7193</v>
      </c>
    </row>
    <row r="3437" spans="11:11" x14ac:dyDescent="0.3">
      <c r="K3437" t="s">
        <v>7194</v>
      </c>
    </row>
    <row r="3438" spans="11:11" x14ac:dyDescent="0.3">
      <c r="K3438" t="s">
        <v>6292</v>
      </c>
    </row>
    <row r="3439" spans="11:11" x14ac:dyDescent="0.3">
      <c r="K3439" t="s">
        <v>7195</v>
      </c>
    </row>
    <row r="3440" spans="11:11" x14ac:dyDescent="0.3">
      <c r="K3440" t="s">
        <v>6855</v>
      </c>
    </row>
    <row r="3441" spans="11:11" x14ac:dyDescent="0.3">
      <c r="K3441" t="s">
        <v>6649</v>
      </c>
    </row>
    <row r="3442" spans="11:11" x14ac:dyDescent="0.3">
      <c r="K3442" t="s">
        <v>8256</v>
      </c>
    </row>
    <row r="3443" spans="11:11" x14ac:dyDescent="0.3">
      <c r="K3443" t="s">
        <v>9132</v>
      </c>
    </row>
    <row r="3444" spans="11:11" x14ac:dyDescent="0.3">
      <c r="K3444" t="s">
        <v>8257</v>
      </c>
    </row>
    <row r="3445" spans="11:11" x14ac:dyDescent="0.3">
      <c r="K3445" t="s">
        <v>6061</v>
      </c>
    </row>
    <row r="3446" spans="11:11" x14ac:dyDescent="0.3">
      <c r="K3446" t="s">
        <v>7058</v>
      </c>
    </row>
    <row r="3447" spans="11:11" x14ac:dyDescent="0.3">
      <c r="K3447" t="s">
        <v>7593</v>
      </c>
    </row>
    <row r="3448" spans="11:11" x14ac:dyDescent="0.3">
      <c r="K3448" t="s">
        <v>6856</v>
      </c>
    </row>
    <row r="3449" spans="11:11" x14ac:dyDescent="0.3">
      <c r="K3449" t="s">
        <v>5881</v>
      </c>
    </row>
    <row r="3450" spans="11:11" x14ac:dyDescent="0.3">
      <c r="K3450" t="s">
        <v>7594</v>
      </c>
    </row>
    <row r="3451" spans="11:11" x14ac:dyDescent="0.3">
      <c r="K3451" t="s">
        <v>8259</v>
      </c>
    </row>
    <row r="3452" spans="11:11" x14ac:dyDescent="0.3">
      <c r="K3452" t="s">
        <v>8258</v>
      </c>
    </row>
    <row r="3453" spans="11:11" x14ac:dyDescent="0.3">
      <c r="K3453" t="s">
        <v>7196</v>
      </c>
    </row>
    <row r="3454" spans="11:11" x14ac:dyDescent="0.3">
      <c r="K3454" t="s">
        <v>8260</v>
      </c>
    </row>
    <row r="3455" spans="11:11" x14ac:dyDescent="0.3">
      <c r="K3455" t="s">
        <v>9133</v>
      </c>
    </row>
    <row r="3456" spans="11:11" x14ac:dyDescent="0.3">
      <c r="K3456" t="s">
        <v>8261</v>
      </c>
    </row>
    <row r="3457" spans="11:11" x14ac:dyDescent="0.3">
      <c r="K3457" t="s">
        <v>9134</v>
      </c>
    </row>
    <row r="3458" spans="11:11" x14ac:dyDescent="0.3">
      <c r="K3458" t="s">
        <v>9135</v>
      </c>
    </row>
    <row r="3459" spans="11:11" x14ac:dyDescent="0.3">
      <c r="K3459" t="s">
        <v>5717</v>
      </c>
    </row>
    <row r="3460" spans="11:11" x14ac:dyDescent="0.3">
      <c r="K3460" t="s">
        <v>8262</v>
      </c>
    </row>
    <row r="3461" spans="11:11" x14ac:dyDescent="0.3">
      <c r="K3461" t="s">
        <v>10974</v>
      </c>
    </row>
    <row r="3462" spans="11:11" x14ac:dyDescent="0.3">
      <c r="K3462" t="s">
        <v>9136</v>
      </c>
    </row>
    <row r="3463" spans="11:11" x14ac:dyDescent="0.3">
      <c r="K3463" t="s">
        <v>9968</v>
      </c>
    </row>
    <row r="3464" spans="11:11" x14ac:dyDescent="0.3">
      <c r="K3464" t="s">
        <v>7059</v>
      </c>
    </row>
    <row r="3465" spans="11:11" x14ac:dyDescent="0.3">
      <c r="K3465" t="s">
        <v>7060</v>
      </c>
    </row>
    <row r="3466" spans="11:11" x14ac:dyDescent="0.3">
      <c r="K3466" t="s">
        <v>6499</v>
      </c>
    </row>
    <row r="3467" spans="11:11" x14ac:dyDescent="0.3">
      <c r="K3467" t="s">
        <v>9637</v>
      </c>
    </row>
    <row r="3468" spans="11:11" x14ac:dyDescent="0.3">
      <c r="K3468" t="s">
        <v>9137</v>
      </c>
    </row>
    <row r="3469" spans="11:11" x14ac:dyDescent="0.3">
      <c r="K3469" t="s">
        <v>9138</v>
      </c>
    </row>
    <row r="3470" spans="11:11" x14ac:dyDescent="0.3">
      <c r="K3470" t="s">
        <v>10380</v>
      </c>
    </row>
    <row r="3471" spans="11:11" x14ac:dyDescent="0.3">
      <c r="K3471" t="s">
        <v>9139</v>
      </c>
    </row>
    <row r="3472" spans="11:11" x14ac:dyDescent="0.3">
      <c r="K3472" t="s">
        <v>9969</v>
      </c>
    </row>
    <row r="3473" spans="11:11" x14ac:dyDescent="0.3">
      <c r="K3473" t="s">
        <v>5718</v>
      </c>
    </row>
    <row r="3474" spans="11:11" x14ac:dyDescent="0.3">
      <c r="K3474" t="s">
        <v>7595</v>
      </c>
    </row>
    <row r="3475" spans="11:11" x14ac:dyDescent="0.3">
      <c r="K3475" t="s">
        <v>7061</v>
      </c>
    </row>
    <row r="3476" spans="11:11" x14ac:dyDescent="0.3">
      <c r="K3476" t="s">
        <v>5719</v>
      </c>
    </row>
    <row r="3477" spans="11:11" x14ac:dyDescent="0.3">
      <c r="K3477" t="s">
        <v>9140</v>
      </c>
    </row>
    <row r="3478" spans="11:11" x14ac:dyDescent="0.3">
      <c r="K3478" t="s">
        <v>9638</v>
      </c>
    </row>
    <row r="3479" spans="11:11" x14ac:dyDescent="0.3">
      <c r="K3479" t="s">
        <v>7197</v>
      </c>
    </row>
    <row r="3480" spans="11:11" x14ac:dyDescent="0.3">
      <c r="K3480" t="s">
        <v>8263</v>
      </c>
    </row>
    <row r="3481" spans="11:11" x14ac:dyDescent="0.3">
      <c r="K3481" t="s">
        <v>6650</v>
      </c>
    </row>
    <row r="3482" spans="11:11" x14ac:dyDescent="0.3">
      <c r="K3482" t="s">
        <v>8264</v>
      </c>
    </row>
    <row r="3483" spans="11:11" x14ac:dyDescent="0.3">
      <c r="K3483" t="s">
        <v>5497</v>
      </c>
    </row>
    <row r="3484" spans="11:11" x14ac:dyDescent="0.3">
      <c r="K3484" t="s">
        <v>8265</v>
      </c>
    </row>
    <row r="3485" spans="11:11" x14ac:dyDescent="0.3">
      <c r="K3485" t="s">
        <v>6857</v>
      </c>
    </row>
    <row r="3486" spans="11:11" x14ac:dyDescent="0.3">
      <c r="K3486" t="s">
        <v>10975</v>
      </c>
    </row>
    <row r="3487" spans="11:11" x14ac:dyDescent="0.3">
      <c r="K3487" t="s">
        <v>8266</v>
      </c>
    </row>
    <row r="3488" spans="11:11" x14ac:dyDescent="0.3">
      <c r="K3488" t="s">
        <v>9639</v>
      </c>
    </row>
    <row r="3489" spans="11:11" x14ac:dyDescent="0.3">
      <c r="K3489" t="s">
        <v>9971</v>
      </c>
    </row>
    <row r="3490" spans="11:11" x14ac:dyDescent="0.3">
      <c r="K3490" t="s">
        <v>9142</v>
      </c>
    </row>
    <row r="3491" spans="11:11" x14ac:dyDescent="0.3">
      <c r="K3491" t="s">
        <v>9970</v>
      </c>
    </row>
    <row r="3492" spans="11:11" x14ac:dyDescent="0.3">
      <c r="K3492" t="s">
        <v>9141</v>
      </c>
    </row>
    <row r="3493" spans="11:11" x14ac:dyDescent="0.3">
      <c r="K3493" t="s">
        <v>7596</v>
      </c>
    </row>
    <row r="3494" spans="11:11" x14ac:dyDescent="0.3">
      <c r="K3494" t="s">
        <v>10976</v>
      </c>
    </row>
    <row r="3495" spans="11:11" x14ac:dyDescent="0.3">
      <c r="K3495" t="s">
        <v>9143</v>
      </c>
    </row>
    <row r="3496" spans="11:11" x14ac:dyDescent="0.3">
      <c r="K3496" t="s">
        <v>5720</v>
      </c>
    </row>
    <row r="3497" spans="11:11" x14ac:dyDescent="0.3">
      <c r="K3497" t="s">
        <v>6500</v>
      </c>
    </row>
    <row r="3498" spans="11:11" x14ac:dyDescent="0.3">
      <c r="K3498" t="s">
        <v>5629</v>
      </c>
    </row>
    <row r="3499" spans="11:11" x14ac:dyDescent="0.3">
      <c r="K3499" t="s">
        <v>6501</v>
      </c>
    </row>
    <row r="3500" spans="11:11" x14ac:dyDescent="0.3">
      <c r="K3500" t="s">
        <v>7282</v>
      </c>
    </row>
    <row r="3501" spans="11:11" x14ac:dyDescent="0.3">
      <c r="K3501" t="s">
        <v>6062</v>
      </c>
    </row>
    <row r="3502" spans="11:11" x14ac:dyDescent="0.3">
      <c r="K3502" t="s">
        <v>6502</v>
      </c>
    </row>
    <row r="3503" spans="11:11" x14ac:dyDescent="0.3">
      <c r="K3503" t="s">
        <v>6503</v>
      </c>
    </row>
    <row r="3504" spans="11:11" x14ac:dyDescent="0.3">
      <c r="K3504" t="s">
        <v>10977</v>
      </c>
    </row>
    <row r="3505" spans="11:11" x14ac:dyDescent="0.3">
      <c r="K3505" t="s">
        <v>8267</v>
      </c>
    </row>
    <row r="3506" spans="11:11" x14ac:dyDescent="0.3">
      <c r="K3506" t="s">
        <v>6293</v>
      </c>
    </row>
    <row r="3507" spans="11:11" x14ac:dyDescent="0.3">
      <c r="K3507" t="s">
        <v>8268</v>
      </c>
    </row>
    <row r="3508" spans="11:11" x14ac:dyDescent="0.3">
      <c r="K3508" t="s">
        <v>6294</v>
      </c>
    </row>
    <row r="3509" spans="11:11" x14ac:dyDescent="0.3">
      <c r="K3509" t="s">
        <v>8271</v>
      </c>
    </row>
    <row r="3510" spans="11:11" x14ac:dyDescent="0.3">
      <c r="K3510" t="s">
        <v>9972</v>
      </c>
    </row>
    <row r="3511" spans="11:11" x14ac:dyDescent="0.3">
      <c r="K3511" t="s">
        <v>9640</v>
      </c>
    </row>
    <row r="3512" spans="11:11" x14ac:dyDescent="0.3">
      <c r="K3512" t="s">
        <v>10381</v>
      </c>
    </row>
    <row r="3513" spans="11:11" x14ac:dyDescent="0.3">
      <c r="K3513" t="s">
        <v>8269</v>
      </c>
    </row>
    <row r="3514" spans="11:11" x14ac:dyDescent="0.3">
      <c r="K3514" t="s">
        <v>9973</v>
      </c>
    </row>
    <row r="3515" spans="11:11" x14ac:dyDescent="0.3">
      <c r="K3515" t="s">
        <v>8270</v>
      </c>
    </row>
    <row r="3516" spans="11:11" x14ac:dyDescent="0.3">
      <c r="K3516" t="s">
        <v>8272</v>
      </c>
    </row>
    <row r="3517" spans="11:11" x14ac:dyDescent="0.3">
      <c r="K3517" t="s">
        <v>6295</v>
      </c>
    </row>
    <row r="3518" spans="11:11" x14ac:dyDescent="0.3">
      <c r="K3518" t="s">
        <v>10978</v>
      </c>
    </row>
    <row r="3519" spans="11:11" x14ac:dyDescent="0.3">
      <c r="K3519" t="s">
        <v>5721</v>
      </c>
    </row>
    <row r="3520" spans="11:11" x14ac:dyDescent="0.3">
      <c r="K3520" t="s">
        <v>7198</v>
      </c>
    </row>
    <row r="3521" spans="11:11" x14ac:dyDescent="0.3">
      <c r="K3521" t="s">
        <v>9144</v>
      </c>
    </row>
    <row r="3522" spans="11:11" x14ac:dyDescent="0.3">
      <c r="K3522" t="s">
        <v>6504</v>
      </c>
    </row>
    <row r="3523" spans="11:11" x14ac:dyDescent="0.3">
      <c r="K3523" t="s">
        <v>9974</v>
      </c>
    </row>
    <row r="3524" spans="11:11" x14ac:dyDescent="0.3">
      <c r="K3524" t="s">
        <v>9975</v>
      </c>
    </row>
    <row r="3525" spans="11:11" x14ac:dyDescent="0.3">
      <c r="K3525" t="s">
        <v>8273</v>
      </c>
    </row>
    <row r="3526" spans="11:11" x14ac:dyDescent="0.3">
      <c r="K3526" t="s">
        <v>6505</v>
      </c>
    </row>
    <row r="3527" spans="11:11" x14ac:dyDescent="0.3">
      <c r="K3527" t="s">
        <v>10382</v>
      </c>
    </row>
    <row r="3528" spans="11:11" x14ac:dyDescent="0.3">
      <c r="K3528" t="s">
        <v>9145</v>
      </c>
    </row>
    <row r="3529" spans="11:11" x14ac:dyDescent="0.3">
      <c r="K3529" t="s">
        <v>7062</v>
      </c>
    </row>
    <row r="3530" spans="11:11" x14ac:dyDescent="0.3">
      <c r="K3530" t="s">
        <v>7597</v>
      </c>
    </row>
    <row r="3531" spans="11:11" x14ac:dyDescent="0.3">
      <c r="K3531" t="s">
        <v>9641</v>
      </c>
    </row>
    <row r="3532" spans="11:11" x14ac:dyDescent="0.3">
      <c r="K3532" t="s">
        <v>5926</v>
      </c>
    </row>
    <row r="3533" spans="11:11" x14ac:dyDescent="0.3">
      <c r="K3533" t="s">
        <v>9146</v>
      </c>
    </row>
    <row r="3534" spans="11:11" x14ac:dyDescent="0.3">
      <c r="K3534" t="s">
        <v>10383</v>
      </c>
    </row>
    <row r="3535" spans="11:11" x14ac:dyDescent="0.3">
      <c r="K3535" t="s">
        <v>6296</v>
      </c>
    </row>
    <row r="3536" spans="11:11" x14ac:dyDescent="0.3">
      <c r="K3536" t="s">
        <v>7199</v>
      </c>
    </row>
    <row r="3537" spans="11:11" x14ac:dyDescent="0.3">
      <c r="K3537" t="s">
        <v>9642</v>
      </c>
    </row>
    <row r="3538" spans="11:11" x14ac:dyDescent="0.3">
      <c r="K3538" t="s">
        <v>9976</v>
      </c>
    </row>
    <row r="3539" spans="11:11" x14ac:dyDescent="0.3">
      <c r="K3539" t="s">
        <v>6297</v>
      </c>
    </row>
    <row r="3540" spans="11:11" x14ac:dyDescent="0.3">
      <c r="K3540" t="s">
        <v>6063</v>
      </c>
    </row>
    <row r="3541" spans="11:11" x14ac:dyDescent="0.3">
      <c r="K3541" t="s">
        <v>5882</v>
      </c>
    </row>
    <row r="3542" spans="11:11" x14ac:dyDescent="0.3">
      <c r="K3542" t="s">
        <v>10979</v>
      </c>
    </row>
    <row r="3543" spans="11:11" x14ac:dyDescent="0.3">
      <c r="K3543" t="s">
        <v>5872</v>
      </c>
    </row>
    <row r="3544" spans="11:11" x14ac:dyDescent="0.3">
      <c r="K3544" t="s">
        <v>7598</v>
      </c>
    </row>
    <row r="3545" spans="11:11" x14ac:dyDescent="0.3">
      <c r="K3545" t="s">
        <v>7063</v>
      </c>
    </row>
    <row r="3546" spans="11:11" x14ac:dyDescent="0.3">
      <c r="K3546" t="s">
        <v>5883</v>
      </c>
    </row>
    <row r="3547" spans="11:11" x14ac:dyDescent="0.3">
      <c r="K3547" t="s">
        <v>10980</v>
      </c>
    </row>
    <row r="3548" spans="11:11" x14ac:dyDescent="0.3">
      <c r="K3548" t="s">
        <v>10981</v>
      </c>
    </row>
    <row r="3549" spans="11:11" x14ac:dyDescent="0.3">
      <c r="K3549" t="s">
        <v>9643</v>
      </c>
    </row>
    <row r="3550" spans="11:11" x14ac:dyDescent="0.3">
      <c r="K3550" t="s">
        <v>9147</v>
      </c>
    </row>
    <row r="3551" spans="11:11" x14ac:dyDescent="0.3">
      <c r="K3551" t="s">
        <v>10384</v>
      </c>
    </row>
    <row r="3552" spans="11:11" x14ac:dyDescent="0.3">
      <c r="K3552" t="s">
        <v>9977</v>
      </c>
    </row>
    <row r="3553" spans="11:11" x14ac:dyDescent="0.3">
      <c r="K3553" t="s">
        <v>8274</v>
      </c>
    </row>
    <row r="3554" spans="11:11" x14ac:dyDescent="0.3">
      <c r="K3554" t="s">
        <v>9644</v>
      </c>
    </row>
    <row r="3555" spans="11:11" x14ac:dyDescent="0.3">
      <c r="K3555" t="s">
        <v>10982</v>
      </c>
    </row>
    <row r="3556" spans="11:11" x14ac:dyDescent="0.3">
      <c r="K3556" t="s">
        <v>10385</v>
      </c>
    </row>
    <row r="3557" spans="11:11" x14ac:dyDescent="0.3">
      <c r="K3557" t="s">
        <v>8633</v>
      </c>
    </row>
    <row r="3558" spans="11:11" x14ac:dyDescent="0.3">
      <c r="K3558" t="s">
        <v>7064</v>
      </c>
    </row>
    <row r="3559" spans="11:11" x14ac:dyDescent="0.3">
      <c r="K3559" t="s">
        <v>9148</v>
      </c>
    </row>
    <row r="3560" spans="11:11" x14ac:dyDescent="0.3">
      <c r="K3560" t="s">
        <v>10386</v>
      </c>
    </row>
    <row r="3561" spans="11:11" x14ac:dyDescent="0.3">
      <c r="K3561" t="s">
        <v>7200</v>
      </c>
    </row>
    <row r="3562" spans="11:11" x14ac:dyDescent="0.3">
      <c r="K3562" t="s">
        <v>8275</v>
      </c>
    </row>
    <row r="3563" spans="11:11" x14ac:dyDescent="0.3">
      <c r="K3563" t="s">
        <v>9978</v>
      </c>
    </row>
    <row r="3564" spans="11:11" x14ac:dyDescent="0.3">
      <c r="K3564" t="s">
        <v>6298</v>
      </c>
    </row>
    <row r="3565" spans="11:11" x14ac:dyDescent="0.3">
      <c r="K3565" t="s">
        <v>8277</v>
      </c>
    </row>
    <row r="3566" spans="11:11" x14ac:dyDescent="0.3">
      <c r="K3566" t="s">
        <v>8708</v>
      </c>
    </row>
    <row r="3567" spans="11:11" x14ac:dyDescent="0.3">
      <c r="K3567" t="s">
        <v>8276</v>
      </c>
    </row>
    <row r="3568" spans="11:11" x14ac:dyDescent="0.3">
      <c r="K3568" t="s">
        <v>6506</v>
      </c>
    </row>
    <row r="3569" spans="11:11" x14ac:dyDescent="0.3">
      <c r="K3569" t="s">
        <v>5722</v>
      </c>
    </row>
    <row r="3570" spans="11:11" x14ac:dyDescent="0.3">
      <c r="K3570" t="s">
        <v>9149</v>
      </c>
    </row>
    <row r="3571" spans="11:11" x14ac:dyDescent="0.3">
      <c r="K3571" t="s">
        <v>8278</v>
      </c>
    </row>
    <row r="3572" spans="11:11" x14ac:dyDescent="0.3">
      <c r="K3572" t="s">
        <v>10387</v>
      </c>
    </row>
    <row r="3573" spans="11:11" x14ac:dyDescent="0.3">
      <c r="K3573" t="s">
        <v>8709</v>
      </c>
    </row>
    <row r="3574" spans="11:11" x14ac:dyDescent="0.3">
      <c r="K3574" t="s">
        <v>6064</v>
      </c>
    </row>
    <row r="3575" spans="11:11" x14ac:dyDescent="0.3">
      <c r="K3575" t="s">
        <v>9150</v>
      </c>
    </row>
    <row r="3576" spans="11:11" x14ac:dyDescent="0.3">
      <c r="K3576" t="s">
        <v>6507</v>
      </c>
    </row>
    <row r="3577" spans="11:11" x14ac:dyDescent="0.3">
      <c r="K3577" t="s">
        <v>10643</v>
      </c>
    </row>
    <row r="3578" spans="11:11" x14ac:dyDescent="0.3">
      <c r="K3578" t="s">
        <v>9645</v>
      </c>
    </row>
    <row r="3579" spans="11:11" x14ac:dyDescent="0.3">
      <c r="K3579" t="s">
        <v>10388</v>
      </c>
    </row>
    <row r="3580" spans="11:11" x14ac:dyDescent="0.3">
      <c r="K3580" t="s">
        <v>5884</v>
      </c>
    </row>
    <row r="3581" spans="11:11" x14ac:dyDescent="0.3">
      <c r="K3581" t="s">
        <v>9979</v>
      </c>
    </row>
    <row r="3582" spans="11:11" x14ac:dyDescent="0.3">
      <c r="K3582" t="s">
        <v>9151</v>
      </c>
    </row>
    <row r="3583" spans="11:11" x14ac:dyDescent="0.3">
      <c r="K3583" t="s">
        <v>8279</v>
      </c>
    </row>
    <row r="3584" spans="11:11" x14ac:dyDescent="0.3">
      <c r="K3584" t="s">
        <v>6508</v>
      </c>
    </row>
    <row r="3585" spans="11:11" x14ac:dyDescent="0.3">
      <c r="K3585" t="s">
        <v>7599</v>
      </c>
    </row>
    <row r="3586" spans="11:11" x14ac:dyDescent="0.3">
      <c r="K3586" t="s">
        <v>6509</v>
      </c>
    </row>
    <row r="3587" spans="11:11" x14ac:dyDescent="0.3">
      <c r="K3587" t="s">
        <v>6651</v>
      </c>
    </row>
    <row r="3588" spans="11:11" x14ac:dyDescent="0.3">
      <c r="K3588" t="s">
        <v>5885</v>
      </c>
    </row>
    <row r="3589" spans="11:11" x14ac:dyDescent="0.3">
      <c r="K3589" t="s">
        <v>9646</v>
      </c>
    </row>
    <row r="3590" spans="11:11" x14ac:dyDescent="0.3">
      <c r="K3590" t="s">
        <v>9647</v>
      </c>
    </row>
    <row r="3591" spans="11:11" x14ac:dyDescent="0.3">
      <c r="K3591" t="s">
        <v>10644</v>
      </c>
    </row>
    <row r="3592" spans="11:11" x14ac:dyDescent="0.3">
      <c r="K3592" t="s">
        <v>10983</v>
      </c>
    </row>
    <row r="3593" spans="11:11" x14ac:dyDescent="0.3">
      <c r="K3593" t="s">
        <v>10749</v>
      </c>
    </row>
    <row r="3594" spans="11:11" x14ac:dyDescent="0.3">
      <c r="K3594" t="s">
        <v>9152</v>
      </c>
    </row>
    <row r="3595" spans="11:11" x14ac:dyDescent="0.3">
      <c r="K3595" t="s">
        <v>9648</v>
      </c>
    </row>
    <row r="3596" spans="11:11" x14ac:dyDescent="0.3">
      <c r="K3596" t="s">
        <v>9153</v>
      </c>
    </row>
    <row r="3597" spans="11:11" x14ac:dyDescent="0.3">
      <c r="K3597" t="s">
        <v>7065</v>
      </c>
    </row>
    <row r="3598" spans="11:11" x14ac:dyDescent="0.3">
      <c r="K3598" t="s">
        <v>10750</v>
      </c>
    </row>
    <row r="3599" spans="11:11" x14ac:dyDescent="0.3">
      <c r="K3599" t="s">
        <v>9649</v>
      </c>
    </row>
    <row r="3600" spans="11:11" x14ac:dyDescent="0.3">
      <c r="K3600" t="s">
        <v>10645</v>
      </c>
    </row>
    <row r="3601" spans="11:11" x14ac:dyDescent="0.3">
      <c r="K3601" t="s">
        <v>8280</v>
      </c>
    </row>
    <row r="3602" spans="11:11" x14ac:dyDescent="0.3">
      <c r="K3602" t="s">
        <v>9154</v>
      </c>
    </row>
    <row r="3603" spans="11:11" x14ac:dyDescent="0.3">
      <c r="K3603" t="s">
        <v>6858</v>
      </c>
    </row>
    <row r="3604" spans="11:11" x14ac:dyDescent="0.3">
      <c r="K3604" t="s">
        <v>8710</v>
      </c>
    </row>
    <row r="3605" spans="11:11" x14ac:dyDescent="0.3">
      <c r="K3605" t="s">
        <v>7600</v>
      </c>
    </row>
    <row r="3606" spans="11:11" x14ac:dyDescent="0.3">
      <c r="K3606" t="s">
        <v>6652</v>
      </c>
    </row>
    <row r="3607" spans="11:11" x14ac:dyDescent="0.3">
      <c r="K3607" t="s">
        <v>5723</v>
      </c>
    </row>
    <row r="3608" spans="11:11" x14ac:dyDescent="0.3">
      <c r="K3608" t="s">
        <v>10984</v>
      </c>
    </row>
    <row r="3609" spans="11:11" x14ac:dyDescent="0.3">
      <c r="K3609" t="s">
        <v>6653</v>
      </c>
    </row>
    <row r="3610" spans="11:11" x14ac:dyDescent="0.3">
      <c r="K3610" t="s">
        <v>9155</v>
      </c>
    </row>
    <row r="3611" spans="11:11" x14ac:dyDescent="0.3">
      <c r="K3611" t="s">
        <v>10389</v>
      </c>
    </row>
    <row r="3612" spans="11:11" x14ac:dyDescent="0.3">
      <c r="K3612" t="s">
        <v>5524</v>
      </c>
    </row>
    <row r="3613" spans="11:11" x14ac:dyDescent="0.3">
      <c r="K3613" t="s">
        <v>6654</v>
      </c>
    </row>
    <row r="3614" spans="11:11" x14ac:dyDescent="0.3">
      <c r="K3614" t="s">
        <v>7201</v>
      </c>
    </row>
    <row r="3615" spans="11:11" x14ac:dyDescent="0.3">
      <c r="K3615" t="s">
        <v>5602</v>
      </c>
    </row>
    <row r="3616" spans="11:11" x14ac:dyDescent="0.3">
      <c r="K3616" t="s">
        <v>7601</v>
      </c>
    </row>
    <row r="3617" spans="11:11" x14ac:dyDescent="0.3">
      <c r="K3617" t="s">
        <v>7202</v>
      </c>
    </row>
    <row r="3618" spans="11:11" x14ac:dyDescent="0.3">
      <c r="K3618" t="s">
        <v>9156</v>
      </c>
    </row>
    <row r="3619" spans="11:11" x14ac:dyDescent="0.3">
      <c r="K3619" t="s">
        <v>9157</v>
      </c>
    </row>
    <row r="3620" spans="11:11" x14ac:dyDescent="0.3">
      <c r="K3620" t="s">
        <v>6299</v>
      </c>
    </row>
    <row r="3621" spans="11:11" x14ac:dyDescent="0.3">
      <c r="K3621" t="s">
        <v>6300</v>
      </c>
    </row>
    <row r="3622" spans="11:11" x14ac:dyDescent="0.3">
      <c r="K3622" t="s">
        <v>7066</v>
      </c>
    </row>
    <row r="3623" spans="11:11" x14ac:dyDescent="0.3">
      <c r="K3623" t="s">
        <v>6593</v>
      </c>
    </row>
    <row r="3624" spans="11:11" x14ac:dyDescent="0.3">
      <c r="K3624" t="s">
        <v>6065</v>
      </c>
    </row>
    <row r="3625" spans="11:11" x14ac:dyDescent="0.3">
      <c r="K3625" t="s">
        <v>10390</v>
      </c>
    </row>
    <row r="3626" spans="11:11" x14ac:dyDescent="0.3">
      <c r="K3626" t="s">
        <v>6656</v>
      </c>
    </row>
    <row r="3627" spans="11:11" x14ac:dyDescent="0.3">
      <c r="K3627" t="s">
        <v>8282</v>
      </c>
    </row>
    <row r="3628" spans="11:11" x14ac:dyDescent="0.3">
      <c r="K3628" t="s">
        <v>10391</v>
      </c>
    </row>
    <row r="3629" spans="11:11" x14ac:dyDescent="0.3">
      <c r="K3629" t="s">
        <v>8283</v>
      </c>
    </row>
    <row r="3630" spans="11:11" x14ac:dyDescent="0.3">
      <c r="K3630" t="s">
        <v>8281</v>
      </c>
    </row>
    <row r="3631" spans="11:11" x14ac:dyDescent="0.3">
      <c r="K3631" t="s">
        <v>6301</v>
      </c>
    </row>
    <row r="3632" spans="11:11" x14ac:dyDescent="0.3">
      <c r="K3632" t="s">
        <v>6066</v>
      </c>
    </row>
    <row r="3633" spans="11:11" x14ac:dyDescent="0.3">
      <c r="K3633" t="s">
        <v>6859</v>
      </c>
    </row>
    <row r="3634" spans="11:11" x14ac:dyDescent="0.3">
      <c r="K3634" t="s">
        <v>6657</v>
      </c>
    </row>
    <row r="3635" spans="11:11" x14ac:dyDescent="0.3">
      <c r="K3635" t="s">
        <v>8284</v>
      </c>
    </row>
    <row r="3636" spans="11:11" x14ac:dyDescent="0.3">
      <c r="K3636" t="s">
        <v>7067</v>
      </c>
    </row>
    <row r="3637" spans="11:11" x14ac:dyDescent="0.3">
      <c r="K3637" t="s">
        <v>7203</v>
      </c>
    </row>
    <row r="3638" spans="11:11" x14ac:dyDescent="0.3">
      <c r="K3638" t="s">
        <v>9980</v>
      </c>
    </row>
    <row r="3639" spans="11:11" x14ac:dyDescent="0.3">
      <c r="K3639" t="s">
        <v>10392</v>
      </c>
    </row>
    <row r="3640" spans="11:11" x14ac:dyDescent="0.3">
      <c r="K3640" t="s">
        <v>10393</v>
      </c>
    </row>
    <row r="3641" spans="11:11" x14ac:dyDescent="0.3">
      <c r="K3641" t="s">
        <v>9981</v>
      </c>
    </row>
    <row r="3642" spans="11:11" x14ac:dyDescent="0.3">
      <c r="K3642" t="s">
        <v>8285</v>
      </c>
    </row>
    <row r="3643" spans="11:11" x14ac:dyDescent="0.3">
      <c r="K3643" t="s">
        <v>6067</v>
      </c>
    </row>
    <row r="3644" spans="11:11" x14ac:dyDescent="0.3">
      <c r="K3644" t="s">
        <v>8286</v>
      </c>
    </row>
    <row r="3645" spans="11:11" x14ac:dyDescent="0.3">
      <c r="K3645" t="s">
        <v>9650</v>
      </c>
    </row>
    <row r="3646" spans="11:11" x14ac:dyDescent="0.3">
      <c r="K3646" t="s">
        <v>9651</v>
      </c>
    </row>
    <row r="3647" spans="11:11" x14ac:dyDescent="0.3">
      <c r="K3647" t="s">
        <v>8287</v>
      </c>
    </row>
    <row r="3648" spans="11:11" x14ac:dyDescent="0.3">
      <c r="K3648" t="s">
        <v>6302</v>
      </c>
    </row>
    <row r="3649" spans="11:11" x14ac:dyDescent="0.3">
      <c r="K3649" t="s">
        <v>6860</v>
      </c>
    </row>
    <row r="3650" spans="11:11" x14ac:dyDescent="0.3">
      <c r="K3650" t="s">
        <v>8289</v>
      </c>
    </row>
    <row r="3651" spans="11:11" x14ac:dyDescent="0.3">
      <c r="K3651" t="s">
        <v>9158</v>
      </c>
    </row>
    <row r="3652" spans="11:11" x14ac:dyDescent="0.3">
      <c r="K3652" t="s">
        <v>8288</v>
      </c>
    </row>
    <row r="3653" spans="11:11" x14ac:dyDescent="0.3">
      <c r="K3653" t="s">
        <v>6658</v>
      </c>
    </row>
    <row r="3654" spans="11:11" x14ac:dyDescent="0.3">
      <c r="K3654" t="s">
        <v>8711</v>
      </c>
    </row>
    <row r="3655" spans="11:11" x14ac:dyDescent="0.3">
      <c r="K3655" t="s">
        <v>7602</v>
      </c>
    </row>
    <row r="3656" spans="11:11" x14ac:dyDescent="0.3">
      <c r="K3656" t="s">
        <v>6303</v>
      </c>
    </row>
    <row r="3657" spans="11:11" x14ac:dyDescent="0.3">
      <c r="K3657" t="s">
        <v>5724</v>
      </c>
    </row>
    <row r="3658" spans="11:11" x14ac:dyDescent="0.3">
      <c r="K3658" t="s">
        <v>5886</v>
      </c>
    </row>
    <row r="3659" spans="11:11" x14ac:dyDescent="0.3">
      <c r="K3659" t="s">
        <v>6660</v>
      </c>
    </row>
    <row r="3660" spans="11:11" x14ac:dyDescent="0.3">
      <c r="K3660" t="s">
        <v>7068</v>
      </c>
    </row>
    <row r="3661" spans="11:11" x14ac:dyDescent="0.3">
      <c r="K3661" t="s">
        <v>5603</v>
      </c>
    </row>
    <row r="3662" spans="11:11" x14ac:dyDescent="0.3">
      <c r="K3662" t="s">
        <v>8290</v>
      </c>
    </row>
    <row r="3663" spans="11:11" x14ac:dyDescent="0.3">
      <c r="K3663" t="s">
        <v>9652</v>
      </c>
    </row>
    <row r="3664" spans="11:11" x14ac:dyDescent="0.3">
      <c r="K3664" t="s">
        <v>9159</v>
      </c>
    </row>
    <row r="3665" spans="11:11" x14ac:dyDescent="0.3">
      <c r="K3665" t="s">
        <v>9160</v>
      </c>
    </row>
    <row r="3666" spans="11:11" x14ac:dyDescent="0.3">
      <c r="K3666" t="s">
        <v>6068</v>
      </c>
    </row>
    <row r="3667" spans="11:11" x14ac:dyDescent="0.3">
      <c r="K3667" t="s">
        <v>6861</v>
      </c>
    </row>
    <row r="3668" spans="11:11" x14ac:dyDescent="0.3">
      <c r="K3668" t="s">
        <v>7069</v>
      </c>
    </row>
    <row r="3669" spans="11:11" x14ac:dyDescent="0.3">
      <c r="K3669" t="s">
        <v>6304</v>
      </c>
    </row>
    <row r="3670" spans="11:11" x14ac:dyDescent="0.3">
      <c r="K3670" t="s">
        <v>9161</v>
      </c>
    </row>
    <row r="3671" spans="11:11" x14ac:dyDescent="0.3">
      <c r="K3671" t="s">
        <v>8291</v>
      </c>
    </row>
    <row r="3672" spans="11:11" x14ac:dyDescent="0.3">
      <c r="K3672" t="s">
        <v>7603</v>
      </c>
    </row>
    <row r="3673" spans="11:11" x14ac:dyDescent="0.3">
      <c r="K3673" t="s">
        <v>10394</v>
      </c>
    </row>
    <row r="3674" spans="11:11" x14ac:dyDescent="0.3">
      <c r="K3674" t="s">
        <v>9162</v>
      </c>
    </row>
    <row r="3675" spans="11:11" x14ac:dyDescent="0.3">
      <c r="K3675" t="s">
        <v>9653</v>
      </c>
    </row>
    <row r="3676" spans="11:11" x14ac:dyDescent="0.3">
      <c r="K3676" t="s">
        <v>7204</v>
      </c>
    </row>
    <row r="3677" spans="11:11" x14ac:dyDescent="0.3">
      <c r="K3677" t="s">
        <v>9982</v>
      </c>
    </row>
    <row r="3678" spans="11:11" x14ac:dyDescent="0.3">
      <c r="K3678" t="s">
        <v>6069</v>
      </c>
    </row>
    <row r="3679" spans="11:11" x14ac:dyDescent="0.3">
      <c r="K3679" t="s">
        <v>8292</v>
      </c>
    </row>
    <row r="3680" spans="11:11" x14ac:dyDescent="0.3">
      <c r="K3680" t="s">
        <v>10395</v>
      </c>
    </row>
    <row r="3681" spans="11:11" x14ac:dyDescent="0.3">
      <c r="K3681" t="s">
        <v>6305</v>
      </c>
    </row>
    <row r="3682" spans="11:11" x14ac:dyDescent="0.3">
      <c r="K3682" t="s">
        <v>7604</v>
      </c>
    </row>
    <row r="3683" spans="11:11" x14ac:dyDescent="0.3">
      <c r="K3683" t="s">
        <v>9654</v>
      </c>
    </row>
    <row r="3684" spans="11:11" x14ac:dyDescent="0.3">
      <c r="K3684" t="s">
        <v>8293</v>
      </c>
    </row>
    <row r="3685" spans="11:11" x14ac:dyDescent="0.3">
      <c r="K3685" t="s">
        <v>9163</v>
      </c>
    </row>
    <row r="3686" spans="11:11" x14ac:dyDescent="0.3">
      <c r="K3686" t="s">
        <v>8294</v>
      </c>
    </row>
    <row r="3687" spans="11:11" x14ac:dyDescent="0.3">
      <c r="K3687" t="s">
        <v>9164</v>
      </c>
    </row>
    <row r="3688" spans="11:11" x14ac:dyDescent="0.3">
      <c r="K3688" t="s">
        <v>8295</v>
      </c>
    </row>
    <row r="3689" spans="11:11" x14ac:dyDescent="0.3">
      <c r="K3689" t="s">
        <v>5780</v>
      </c>
    </row>
    <row r="3690" spans="11:11" x14ac:dyDescent="0.3">
      <c r="K3690" t="s">
        <v>6510</v>
      </c>
    </row>
    <row r="3691" spans="11:11" x14ac:dyDescent="0.3">
      <c r="K3691" t="s">
        <v>6862</v>
      </c>
    </row>
    <row r="3692" spans="11:11" x14ac:dyDescent="0.3">
      <c r="K3692" t="s">
        <v>8296</v>
      </c>
    </row>
    <row r="3693" spans="11:11" x14ac:dyDescent="0.3">
      <c r="K3693" t="s">
        <v>8297</v>
      </c>
    </row>
    <row r="3694" spans="11:11" x14ac:dyDescent="0.3">
      <c r="K3694" t="s">
        <v>8298</v>
      </c>
    </row>
    <row r="3695" spans="11:11" x14ac:dyDescent="0.3">
      <c r="K3695" t="s">
        <v>6661</v>
      </c>
    </row>
    <row r="3696" spans="11:11" x14ac:dyDescent="0.3">
      <c r="K3696" t="s">
        <v>6863</v>
      </c>
    </row>
    <row r="3697" spans="11:11" x14ac:dyDescent="0.3">
      <c r="K3697" t="s">
        <v>7283</v>
      </c>
    </row>
    <row r="3698" spans="11:11" x14ac:dyDescent="0.3">
      <c r="K3698" t="s">
        <v>10752</v>
      </c>
    </row>
    <row r="3699" spans="11:11" x14ac:dyDescent="0.3">
      <c r="K3699" t="s">
        <v>6662</v>
      </c>
    </row>
    <row r="3700" spans="11:11" x14ac:dyDescent="0.3">
      <c r="K3700" t="s">
        <v>7070</v>
      </c>
    </row>
    <row r="3701" spans="11:11" x14ac:dyDescent="0.3">
      <c r="K3701" t="s">
        <v>8299</v>
      </c>
    </row>
    <row r="3702" spans="11:11" x14ac:dyDescent="0.3">
      <c r="K3702" t="s">
        <v>9165</v>
      </c>
    </row>
    <row r="3703" spans="11:11" x14ac:dyDescent="0.3">
      <c r="K3703" t="s">
        <v>7605</v>
      </c>
    </row>
    <row r="3704" spans="11:11" x14ac:dyDescent="0.3">
      <c r="K3704" t="s">
        <v>10396</v>
      </c>
    </row>
    <row r="3705" spans="11:11" x14ac:dyDescent="0.3">
      <c r="K3705" t="s">
        <v>6864</v>
      </c>
    </row>
    <row r="3706" spans="11:11" x14ac:dyDescent="0.3">
      <c r="K3706" t="s">
        <v>8300</v>
      </c>
    </row>
    <row r="3707" spans="11:11" x14ac:dyDescent="0.3">
      <c r="K3707" t="s">
        <v>9983</v>
      </c>
    </row>
    <row r="3708" spans="11:11" x14ac:dyDescent="0.3">
      <c r="K3708" t="s">
        <v>9166</v>
      </c>
    </row>
    <row r="3709" spans="11:11" x14ac:dyDescent="0.3">
      <c r="K3709" t="s">
        <v>9167</v>
      </c>
    </row>
    <row r="3710" spans="11:11" x14ac:dyDescent="0.3">
      <c r="K3710" t="s">
        <v>6070</v>
      </c>
    </row>
    <row r="3711" spans="11:11" x14ac:dyDescent="0.3">
      <c r="K3711" t="s">
        <v>9168</v>
      </c>
    </row>
    <row r="3712" spans="11:11" x14ac:dyDescent="0.3">
      <c r="K3712" t="s">
        <v>7284</v>
      </c>
    </row>
    <row r="3713" spans="11:11" x14ac:dyDescent="0.3">
      <c r="K3713" t="s">
        <v>8301</v>
      </c>
    </row>
    <row r="3714" spans="11:11" x14ac:dyDescent="0.3">
      <c r="K3714" t="s">
        <v>5887</v>
      </c>
    </row>
    <row r="3715" spans="11:11" x14ac:dyDescent="0.3">
      <c r="K3715" t="s">
        <v>7606</v>
      </c>
    </row>
    <row r="3716" spans="11:11" x14ac:dyDescent="0.3">
      <c r="K3716" t="s">
        <v>6663</v>
      </c>
    </row>
    <row r="3717" spans="11:11" x14ac:dyDescent="0.3">
      <c r="K3717" t="s">
        <v>8634</v>
      </c>
    </row>
    <row r="3718" spans="11:11" x14ac:dyDescent="0.3">
      <c r="K3718" t="s">
        <v>9169</v>
      </c>
    </row>
    <row r="3719" spans="11:11" x14ac:dyDescent="0.3">
      <c r="K3719" t="s">
        <v>6071</v>
      </c>
    </row>
    <row r="3720" spans="11:11" x14ac:dyDescent="0.3">
      <c r="K3720" t="s">
        <v>10646</v>
      </c>
    </row>
    <row r="3721" spans="11:11" x14ac:dyDescent="0.3">
      <c r="K3721" t="s">
        <v>6306</v>
      </c>
    </row>
    <row r="3722" spans="11:11" x14ac:dyDescent="0.3">
      <c r="K3722" t="s">
        <v>6307</v>
      </c>
    </row>
    <row r="3723" spans="11:11" x14ac:dyDescent="0.3">
      <c r="K3723" t="s">
        <v>8302</v>
      </c>
    </row>
    <row r="3724" spans="11:11" x14ac:dyDescent="0.3">
      <c r="K3724" t="s">
        <v>10397</v>
      </c>
    </row>
    <row r="3725" spans="11:11" x14ac:dyDescent="0.3">
      <c r="K3725" t="s">
        <v>6882</v>
      </c>
    </row>
    <row r="3726" spans="11:11" x14ac:dyDescent="0.3">
      <c r="K3726" t="s">
        <v>8303</v>
      </c>
    </row>
    <row r="3727" spans="11:11" x14ac:dyDescent="0.3">
      <c r="K3727" t="s">
        <v>6664</v>
      </c>
    </row>
    <row r="3728" spans="11:11" x14ac:dyDescent="0.3">
      <c r="K3728" t="s">
        <v>5888</v>
      </c>
    </row>
    <row r="3729" spans="11:11" x14ac:dyDescent="0.3">
      <c r="K3729" t="s">
        <v>5725</v>
      </c>
    </row>
    <row r="3730" spans="11:11" x14ac:dyDescent="0.3">
      <c r="K3730" t="s">
        <v>10753</v>
      </c>
    </row>
    <row r="3731" spans="11:11" x14ac:dyDescent="0.3">
      <c r="K3731" t="s">
        <v>10398</v>
      </c>
    </row>
    <row r="3732" spans="11:11" x14ac:dyDescent="0.3">
      <c r="K3732" t="s">
        <v>10399</v>
      </c>
    </row>
    <row r="3733" spans="11:11" x14ac:dyDescent="0.3">
      <c r="K3733" t="s">
        <v>6511</v>
      </c>
    </row>
    <row r="3734" spans="11:11" x14ac:dyDescent="0.3">
      <c r="K3734" t="s">
        <v>6072</v>
      </c>
    </row>
    <row r="3735" spans="11:11" x14ac:dyDescent="0.3">
      <c r="K3735" t="s">
        <v>9170</v>
      </c>
    </row>
    <row r="3736" spans="11:11" x14ac:dyDescent="0.3">
      <c r="K3736" t="s">
        <v>6665</v>
      </c>
    </row>
    <row r="3737" spans="11:11" x14ac:dyDescent="0.3">
      <c r="K3737" t="s">
        <v>7205</v>
      </c>
    </row>
    <row r="3738" spans="11:11" x14ac:dyDescent="0.3">
      <c r="K3738" t="s">
        <v>9984</v>
      </c>
    </row>
    <row r="3739" spans="11:11" x14ac:dyDescent="0.3">
      <c r="K3739" t="s">
        <v>6512</v>
      </c>
    </row>
    <row r="3740" spans="11:11" x14ac:dyDescent="0.3">
      <c r="K3740" t="s">
        <v>8304</v>
      </c>
    </row>
    <row r="3741" spans="11:11" x14ac:dyDescent="0.3">
      <c r="K3741" t="s">
        <v>8305</v>
      </c>
    </row>
    <row r="3742" spans="11:11" x14ac:dyDescent="0.3">
      <c r="K3742" t="s">
        <v>5889</v>
      </c>
    </row>
    <row r="3743" spans="11:11" x14ac:dyDescent="0.3">
      <c r="K3743" t="s">
        <v>8306</v>
      </c>
    </row>
    <row r="3744" spans="11:11" x14ac:dyDescent="0.3">
      <c r="K3744" t="s">
        <v>8307</v>
      </c>
    </row>
    <row r="3745" spans="11:11" x14ac:dyDescent="0.3">
      <c r="K3745" t="s">
        <v>8308</v>
      </c>
    </row>
    <row r="3746" spans="11:11" x14ac:dyDescent="0.3">
      <c r="K3746" t="s">
        <v>9171</v>
      </c>
    </row>
    <row r="3747" spans="11:11" x14ac:dyDescent="0.3">
      <c r="K3747" t="s">
        <v>9172</v>
      </c>
    </row>
    <row r="3748" spans="11:11" x14ac:dyDescent="0.3">
      <c r="K3748" t="s">
        <v>6513</v>
      </c>
    </row>
    <row r="3749" spans="11:11" x14ac:dyDescent="0.3">
      <c r="K3749" t="s">
        <v>6073</v>
      </c>
    </row>
    <row r="3750" spans="11:11" x14ac:dyDescent="0.3">
      <c r="K3750" t="s">
        <v>8309</v>
      </c>
    </row>
    <row r="3751" spans="11:11" x14ac:dyDescent="0.3">
      <c r="K3751" t="s">
        <v>9985</v>
      </c>
    </row>
    <row r="3752" spans="11:11" x14ac:dyDescent="0.3">
      <c r="K3752" t="s">
        <v>6074</v>
      </c>
    </row>
    <row r="3753" spans="11:11" x14ac:dyDescent="0.3">
      <c r="K3753" t="s">
        <v>9655</v>
      </c>
    </row>
    <row r="3754" spans="11:11" x14ac:dyDescent="0.3">
      <c r="K3754" t="s">
        <v>9657</v>
      </c>
    </row>
    <row r="3755" spans="11:11" x14ac:dyDescent="0.3">
      <c r="K3755" t="s">
        <v>9656</v>
      </c>
    </row>
    <row r="3756" spans="11:11" x14ac:dyDescent="0.3">
      <c r="K3756" t="s">
        <v>10985</v>
      </c>
    </row>
    <row r="3757" spans="11:11" x14ac:dyDescent="0.3">
      <c r="K3757" t="s">
        <v>9173</v>
      </c>
    </row>
    <row r="3758" spans="11:11" x14ac:dyDescent="0.3">
      <c r="K3758" t="s">
        <v>8310</v>
      </c>
    </row>
    <row r="3759" spans="11:11" x14ac:dyDescent="0.3">
      <c r="K3759" t="s">
        <v>9986</v>
      </c>
    </row>
    <row r="3760" spans="11:11" x14ac:dyDescent="0.3">
      <c r="K3760" t="s">
        <v>7071</v>
      </c>
    </row>
    <row r="3761" spans="11:11" x14ac:dyDescent="0.3">
      <c r="K3761" t="s">
        <v>7072</v>
      </c>
    </row>
    <row r="3762" spans="11:11" x14ac:dyDescent="0.3">
      <c r="K3762" t="s">
        <v>9987</v>
      </c>
    </row>
    <row r="3763" spans="11:11" x14ac:dyDescent="0.3">
      <c r="K3763" t="s">
        <v>10986</v>
      </c>
    </row>
    <row r="3764" spans="11:11" x14ac:dyDescent="0.3">
      <c r="K3764" t="s">
        <v>7073</v>
      </c>
    </row>
    <row r="3765" spans="11:11" x14ac:dyDescent="0.3">
      <c r="K3765" t="s">
        <v>8712</v>
      </c>
    </row>
    <row r="3766" spans="11:11" x14ac:dyDescent="0.3">
      <c r="K3766" t="s">
        <v>7206</v>
      </c>
    </row>
    <row r="3767" spans="11:11" x14ac:dyDescent="0.3">
      <c r="K3767" t="s">
        <v>9174</v>
      </c>
    </row>
    <row r="3768" spans="11:11" x14ac:dyDescent="0.3">
      <c r="K3768" t="s">
        <v>6865</v>
      </c>
    </row>
    <row r="3769" spans="11:11" x14ac:dyDescent="0.3">
      <c r="K3769" t="s">
        <v>7607</v>
      </c>
    </row>
    <row r="3770" spans="11:11" x14ac:dyDescent="0.3">
      <c r="K3770" t="s">
        <v>8311</v>
      </c>
    </row>
    <row r="3771" spans="11:11" x14ac:dyDescent="0.3">
      <c r="K3771" t="s">
        <v>10400</v>
      </c>
    </row>
    <row r="3772" spans="11:11" x14ac:dyDescent="0.3">
      <c r="K3772" t="s">
        <v>5726</v>
      </c>
    </row>
    <row r="3773" spans="11:11" x14ac:dyDescent="0.3">
      <c r="K3773" t="s">
        <v>9988</v>
      </c>
    </row>
    <row r="3774" spans="11:11" x14ac:dyDescent="0.3">
      <c r="K3774" t="s">
        <v>6309</v>
      </c>
    </row>
    <row r="3775" spans="11:11" x14ac:dyDescent="0.3">
      <c r="K3775" t="s">
        <v>6866</v>
      </c>
    </row>
    <row r="3776" spans="11:11" x14ac:dyDescent="0.3">
      <c r="K3776" t="s">
        <v>8312</v>
      </c>
    </row>
    <row r="3777" spans="11:11" x14ac:dyDescent="0.3">
      <c r="K3777" t="s">
        <v>8313</v>
      </c>
    </row>
    <row r="3778" spans="11:11" x14ac:dyDescent="0.3">
      <c r="K3778" t="s">
        <v>8314</v>
      </c>
    </row>
    <row r="3779" spans="11:11" x14ac:dyDescent="0.3">
      <c r="K3779" t="s">
        <v>8315</v>
      </c>
    </row>
    <row r="3780" spans="11:11" x14ac:dyDescent="0.3">
      <c r="K3780" t="s">
        <v>9175</v>
      </c>
    </row>
    <row r="3781" spans="11:11" x14ac:dyDescent="0.3">
      <c r="K3781" t="s">
        <v>9658</v>
      </c>
    </row>
    <row r="3782" spans="11:11" x14ac:dyDescent="0.3">
      <c r="K3782" t="s">
        <v>7608</v>
      </c>
    </row>
    <row r="3783" spans="11:11" x14ac:dyDescent="0.3">
      <c r="K3783" t="s">
        <v>10987</v>
      </c>
    </row>
    <row r="3784" spans="11:11" x14ac:dyDescent="0.3">
      <c r="K3784" t="s">
        <v>9176</v>
      </c>
    </row>
    <row r="3785" spans="11:11" x14ac:dyDescent="0.3">
      <c r="K3785" t="s">
        <v>7207</v>
      </c>
    </row>
    <row r="3786" spans="11:11" x14ac:dyDescent="0.3">
      <c r="K3786" t="s">
        <v>6867</v>
      </c>
    </row>
    <row r="3787" spans="11:11" x14ac:dyDescent="0.3">
      <c r="K3787" t="s">
        <v>6868</v>
      </c>
    </row>
    <row r="3788" spans="11:11" x14ac:dyDescent="0.3">
      <c r="K3788" t="s">
        <v>6666</v>
      </c>
    </row>
    <row r="3789" spans="11:11" x14ac:dyDescent="0.3">
      <c r="K3789" t="s">
        <v>6869</v>
      </c>
    </row>
    <row r="3790" spans="11:11" x14ac:dyDescent="0.3">
      <c r="K3790" t="s">
        <v>5498</v>
      </c>
    </row>
    <row r="3791" spans="11:11" x14ac:dyDescent="0.3">
      <c r="K3791" t="s">
        <v>8316</v>
      </c>
    </row>
    <row r="3792" spans="11:11" x14ac:dyDescent="0.3">
      <c r="K3792" t="s">
        <v>5525</v>
      </c>
    </row>
    <row r="3793" spans="11:11" x14ac:dyDescent="0.3">
      <c r="K3793" t="s">
        <v>6310</v>
      </c>
    </row>
    <row r="3794" spans="11:11" x14ac:dyDescent="0.3">
      <c r="K3794" t="s">
        <v>7609</v>
      </c>
    </row>
    <row r="3795" spans="11:11" x14ac:dyDescent="0.3">
      <c r="K3795" t="s">
        <v>9177</v>
      </c>
    </row>
    <row r="3796" spans="11:11" x14ac:dyDescent="0.3">
      <c r="K3796" t="s">
        <v>6075</v>
      </c>
    </row>
    <row r="3797" spans="11:11" x14ac:dyDescent="0.3">
      <c r="K3797" t="s">
        <v>7208</v>
      </c>
    </row>
    <row r="3798" spans="11:11" x14ac:dyDescent="0.3">
      <c r="K3798" t="s">
        <v>7610</v>
      </c>
    </row>
    <row r="3799" spans="11:11" x14ac:dyDescent="0.3">
      <c r="K3799" t="s">
        <v>5891</v>
      </c>
    </row>
    <row r="3800" spans="11:11" x14ac:dyDescent="0.3">
      <c r="K3800" t="s">
        <v>9178</v>
      </c>
    </row>
    <row r="3801" spans="11:11" x14ac:dyDescent="0.3">
      <c r="K3801" t="s">
        <v>6514</v>
      </c>
    </row>
    <row r="3802" spans="11:11" x14ac:dyDescent="0.3">
      <c r="K3802" t="s">
        <v>8317</v>
      </c>
    </row>
    <row r="3803" spans="11:11" x14ac:dyDescent="0.3">
      <c r="K3803" t="s">
        <v>9659</v>
      </c>
    </row>
    <row r="3804" spans="11:11" x14ac:dyDescent="0.3">
      <c r="K3804" t="s">
        <v>10402</v>
      </c>
    </row>
    <row r="3805" spans="11:11" x14ac:dyDescent="0.3">
      <c r="K3805" t="s">
        <v>9661</v>
      </c>
    </row>
    <row r="3806" spans="11:11" x14ac:dyDescent="0.3">
      <c r="K3806" t="s">
        <v>10403</v>
      </c>
    </row>
    <row r="3807" spans="11:11" x14ac:dyDescent="0.3">
      <c r="K3807" t="s">
        <v>10401</v>
      </c>
    </row>
    <row r="3808" spans="11:11" x14ac:dyDescent="0.3">
      <c r="K3808" t="s">
        <v>9660</v>
      </c>
    </row>
    <row r="3809" spans="11:11" x14ac:dyDescent="0.3">
      <c r="K3809" t="s">
        <v>9989</v>
      </c>
    </row>
    <row r="3810" spans="11:11" x14ac:dyDescent="0.3">
      <c r="K3810" t="s">
        <v>9179</v>
      </c>
    </row>
    <row r="3811" spans="11:11" x14ac:dyDescent="0.3">
      <c r="K3811" t="s">
        <v>9662</v>
      </c>
    </row>
    <row r="3812" spans="11:11" x14ac:dyDescent="0.3">
      <c r="K3812" t="s">
        <v>7285</v>
      </c>
    </row>
    <row r="3813" spans="11:11" x14ac:dyDescent="0.3">
      <c r="K3813" t="s">
        <v>8713</v>
      </c>
    </row>
    <row r="3814" spans="11:11" x14ac:dyDescent="0.3">
      <c r="K3814" t="s">
        <v>10404</v>
      </c>
    </row>
    <row r="3815" spans="11:11" x14ac:dyDescent="0.3">
      <c r="K3815" t="s">
        <v>10405</v>
      </c>
    </row>
    <row r="3816" spans="11:11" x14ac:dyDescent="0.3">
      <c r="K3816" t="s">
        <v>9990</v>
      </c>
    </row>
    <row r="3817" spans="11:11" x14ac:dyDescent="0.3">
      <c r="K3817" t="s">
        <v>6076</v>
      </c>
    </row>
    <row r="3818" spans="11:11" x14ac:dyDescent="0.3">
      <c r="K3818" t="s">
        <v>8635</v>
      </c>
    </row>
    <row r="3819" spans="11:11" x14ac:dyDescent="0.3">
      <c r="K3819" t="s">
        <v>7611</v>
      </c>
    </row>
    <row r="3820" spans="11:11" x14ac:dyDescent="0.3">
      <c r="K3820" t="s">
        <v>10406</v>
      </c>
    </row>
    <row r="3821" spans="11:11" x14ac:dyDescent="0.3">
      <c r="K3821" t="s">
        <v>8318</v>
      </c>
    </row>
    <row r="3822" spans="11:11" x14ac:dyDescent="0.3">
      <c r="K3822" t="s">
        <v>6311</v>
      </c>
    </row>
    <row r="3823" spans="11:11" x14ac:dyDescent="0.3">
      <c r="K3823" t="s">
        <v>6077</v>
      </c>
    </row>
    <row r="3824" spans="11:11" x14ac:dyDescent="0.3">
      <c r="K3824" t="s">
        <v>9180</v>
      </c>
    </row>
    <row r="3825" spans="11:11" x14ac:dyDescent="0.3">
      <c r="K3825" t="s">
        <v>6515</v>
      </c>
    </row>
    <row r="3826" spans="11:11" x14ac:dyDescent="0.3">
      <c r="K3826" t="s">
        <v>9181</v>
      </c>
    </row>
    <row r="3827" spans="11:11" x14ac:dyDescent="0.3">
      <c r="K3827" t="s">
        <v>9182</v>
      </c>
    </row>
    <row r="3828" spans="11:11" x14ac:dyDescent="0.3">
      <c r="K3828" t="s">
        <v>10988</v>
      </c>
    </row>
    <row r="3829" spans="11:11" x14ac:dyDescent="0.3">
      <c r="K3829" t="s">
        <v>8319</v>
      </c>
    </row>
    <row r="3830" spans="11:11" x14ac:dyDescent="0.3">
      <c r="K3830" t="s">
        <v>9183</v>
      </c>
    </row>
    <row r="3831" spans="11:11" x14ac:dyDescent="0.3">
      <c r="K3831" t="s">
        <v>6312</v>
      </c>
    </row>
    <row r="3832" spans="11:11" x14ac:dyDescent="0.3">
      <c r="K3832" t="s">
        <v>7612</v>
      </c>
    </row>
    <row r="3833" spans="11:11" x14ac:dyDescent="0.3">
      <c r="K3833" t="s">
        <v>9663</v>
      </c>
    </row>
    <row r="3834" spans="11:11" x14ac:dyDescent="0.3">
      <c r="K3834" t="s">
        <v>8714</v>
      </c>
    </row>
    <row r="3835" spans="11:11" x14ac:dyDescent="0.3">
      <c r="K3835" t="s">
        <v>9184</v>
      </c>
    </row>
    <row r="3836" spans="11:11" x14ac:dyDescent="0.3">
      <c r="K3836" t="s">
        <v>8320</v>
      </c>
    </row>
    <row r="3837" spans="11:11" x14ac:dyDescent="0.3">
      <c r="K3837" t="s">
        <v>9185</v>
      </c>
    </row>
    <row r="3838" spans="11:11" x14ac:dyDescent="0.3">
      <c r="K3838" t="s">
        <v>7286</v>
      </c>
    </row>
    <row r="3839" spans="11:11" x14ac:dyDescent="0.3">
      <c r="K3839" t="s">
        <v>8321</v>
      </c>
    </row>
    <row r="3840" spans="11:11" x14ac:dyDescent="0.3">
      <c r="K3840" t="s">
        <v>9186</v>
      </c>
    </row>
    <row r="3841" spans="11:11" x14ac:dyDescent="0.3">
      <c r="K3841" t="s">
        <v>8322</v>
      </c>
    </row>
    <row r="3842" spans="11:11" x14ac:dyDescent="0.3">
      <c r="K3842" t="s">
        <v>8323</v>
      </c>
    </row>
    <row r="3843" spans="11:11" x14ac:dyDescent="0.3">
      <c r="K3843" t="s">
        <v>7209</v>
      </c>
    </row>
    <row r="3844" spans="11:11" x14ac:dyDescent="0.3">
      <c r="K3844" t="s">
        <v>10989</v>
      </c>
    </row>
    <row r="3845" spans="11:11" x14ac:dyDescent="0.3">
      <c r="K3845" t="s">
        <v>6078</v>
      </c>
    </row>
    <row r="3846" spans="11:11" x14ac:dyDescent="0.3">
      <c r="K3846" t="s">
        <v>8324</v>
      </c>
    </row>
    <row r="3847" spans="11:11" x14ac:dyDescent="0.3">
      <c r="K3847" t="s">
        <v>10407</v>
      </c>
    </row>
    <row r="3848" spans="11:11" x14ac:dyDescent="0.3">
      <c r="K3848" t="s">
        <v>9187</v>
      </c>
    </row>
    <row r="3849" spans="11:11" x14ac:dyDescent="0.3">
      <c r="K3849" t="s">
        <v>8325</v>
      </c>
    </row>
    <row r="3850" spans="11:11" x14ac:dyDescent="0.3">
      <c r="K3850" t="s">
        <v>9188</v>
      </c>
    </row>
    <row r="3851" spans="11:11" x14ac:dyDescent="0.3">
      <c r="K3851" t="s">
        <v>9664</v>
      </c>
    </row>
    <row r="3852" spans="11:11" x14ac:dyDescent="0.3">
      <c r="K3852" t="s">
        <v>5892</v>
      </c>
    </row>
    <row r="3853" spans="11:11" x14ac:dyDescent="0.3">
      <c r="K3853" t="s">
        <v>9189</v>
      </c>
    </row>
    <row r="3854" spans="11:11" x14ac:dyDescent="0.3">
      <c r="K3854" t="s">
        <v>10408</v>
      </c>
    </row>
    <row r="3855" spans="11:11" x14ac:dyDescent="0.3">
      <c r="K3855" t="s">
        <v>9190</v>
      </c>
    </row>
    <row r="3856" spans="11:11" x14ac:dyDescent="0.3">
      <c r="K3856" t="s">
        <v>9991</v>
      </c>
    </row>
    <row r="3857" spans="11:11" x14ac:dyDescent="0.3">
      <c r="K3857" t="s">
        <v>8326</v>
      </c>
    </row>
    <row r="3858" spans="11:11" x14ac:dyDescent="0.3">
      <c r="K3858" t="s">
        <v>10990</v>
      </c>
    </row>
    <row r="3859" spans="11:11" x14ac:dyDescent="0.3">
      <c r="K3859" t="s">
        <v>10991</v>
      </c>
    </row>
    <row r="3860" spans="11:11" x14ac:dyDescent="0.3">
      <c r="K3860" t="s">
        <v>6516</v>
      </c>
    </row>
    <row r="3861" spans="11:11" x14ac:dyDescent="0.3">
      <c r="K3861" t="s">
        <v>7613</v>
      </c>
    </row>
    <row r="3862" spans="11:11" x14ac:dyDescent="0.3">
      <c r="K3862" t="s">
        <v>6313</v>
      </c>
    </row>
    <row r="3863" spans="11:11" x14ac:dyDescent="0.3">
      <c r="K3863" t="s">
        <v>7614</v>
      </c>
    </row>
    <row r="3864" spans="11:11" x14ac:dyDescent="0.3">
      <c r="K3864" t="s">
        <v>6870</v>
      </c>
    </row>
    <row r="3865" spans="11:11" x14ac:dyDescent="0.3">
      <c r="K3865" t="s">
        <v>9665</v>
      </c>
    </row>
    <row r="3866" spans="11:11" x14ac:dyDescent="0.3">
      <c r="K3866" t="s">
        <v>9666</v>
      </c>
    </row>
    <row r="3867" spans="11:11" x14ac:dyDescent="0.3">
      <c r="K3867" t="s">
        <v>9191</v>
      </c>
    </row>
    <row r="3868" spans="11:11" x14ac:dyDescent="0.3">
      <c r="K3868" t="s">
        <v>8327</v>
      </c>
    </row>
    <row r="3869" spans="11:11" x14ac:dyDescent="0.3">
      <c r="K3869" t="s">
        <v>6871</v>
      </c>
    </row>
    <row r="3870" spans="11:11" x14ac:dyDescent="0.3">
      <c r="K3870" t="s">
        <v>5893</v>
      </c>
    </row>
    <row r="3871" spans="11:11" x14ac:dyDescent="0.3">
      <c r="K3871" t="s">
        <v>8636</v>
      </c>
    </row>
    <row r="3872" spans="11:11" x14ac:dyDescent="0.3">
      <c r="K3872" t="s">
        <v>8328</v>
      </c>
    </row>
    <row r="3873" spans="11:11" x14ac:dyDescent="0.3">
      <c r="K3873" t="s">
        <v>5727</v>
      </c>
    </row>
    <row r="3874" spans="11:11" x14ac:dyDescent="0.3">
      <c r="K3874" t="s">
        <v>5547</v>
      </c>
    </row>
    <row r="3875" spans="11:11" x14ac:dyDescent="0.3">
      <c r="K3875" t="s">
        <v>9667</v>
      </c>
    </row>
    <row r="3876" spans="11:11" x14ac:dyDescent="0.3">
      <c r="K3876" t="s">
        <v>10992</v>
      </c>
    </row>
    <row r="3877" spans="11:11" x14ac:dyDescent="0.3">
      <c r="K3877" t="s">
        <v>7615</v>
      </c>
    </row>
    <row r="3878" spans="11:11" x14ac:dyDescent="0.3">
      <c r="K3878" t="s">
        <v>9992</v>
      </c>
    </row>
    <row r="3879" spans="11:11" x14ac:dyDescent="0.3">
      <c r="K3879" t="s">
        <v>10754</v>
      </c>
    </row>
    <row r="3880" spans="11:11" x14ac:dyDescent="0.3">
      <c r="K3880" t="s">
        <v>7616</v>
      </c>
    </row>
    <row r="3881" spans="11:11" x14ac:dyDescent="0.3">
      <c r="K3881" t="s">
        <v>9668</v>
      </c>
    </row>
    <row r="3882" spans="11:11" x14ac:dyDescent="0.3">
      <c r="K3882" t="s">
        <v>10409</v>
      </c>
    </row>
    <row r="3883" spans="11:11" x14ac:dyDescent="0.3">
      <c r="K3883" t="s">
        <v>9192</v>
      </c>
    </row>
    <row r="3884" spans="11:11" x14ac:dyDescent="0.3">
      <c r="K3884" t="s">
        <v>8329</v>
      </c>
    </row>
    <row r="3885" spans="11:11" x14ac:dyDescent="0.3">
      <c r="K3885" t="s">
        <v>9193</v>
      </c>
    </row>
    <row r="3886" spans="11:11" x14ac:dyDescent="0.3">
      <c r="K3886" t="s">
        <v>9194</v>
      </c>
    </row>
    <row r="3887" spans="11:11" x14ac:dyDescent="0.3">
      <c r="K3887" t="s">
        <v>6079</v>
      </c>
    </row>
    <row r="3888" spans="11:11" x14ac:dyDescent="0.3">
      <c r="K3888" t="s">
        <v>7074</v>
      </c>
    </row>
    <row r="3889" spans="11:11" x14ac:dyDescent="0.3">
      <c r="K3889" t="s">
        <v>6872</v>
      </c>
    </row>
    <row r="3890" spans="11:11" x14ac:dyDescent="0.3">
      <c r="K3890" t="s">
        <v>6667</v>
      </c>
    </row>
    <row r="3891" spans="11:11" x14ac:dyDescent="0.3">
      <c r="K3891" t="s">
        <v>6873</v>
      </c>
    </row>
    <row r="3892" spans="11:11" x14ac:dyDescent="0.3">
      <c r="K3892" t="s">
        <v>10410</v>
      </c>
    </row>
    <row r="3893" spans="11:11" x14ac:dyDescent="0.3">
      <c r="K3893" t="s">
        <v>7210</v>
      </c>
    </row>
    <row r="3894" spans="11:11" x14ac:dyDescent="0.3">
      <c r="K3894" t="s">
        <v>6874</v>
      </c>
    </row>
    <row r="3895" spans="11:11" x14ac:dyDescent="0.3">
      <c r="K3895" t="s">
        <v>8330</v>
      </c>
    </row>
    <row r="3896" spans="11:11" x14ac:dyDescent="0.3">
      <c r="K3896" t="s">
        <v>7287</v>
      </c>
    </row>
    <row r="3897" spans="11:11" x14ac:dyDescent="0.3">
      <c r="K3897" t="s">
        <v>7288</v>
      </c>
    </row>
    <row r="3898" spans="11:11" x14ac:dyDescent="0.3">
      <c r="K3898" t="s">
        <v>7617</v>
      </c>
    </row>
    <row r="3899" spans="11:11" x14ac:dyDescent="0.3">
      <c r="K3899" t="s">
        <v>10755</v>
      </c>
    </row>
    <row r="3900" spans="11:11" x14ac:dyDescent="0.3">
      <c r="K3900" t="s">
        <v>8331</v>
      </c>
    </row>
    <row r="3901" spans="11:11" x14ac:dyDescent="0.3">
      <c r="K3901" t="s">
        <v>8332</v>
      </c>
    </row>
    <row r="3902" spans="11:11" x14ac:dyDescent="0.3">
      <c r="K3902" t="s">
        <v>7618</v>
      </c>
    </row>
    <row r="3903" spans="11:11" x14ac:dyDescent="0.3">
      <c r="K3903" t="s">
        <v>9195</v>
      </c>
    </row>
    <row r="3904" spans="11:11" x14ac:dyDescent="0.3">
      <c r="K3904" t="s">
        <v>6875</v>
      </c>
    </row>
    <row r="3905" spans="11:11" x14ac:dyDescent="0.3">
      <c r="K3905" t="s">
        <v>7075</v>
      </c>
    </row>
    <row r="3906" spans="11:11" x14ac:dyDescent="0.3">
      <c r="K3906" t="s">
        <v>9993</v>
      </c>
    </row>
    <row r="3907" spans="11:11" x14ac:dyDescent="0.3">
      <c r="K3907" t="s">
        <v>9196</v>
      </c>
    </row>
    <row r="3908" spans="11:11" x14ac:dyDescent="0.3">
      <c r="K3908" t="s">
        <v>8333</v>
      </c>
    </row>
    <row r="3909" spans="11:11" x14ac:dyDescent="0.3">
      <c r="K3909" t="s">
        <v>9197</v>
      </c>
    </row>
    <row r="3910" spans="11:11" x14ac:dyDescent="0.3">
      <c r="K3910" t="s">
        <v>5728</v>
      </c>
    </row>
    <row r="3911" spans="11:11" x14ac:dyDescent="0.3">
      <c r="K3911" t="s">
        <v>9669</v>
      </c>
    </row>
    <row r="3912" spans="11:11" x14ac:dyDescent="0.3">
      <c r="K3912" t="s">
        <v>10647</v>
      </c>
    </row>
    <row r="3913" spans="11:11" x14ac:dyDescent="0.3">
      <c r="K3913" t="s">
        <v>10756</v>
      </c>
    </row>
    <row r="3914" spans="11:11" x14ac:dyDescent="0.3">
      <c r="K3914" t="s">
        <v>9670</v>
      </c>
    </row>
    <row r="3915" spans="11:11" x14ac:dyDescent="0.3">
      <c r="K3915" t="s">
        <v>9198</v>
      </c>
    </row>
    <row r="3916" spans="11:11" x14ac:dyDescent="0.3">
      <c r="K3916" t="s">
        <v>10993</v>
      </c>
    </row>
    <row r="3917" spans="11:11" x14ac:dyDescent="0.3">
      <c r="K3917" t="s">
        <v>9199</v>
      </c>
    </row>
    <row r="3918" spans="11:11" x14ac:dyDescent="0.3">
      <c r="K3918" t="s">
        <v>10411</v>
      </c>
    </row>
    <row r="3919" spans="11:11" x14ac:dyDescent="0.3">
      <c r="K3919" t="s">
        <v>5894</v>
      </c>
    </row>
    <row r="3920" spans="11:11" x14ac:dyDescent="0.3">
      <c r="K3920" t="s">
        <v>9995</v>
      </c>
    </row>
    <row r="3921" spans="11:11" x14ac:dyDescent="0.3">
      <c r="K3921" t="s">
        <v>5895</v>
      </c>
    </row>
    <row r="3922" spans="11:11" x14ac:dyDescent="0.3">
      <c r="K3922" t="s">
        <v>9994</v>
      </c>
    </row>
    <row r="3923" spans="11:11" x14ac:dyDescent="0.3">
      <c r="K3923" t="s">
        <v>10757</v>
      </c>
    </row>
    <row r="3924" spans="11:11" x14ac:dyDescent="0.3">
      <c r="K3924" t="s">
        <v>8334</v>
      </c>
    </row>
    <row r="3925" spans="11:11" x14ac:dyDescent="0.3">
      <c r="K3925" t="s">
        <v>10412</v>
      </c>
    </row>
    <row r="3926" spans="11:11" x14ac:dyDescent="0.3">
      <c r="K3926" t="s">
        <v>9996</v>
      </c>
    </row>
    <row r="3927" spans="11:11" x14ac:dyDescent="0.3">
      <c r="K3927" t="s">
        <v>10758</v>
      </c>
    </row>
    <row r="3928" spans="11:11" x14ac:dyDescent="0.3">
      <c r="K3928" t="s">
        <v>9200</v>
      </c>
    </row>
    <row r="3929" spans="11:11" x14ac:dyDescent="0.3">
      <c r="K3929" t="s">
        <v>8637</v>
      </c>
    </row>
    <row r="3930" spans="11:11" x14ac:dyDescent="0.3">
      <c r="K3930" t="s">
        <v>8335</v>
      </c>
    </row>
    <row r="3931" spans="11:11" x14ac:dyDescent="0.3">
      <c r="K3931" t="s">
        <v>8336</v>
      </c>
    </row>
    <row r="3932" spans="11:11" x14ac:dyDescent="0.3">
      <c r="K3932" t="s">
        <v>7619</v>
      </c>
    </row>
    <row r="3933" spans="11:11" x14ac:dyDescent="0.3">
      <c r="K3933" t="s">
        <v>9201</v>
      </c>
    </row>
    <row r="3934" spans="11:11" x14ac:dyDescent="0.3">
      <c r="K3934" t="s">
        <v>6517</v>
      </c>
    </row>
    <row r="3935" spans="11:11" x14ac:dyDescent="0.3">
      <c r="K3935" t="s">
        <v>9202</v>
      </c>
    </row>
    <row r="3936" spans="11:11" x14ac:dyDescent="0.3">
      <c r="K3936" t="s">
        <v>10994</v>
      </c>
    </row>
    <row r="3937" spans="11:11" x14ac:dyDescent="0.3">
      <c r="K3937" t="s">
        <v>8715</v>
      </c>
    </row>
    <row r="3938" spans="11:11" x14ac:dyDescent="0.3">
      <c r="K3938" t="s">
        <v>9671</v>
      </c>
    </row>
    <row r="3939" spans="11:11" x14ac:dyDescent="0.3">
      <c r="K3939" t="s">
        <v>6668</v>
      </c>
    </row>
    <row r="3940" spans="11:11" x14ac:dyDescent="0.3">
      <c r="K3940" t="s">
        <v>10413</v>
      </c>
    </row>
    <row r="3941" spans="11:11" x14ac:dyDescent="0.3">
      <c r="K3941" t="s">
        <v>10995</v>
      </c>
    </row>
    <row r="3942" spans="11:11" x14ac:dyDescent="0.3">
      <c r="K3942" t="s">
        <v>6518</v>
      </c>
    </row>
    <row r="3943" spans="11:11" x14ac:dyDescent="0.3">
      <c r="K3943" t="s">
        <v>8337</v>
      </c>
    </row>
    <row r="3944" spans="11:11" x14ac:dyDescent="0.3">
      <c r="K3944" t="s">
        <v>5729</v>
      </c>
    </row>
    <row r="3945" spans="11:11" x14ac:dyDescent="0.3">
      <c r="K3945" t="s">
        <v>10996</v>
      </c>
    </row>
    <row r="3946" spans="11:11" x14ac:dyDescent="0.3">
      <c r="K3946" t="s">
        <v>5556</v>
      </c>
    </row>
    <row r="3947" spans="11:11" x14ac:dyDescent="0.3">
      <c r="K3947" t="s">
        <v>10759</v>
      </c>
    </row>
    <row r="3948" spans="11:11" x14ac:dyDescent="0.3">
      <c r="K3948" t="s">
        <v>6315</v>
      </c>
    </row>
    <row r="3949" spans="11:11" x14ac:dyDescent="0.3">
      <c r="K3949" t="s">
        <v>5896</v>
      </c>
    </row>
    <row r="3950" spans="11:11" x14ac:dyDescent="0.3">
      <c r="K3950" t="s">
        <v>10414</v>
      </c>
    </row>
    <row r="3951" spans="11:11" x14ac:dyDescent="0.3">
      <c r="K3951" t="s">
        <v>9672</v>
      </c>
    </row>
    <row r="3952" spans="11:11" x14ac:dyDescent="0.3">
      <c r="K3952" t="s">
        <v>9673</v>
      </c>
    </row>
    <row r="3953" spans="11:11" x14ac:dyDescent="0.3">
      <c r="K3953" t="s">
        <v>9997</v>
      </c>
    </row>
    <row r="3954" spans="11:11" x14ac:dyDescent="0.3">
      <c r="K3954" t="s">
        <v>7211</v>
      </c>
    </row>
    <row r="3955" spans="11:11" x14ac:dyDescent="0.3">
      <c r="K3955" t="s">
        <v>7289</v>
      </c>
    </row>
    <row r="3956" spans="11:11" x14ac:dyDescent="0.3">
      <c r="K3956" t="s">
        <v>5730</v>
      </c>
    </row>
    <row r="3957" spans="11:11" x14ac:dyDescent="0.3">
      <c r="K3957" t="s">
        <v>7212</v>
      </c>
    </row>
    <row r="3958" spans="11:11" x14ac:dyDescent="0.3">
      <c r="K3958" t="s">
        <v>6669</v>
      </c>
    </row>
    <row r="3959" spans="11:11" x14ac:dyDescent="0.3">
      <c r="K3959" t="s">
        <v>10760</v>
      </c>
    </row>
    <row r="3960" spans="11:11" x14ac:dyDescent="0.3">
      <c r="K3960" t="s">
        <v>10761</v>
      </c>
    </row>
    <row r="3961" spans="11:11" x14ac:dyDescent="0.3">
      <c r="K3961" t="s">
        <v>10762</v>
      </c>
    </row>
    <row r="3962" spans="11:11" x14ac:dyDescent="0.3">
      <c r="K3962" t="s">
        <v>9203</v>
      </c>
    </row>
    <row r="3963" spans="11:11" x14ac:dyDescent="0.3">
      <c r="K3963" t="s">
        <v>9204</v>
      </c>
    </row>
    <row r="3964" spans="11:11" x14ac:dyDescent="0.3">
      <c r="K3964" t="s">
        <v>8338</v>
      </c>
    </row>
    <row r="3965" spans="11:11" x14ac:dyDescent="0.3">
      <c r="K3965" t="s">
        <v>6080</v>
      </c>
    </row>
    <row r="3966" spans="11:11" x14ac:dyDescent="0.3">
      <c r="K3966" t="s">
        <v>5789</v>
      </c>
    </row>
    <row r="3967" spans="11:11" x14ac:dyDescent="0.3">
      <c r="K3967" t="s">
        <v>10415</v>
      </c>
    </row>
    <row r="3968" spans="11:11" x14ac:dyDescent="0.3">
      <c r="K3968" t="s">
        <v>10416</v>
      </c>
    </row>
    <row r="3969" spans="11:11" x14ac:dyDescent="0.3">
      <c r="K3969" t="s">
        <v>10648</v>
      </c>
    </row>
    <row r="3970" spans="11:11" x14ac:dyDescent="0.3">
      <c r="K3970" t="s">
        <v>5897</v>
      </c>
    </row>
    <row r="3971" spans="11:11" x14ac:dyDescent="0.3">
      <c r="K3971" t="s">
        <v>7213</v>
      </c>
    </row>
    <row r="3972" spans="11:11" x14ac:dyDescent="0.3">
      <c r="K3972" t="s">
        <v>8716</v>
      </c>
    </row>
    <row r="3973" spans="11:11" x14ac:dyDescent="0.3">
      <c r="K3973" t="s">
        <v>6081</v>
      </c>
    </row>
    <row r="3974" spans="11:11" x14ac:dyDescent="0.3">
      <c r="K3974" t="s">
        <v>9674</v>
      </c>
    </row>
    <row r="3975" spans="11:11" x14ac:dyDescent="0.3">
      <c r="K3975" t="s">
        <v>7620</v>
      </c>
    </row>
    <row r="3976" spans="11:11" x14ac:dyDescent="0.3">
      <c r="K3976" t="s">
        <v>9998</v>
      </c>
    </row>
    <row r="3977" spans="11:11" x14ac:dyDescent="0.3">
      <c r="K3977" t="s">
        <v>5499</v>
      </c>
    </row>
    <row r="3978" spans="11:11" x14ac:dyDescent="0.3">
      <c r="K3978" t="s">
        <v>10417</v>
      </c>
    </row>
    <row r="3979" spans="11:11" x14ac:dyDescent="0.3">
      <c r="K3979" t="s">
        <v>9675</v>
      </c>
    </row>
    <row r="3980" spans="11:11" x14ac:dyDescent="0.3">
      <c r="K3980" t="s">
        <v>5548</v>
      </c>
    </row>
    <row r="3981" spans="11:11" x14ac:dyDescent="0.3">
      <c r="K3981" t="s">
        <v>10418</v>
      </c>
    </row>
    <row r="3982" spans="11:11" x14ac:dyDescent="0.3">
      <c r="K3982" t="s">
        <v>6314</v>
      </c>
    </row>
    <row r="3983" spans="11:11" x14ac:dyDescent="0.3">
      <c r="K3983" t="s">
        <v>10997</v>
      </c>
    </row>
    <row r="3984" spans="11:11" x14ac:dyDescent="0.3">
      <c r="K3984" t="s">
        <v>8339</v>
      </c>
    </row>
    <row r="3985" spans="11:11" x14ac:dyDescent="0.3">
      <c r="K3985" t="s">
        <v>6519</v>
      </c>
    </row>
    <row r="3986" spans="11:11" x14ac:dyDescent="0.3">
      <c r="K3986" t="s">
        <v>9205</v>
      </c>
    </row>
    <row r="3987" spans="11:11" x14ac:dyDescent="0.3">
      <c r="K3987" t="s">
        <v>7621</v>
      </c>
    </row>
    <row r="3988" spans="11:11" x14ac:dyDescent="0.3">
      <c r="K3988" t="s">
        <v>9206</v>
      </c>
    </row>
    <row r="3989" spans="11:11" x14ac:dyDescent="0.3">
      <c r="K3989" t="s">
        <v>6520</v>
      </c>
    </row>
    <row r="3990" spans="11:11" x14ac:dyDescent="0.3">
      <c r="K3990" t="s">
        <v>8340</v>
      </c>
    </row>
    <row r="3991" spans="11:11" x14ac:dyDescent="0.3">
      <c r="K3991" t="s">
        <v>8341</v>
      </c>
    </row>
    <row r="3992" spans="11:11" x14ac:dyDescent="0.3">
      <c r="K3992" t="s">
        <v>10419</v>
      </c>
    </row>
    <row r="3993" spans="11:11" x14ac:dyDescent="0.3">
      <c r="K3993" t="s">
        <v>9999</v>
      </c>
    </row>
    <row r="3994" spans="11:11" x14ac:dyDescent="0.3">
      <c r="K3994" t="s">
        <v>10763</v>
      </c>
    </row>
    <row r="3995" spans="11:11" x14ac:dyDescent="0.3">
      <c r="K3995" t="s">
        <v>9207</v>
      </c>
    </row>
    <row r="3996" spans="11:11" x14ac:dyDescent="0.3">
      <c r="K3996" t="s">
        <v>5790</v>
      </c>
    </row>
    <row r="3997" spans="11:11" x14ac:dyDescent="0.3">
      <c r="K3997" t="s">
        <v>9676</v>
      </c>
    </row>
    <row r="3998" spans="11:11" x14ac:dyDescent="0.3">
      <c r="K3998" t="s">
        <v>7622</v>
      </c>
    </row>
    <row r="3999" spans="11:11" x14ac:dyDescent="0.3">
      <c r="K3999" t="s">
        <v>9208</v>
      </c>
    </row>
    <row r="4000" spans="11:11" x14ac:dyDescent="0.3">
      <c r="K4000" t="s">
        <v>8342</v>
      </c>
    </row>
    <row r="4001" spans="11:11" x14ac:dyDescent="0.3">
      <c r="K4001" t="s">
        <v>10000</v>
      </c>
    </row>
    <row r="4002" spans="11:11" x14ac:dyDescent="0.3">
      <c r="K4002" t="s">
        <v>9209</v>
      </c>
    </row>
    <row r="4003" spans="11:11" x14ac:dyDescent="0.3">
      <c r="K4003" t="s">
        <v>5898</v>
      </c>
    </row>
    <row r="4004" spans="11:11" x14ac:dyDescent="0.3">
      <c r="K4004" t="s">
        <v>5731</v>
      </c>
    </row>
    <row r="4005" spans="11:11" x14ac:dyDescent="0.3">
      <c r="K4005" t="s">
        <v>9677</v>
      </c>
    </row>
    <row r="4006" spans="11:11" x14ac:dyDescent="0.3">
      <c r="K4006" t="s">
        <v>6316</v>
      </c>
    </row>
    <row r="4007" spans="11:11" x14ac:dyDescent="0.3">
      <c r="K4007" t="s">
        <v>8343</v>
      </c>
    </row>
    <row r="4008" spans="11:11" x14ac:dyDescent="0.3">
      <c r="K4008" t="s">
        <v>6876</v>
      </c>
    </row>
    <row r="4009" spans="11:11" x14ac:dyDescent="0.3">
      <c r="K4009" t="s">
        <v>9210</v>
      </c>
    </row>
    <row r="4010" spans="11:11" x14ac:dyDescent="0.3">
      <c r="K4010" t="s">
        <v>8344</v>
      </c>
    </row>
    <row r="4011" spans="11:11" x14ac:dyDescent="0.3">
      <c r="K4011" t="s">
        <v>8345</v>
      </c>
    </row>
    <row r="4012" spans="11:11" x14ac:dyDescent="0.3">
      <c r="K4012" t="s">
        <v>9211</v>
      </c>
    </row>
    <row r="4013" spans="11:11" x14ac:dyDescent="0.3">
      <c r="K4013" t="s">
        <v>8346</v>
      </c>
    </row>
    <row r="4014" spans="11:11" x14ac:dyDescent="0.3">
      <c r="K4014" t="s">
        <v>9212</v>
      </c>
    </row>
    <row r="4015" spans="11:11" x14ac:dyDescent="0.3">
      <c r="K4015" t="s">
        <v>9678</v>
      </c>
    </row>
    <row r="4016" spans="11:11" x14ac:dyDescent="0.3">
      <c r="K4016" t="s">
        <v>10001</v>
      </c>
    </row>
    <row r="4017" spans="11:11" x14ac:dyDescent="0.3">
      <c r="K4017" t="s">
        <v>7623</v>
      </c>
    </row>
    <row r="4018" spans="11:11" x14ac:dyDescent="0.3">
      <c r="K4018" t="s">
        <v>6082</v>
      </c>
    </row>
    <row r="4019" spans="11:11" x14ac:dyDescent="0.3">
      <c r="K4019" t="s">
        <v>9213</v>
      </c>
    </row>
    <row r="4020" spans="11:11" x14ac:dyDescent="0.3">
      <c r="K4020" t="s">
        <v>5604</v>
      </c>
    </row>
    <row r="4021" spans="11:11" x14ac:dyDescent="0.3">
      <c r="K4021" t="s">
        <v>10002</v>
      </c>
    </row>
    <row r="4022" spans="11:11" x14ac:dyDescent="0.3">
      <c r="K4022" t="s">
        <v>7624</v>
      </c>
    </row>
    <row r="4023" spans="11:11" x14ac:dyDescent="0.3">
      <c r="K4023" t="s">
        <v>6083</v>
      </c>
    </row>
    <row r="4024" spans="11:11" x14ac:dyDescent="0.3">
      <c r="K4024" t="s">
        <v>8347</v>
      </c>
    </row>
    <row r="4025" spans="11:11" x14ac:dyDescent="0.3">
      <c r="K4025" t="s">
        <v>6670</v>
      </c>
    </row>
    <row r="4026" spans="11:11" x14ac:dyDescent="0.3">
      <c r="K4026" t="s">
        <v>8638</v>
      </c>
    </row>
    <row r="4027" spans="11:11" x14ac:dyDescent="0.3">
      <c r="K4027" t="s">
        <v>5899</v>
      </c>
    </row>
    <row r="4028" spans="11:11" x14ac:dyDescent="0.3">
      <c r="K4028" t="s">
        <v>8348</v>
      </c>
    </row>
    <row r="4029" spans="11:11" x14ac:dyDescent="0.3">
      <c r="K4029" t="s">
        <v>10420</v>
      </c>
    </row>
    <row r="4030" spans="11:11" x14ac:dyDescent="0.3">
      <c r="K4030" t="s">
        <v>6084</v>
      </c>
    </row>
    <row r="4031" spans="11:11" x14ac:dyDescent="0.3">
      <c r="K4031" t="s">
        <v>5500</v>
      </c>
    </row>
    <row r="4032" spans="11:11" x14ac:dyDescent="0.3">
      <c r="K4032" t="s">
        <v>10003</v>
      </c>
    </row>
    <row r="4033" spans="11:11" x14ac:dyDescent="0.3">
      <c r="K4033" t="s">
        <v>8349</v>
      </c>
    </row>
    <row r="4034" spans="11:11" x14ac:dyDescent="0.3">
      <c r="K4034" t="s">
        <v>9214</v>
      </c>
    </row>
    <row r="4035" spans="11:11" x14ac:dyDescent="0.3">
      <c r="K4035" t="s">
        <v>6085</v>
      </c>
    </row>
    <row r="4036" spans="11:11" x14ac:dyDescent="0.3">
      <c r="K4036" t="s">
        <v>7625</v>
      </c>
    </row>
    <row r="4037" spans="11:11" x14ac:dyDescent="0.3">
      <c r="K4037" t="s">
        <v>6086</v>
      </c>
    </row>
    <row r="4038" spans="11:11" x14ac:dyDescent="0.3">
      <c r="K4038" t="s">
        <v>9215</v>
      </c>
    </row>
    <row r="4039" spans="11:11" x14ac:dyDescent="0.3">
      <c r="K4039" t="s">
        <v>5526</v>
      </c>
    </row>
    <row r="4040" spans="11:11" x14ac:dyDescent="0.3">
      <c r="K4040" t="s">
        <v>10764</v>
      </c>
    </row>
    <row r="4041" spans="11:11" x14ac:dyDescent="0.3">
      <c r="K4041" t="s">
        <v>5732</v>
      </c>
    </row>
    <row r="4042" spans="11:11" x14ac:dyDescent="0.3">
      <c r="K4042" t="s">
        <v>7076</v>
      </c>
    </row>
    <row r="4043" spans="11:11" x14ac:dyDescent="0.3">
      <c r="K4043" t="s">
        <v>6087</v>
      </c>
    </row>
    <row r="4044" spans="11:11" x14ac:dyDescent="0.3">
      <c r="K4044" t="s">
        <v>9679</v>
      </c>
    </row>
    <row r="4045" spans="11:11" x14ac:dyDescent="0.3">
      <c r="K4045" t="s">
        <v>6877</v>
      </c>
    </row>
    <row r="4046" spans="11:11" x14ac:dyDescent="0.3">
      <c r="K4046" t="s">
        <v>10004</v>
      </c>
    </row>
    <row r="4047" spans="11:11" x14ac:dyDescent="0.3">
      <c r="K4047" t="s">
        <v>10998</v>
      </c>
    </row>
    <row r="4048" spans="11:11" x14ac:dyDescent="0.3">
      <c r="K4048" t="s">
        <v>10421</v>
      </c>
    </row>
    <row r="4049" spans="11:11" x14ac:dyDescent="0.3">
      <c r="K4049" t="s">
        <v>9216</v>
      </c>
    </row>
    <row r="4050" spans="11:11" x14ac:dyDescent="0.3">
      <c r="K4050" t="s">
        <v>7290</v>
      </c>
    </row>
    <row r="4051" spans="11:11" x14ac:dyDescent="0.3">
      <c r="K4051" t="s">
        <v>10422</v>
      </c>
    </row>
    <row r="4052" spans="11:11" x14ac:dyDescent="0.3">
      <c r="K4052" t="s">
        <v>8351</v>
      </c>
    </row>
    <row r="4053" spans="11:11" x14ac:dyDescent="0.3">
      <c r="K4053" t="s">
        <v>9680</v>
      </c>
    </row>
    <row r="4054" spans="11:11" x14ac:dyDescent="0.3">
      <c r="K4054" t="s">
        <v>5900</v>
      </c>
    </row>
    <row r="4055" spans="11:11" x14ac:dyDescent="0.3">
      <c r="K4055" t="s">
        <v>6671</v>
      </c>
    </row>
    <row r="4056" spans="11:11" x14ac:dyDescent="0.3">
      <c r="K4056" t="s">
        <v>10423</v>
      </c>
    </row>
    <row r="4057" spans="11:11" x14ac:dyDescent="0.3">
      <c r="K4057" t="s">
        <v>6878</v>
      </c>
    </row>
    <row r="4058" spans="11:11" x14ac:dyDescent="0.3">
      <c r="K4058" t="s">
        <v>9217</v>
      </c>
    </row>
    <row r="4059" spans="11:11" x14ac:dyDescent="0.3">
      <c r="K4059" t="s">
        <v>10424</v>
      </c>
    </row>
    <row r="4060" spans="11:11" x14ac:dyDescent="0.3">
      <c r="K4060" t="s">
        <v>8352</v>
      </c>
    </row>
    <row r="4061" spans="11:11" x14ac:dyDescent="0.3">
      <c r="K4061" t="s">
        <v>9681</v>
      </c>
    </row>
    <row r="4062" spans="11:11" x14ac:dyDescent="0.3">
      <c r="K4062" t="s">
        <v>9218</v>
      </c>
    </row>
    <row r="4063" spans="11:11" x14ac:dyDescent="0.3">
      <c r="K4063" t="s">
        <v>9682</v>
      </c>
    </row>
    <row r="4064" spans="11:11" x14ac:dyDescent="0.3">
      <c r="K4064" t="s">
        <v>5733</v>
      </c>
    </row>
    <row r="4065" spans="11:11" x14ac:dyDescent="0.3">
      <c r="K4065" t="s">
        <v>8717</v>
      </c>
    </row>
    <row r="4066" spans="11:11" x14ac:dyDescent="0.3">
      <c r="K4066" t="s">
        <v>9683</v>
      </c>
    </row>
    <row r="4067" spans="11:11" x14ac:dyDescent="0.3">
      <c r="K4067" t="s">
        <v>10425</v>
      </c>
    </row>
    <row r="4068" spans="11:11" x14ac:dyDescent="0.3">
      <c r="K4068" t="s">
        <v>9684</v>
      </c>
    </row>
    <row r="4069" spans="11:11" x14ac:dyDescent="0.3">
      <c r="K4069" t="s">
        <v>7214</v>
      </c>
    </row>
    <row r="4070" spans="11:11" x14ac:dyDescent="0.3">
      <c r="K4070" t="s">
        <v>9685</v>
      </c>
    </row>
    <row r="4071" spans="11:11" x14ac:dyDescent="0.3">
      <c r="K4071" t="s">
        <v>6317</v>
      </c>
    </row>
    <row r="4072" spans="11:11" x14ac:dyDescent="0.3">
      <c r="K4072" t="s">
        <v>7626</v>
      </c>
    </row>
    <row r="4073" spans="11:11" x14ac:dyDescent="0.3">
      <c r="K4073" t="s">
        <v>6879</v>
      </c>
    </row>
    <row r="4074" spans="11:11" x14ac:dyDescent="0.3">
      <c r="K4074" t="s">
        <v>8718</v>
      </c>
    </row>
    <row r="4075" spans="11:11" x14ac:dyDescent="0.3">
      <c r="K4075" t="s">
        <v>9219</v>
      </c>
    </row>
    <row r="4076" spans="11:11" x14ac:dyDescent="0.3">
      <c r="K4076" t="s">
        <v>9220</v>
      </c>
    </row>
    <row r="4077" spans="11:11" x14ac:dyDescent="0.3">
      <c r="K4077" t="s">
        <v>8353</v>
      </c>
    </row>
    <row r="4078" spans="11:11" x14ac:dyDescent="0.3">
      <c r="K4078" t="s">
        <v>9686</v>
      </c>
    </row>
    <row r="4079" spans="11:11" x14ac:dyDescent="0.3">
      <c r="K4079" t="s">
        <v>10765</v>
      </c>
    </row>
    <row r="4080" spans="11:11" x14ac:dyDescent="0.3">
      <c r="K4080" t="s">
        <v>10426</v>
      </c>
    </row>
    <row r="4081" spans="11:11" x14ac:dyDescent="0.3">
      <c r="K4081" t="s">
        <v>7627</v>
      </c>
    </row>
    <row r="4082" spans="11:11" x14ac:dyDescent="0.3">
      <c r="K4082" t="s">
        <v>10005</v>
      </c>
    </row>
    <row r="4083" spans="11:11" x14ac:dyDescent="0.3">
      <c r="K4083" t="s">
        <v>9687</v>
      </c>
    </row>
    <row r="4084" spans="11:11" x14ac:dyDescent="0.3">
      <c r="K4084" t="s">
        <v>9221</v>
      </c>
    </row>
    <row r="4085" spans="11:11" x14ac:dyDescent="0.3">
      <c r="K4085" t="s">
        <v>10427</v>
      </c>
    </row>
    <row r="4086" spans="11:11" x14ac:dyDescent="0.3">
      <c r="K4086" t="s">
        <v>7077</v>
      </c>
    </row>
    <row r="4087" spans="11:11" x14ac:dyDescent="0.3">
      <c r="K4087" t="s">
        <v>10999</v>
      </c>
    </row>
    <row r="4088" spans="11:11" x14ac:dyDescent="0.3">
      <c r="K4088" t="s">
        <v>8719</v>
      </c>
    </row>
    <row r="4089" spans="11:11" x14ac:dyDescent="0.3">
      <c r="K4089" t="s">
        <v>9688</v>
      </c>
    </row>
    <row r="4090" spans="11:11" x14ac:dyDescent="0.3">
      <c r="K4090" t="s">
        <v>6521</v>
      </c>
    </row>
    <row r="4091" spans="11:11" x14ac:dyDescent="0.3">
      <c r="K4091" t="s">
        <v>6880</v>
      </c>
    </row>
    <row r="4092" spans="11:11" x14ac:dyDescent="0.3">
      <c r="K4092" t="s">
        <v>7078</v>
      </c>
    </row>
    <row r="4093" spans="11:11" x14ac:dyDescent="0.3">
      <c r="K4093" t="s">
        <v>7628</v>
      </c>
    </row>
    <row r="4094" spans="11:11" x14ac:dyDescent="0.3">
      <c r="K4094" t="s">
        <v>6522</v>
      </c>
    </row>
    <row r="4095" spans="11:11" x14ac:dyDescent="0.3">
      <c r="K4095" t="s">
        <v>6523</v>
      </c>
    </row>
    <row r="4096" spans="11:11" x14ac:dyDescent="0.3">
      <c r="K4096" t="s">
        <v>6524</v>
      </c>
    </row>
    <row r="4097" spans="11:11" x14ac:dyDescent="0.3">
      <c r="K4097" t="s">
        <v>6525</v>
      </c>
    </row>
    <row r="4098" spans="11:11" x14ac:dyDescent="0.3">
      <c r="K4098" t="s">
        <v>6672</v>
      </c>
    </row>
    <row r="4099" spans="11:11" x14ac:dyDescent="0.3">
      <c r="K4099" t="s">
        <v>6673</v>
      </c>
    </row>
    <row r="4100" spans="11:11" x14ac:dyDescent="0.3">
      <c r="K4100" t="s">
        <v>7629</v>
      </c>
    </row>
    <row r="4101" spans="11:11" x14ac:dyDescent="0.3">
      <c r="K4101" t="s">
        <v>9222</v>
      </c>
    </row>
    <row r="4102" spans="11:11" x14ac:dyDescent="0.3">
      <c r="K4102" t="s">
        <v>9689</v>
      </c>
    </row>
    <row r="4103" spans="11:11" x14ac:dyDescent="0.3">
      <c r="K4103" t="s">
        <v>9223</v>
      </c>
    </row>
    <row r="4104" spans="11:11" x14ac:dyDescent="0.3">
      <c r="K4104" t="s">
        <v>9691</v>
      </c>
    </row>
    <row r="4105" spans="11:11" x14ac:dyDescent="0.3">
      <c r="K4105" t="s">
        <v>9690</v>
      </c>
    </row>
    <row r="4106" spans="11:11" x14ac:dyDescent="0.3">
      <c r="K4106" t="s">
        <v>10006</v>
      </c>
    </row>
    <row r="4107" spans="11:11" x14ac:dyDescent="0.3">
      <c r="K4107" t="s">
        <v>6088</v>
      </c>
    </row>
    <row r="4108" spans="11:11" x14ac:dyDescent="0.3">
      <c r="K4108" t="s">
        <v>8354</v>
      </c>
    </row>
    <row r="4109" spans="11:11" x14ac:dyDescent="0.3">
      <c r="K4109" t="s">
        <v>8355</v>
      </c>
    </row>
    <row r="4110" spans="11:11" x14ac:dyDescent="0.3">
      <c r="K4110" t="s">
        <v>9692</v>
      </c>
    </row>
    <row r="4111" spans="11:11" x14ac:dyDescent="0.3">
      <c r="K4111" t="s">
        <v>9693</v>
      </c>
    </row>
    <row r="4112" spans="11:11" x14ac:dyDescent="0.3">
      <c r="K4112" t="s">
        <v>7079</v>
      </c>
    </row>
    <row r="4113" spans="11:11" x14ac:dyDescent="0.3">
      <c r="K4113" t="s">
        <v>8356</v>
      </c>
    </row>
    <row r="4114" spans="11:11" x14ac:dyDescent="0.3">
      <c r="K4114" t="s">
        <v>5901</v>
      </c>
    </row>
    <row r="4115" spans="11:11" x14ac:dyDescent="0.3">
      <c r="K4115" t="s">
        <v>9224</v>
      </c>
    </row>
    <row r="4116" spans="11:11" x14ac:dyDescent="0.3">
      <c r="K4116" t="s">
        <v>6318</v>
      </c>
    </row>
    <row r="4117" spans="11:11" x14ac:dyDescent="0.3">
      <c r="K4117" t="s">
        <v>6526</v>
      </c>
    </row>
    <row r="4118" spans="11:11" x14ac:dyDescent="0.3">
      <c r="K4118" t="s">
        <v>5734</v>
      </c>
    </row>
    <row r="4119" spans="11:11" x14ac:dyDescent="0.3">
      <c r="K4119" t="s">
        <v>10428</v>
      </c>
    </row>
    <row r="4120" spans="11:11" x14ac:dyDescent="0.3">
      <c r="K4120" t="s">
        <v>8357</v>
      </c>
    </row>
    <row r="4121" spans="11:11" x14ac:dyDescent="0.3">
      <c r="K4121" t="s">
        <v>6319</v>
      </c>
    </row>
    <row r="4122" spans="11:11" x14ac:dyDescent="0.3">
      <c r="K4122" t="s">
        <v>9225</v>
      </c>
    </row>
    <row r="4123" spans="11:11" x14ac:dyDescent="0.3">
      <c r="K4123" t="s">
        <v>9226</v>
      </c>
    </row>
    <row r="4124" spans="11:11" x14ac:dyDescent="0.3">
      <c r="K4124" t="s">
        <v>9227</v>
      </c>
    </row>
    <row r="4125" spans="11:11" x14ac:dyDescent="0.3">
      <c r="K4125" t="s">
        <v>10429</v>
      </c>
    </row>
    <row r="4126" spans="11:11" x14ac:dyDescent="0.3">
      <c r="K4126" t="s">
        <v>7630</v>
      </c>
    </row>
    <row r="4127" spans="11:11" x14ac:dyDescent="0.3">
      <c r="K4127" t="s">
        <v>6881</v>
      </c>
    </row>
    <row r="4128" spans="11:11" x14ac:dyDescent="0.3">
      <c r="K4128" t="s">
        <v>9694</v>
      </c>
    </row>
    <row r="4129" spans="11:11" x14ac:dyDescent="0.3">
      <c r="K4129" t="s">
        <v>6527</v>
      </c>
    </row>
    <row r="4130" spans="11:11" x14ac:dyDescent="0.3">
      <c r="K4130" t="s">
        <v>8358</v>
      </c>
    </row>
    <row r="4131" spans="11:11" x14ac:dyDescent="0.3">
      <c r="K4131" t="s">
        <v>8720</v>
      </c>
    </row>
    <row r="4132" spans="11:11" x14ac:dyDescent="0.3">
      <c r="K4132" t="s">
        <v>10767</v>
      </c>
    </row>
    <row r="4133" spans="11:11" x14ac:dyDescent="0.3">
      <c r="K4133" t="s">
        <v>9696</v>
      </c>
    </row>
    <row r="4134" spans="11:11" x14ac:dyDescent="0.3">
      <c r="K4134" t="s">
        <v>9695</v>
      </c>
    </row>
    <row r="4135" spans="11:11" x14ac:dyDescent="0.3">
      <c r="K4135" t="s">
        <v>8359</v>
      </c>
    </row>
    <row r="4136" spans="11:11" x14ac:dyDescent="0.3">
      <c r="K4136" t="s">
        <v>8360</v>
      </c>
    </row>
    <row r="4137" spans="11:11" x14ac:dyDescent="0.3">
      <c r="K4137" t="s">
        <v>10430</v>
      </c>
    </row>
    <row r="4138" spans="11:11" x14ac:dyDescent="0.3">
      <c r="K4138" t="s">
        <v>9228</v>
      </c>
    </row>
    <row r="4139" spans="11:11" x14ac:dyDescent="0.3">
      <c r="K4139" t="s">
        <v>7631</v>
      </c>
    </row>
    <row r="4140" spans="11:11" x14ac:dyDescent="0.3">
      <c r="K4140" t="s">
        <v>7632</v>
      </c>
    </row>
    <row r="4141" spans="11:11" x14ac:dyDescent="0.3">
      <c r="K4141" t="s">
        <v>6884</v>
      </c>
    </row>
    <row r="4142" spans="11:11" x14ac:dyDescent="0.3">
      <c r="K4142" t="s">
        <v>7291</v>
      </c>
    </row>
    <row r="4143" spans="11:11" x14ac:dyDescent="0.3">
      <c r="K4143" t="s">
        <v>7633</v>
      </c>
    </row>
    <row r="4144" spans="11:11" x14ac:dyDescent="0.3">
      <c r="K4144" t="s">
        <v>6885</v>
      </c>
    </row>
    <row r="4145" spans="11:11" x14ac:dyDescent="0.3">
      <c r="K4145" t="s">
        <v>6089</v>
      </c>
    </row>
    <row r="4146" spans="11:11" x14ac:dyDescent="0.3">
      <c r="K4146" t="s">
        <v>6883</v>
      </c>
    </row>
    <row r="4147" spans="11:11" x14ac:dyDescent="0.3">
      <c r="K4147" t="s">
        <v>8361</v>
      </c>
    </row>
    <row r="4148" spans="11:11" x14ac:dyDescent="0.3">
      <c r="K4148" t="s">
        <v>5902</v>
      </c>
    </row>
    <row r="4149" spans="11:11" x14ac:dyDescent="0.3">
      <c r="K4149" t="s">
        <v>6674</v>
      </c>
    </row>
    <row r="4150" spans="11:11" x14ac:dyDescent="0.3">
      <c r="K4150" t="s">
        <v>7080</v>
      </c>
    </row>
    <row r="4151" spans="11:11" x14ac:dyDescent="0.3">
      <c r="K4151" t="s">
        <v>7634</v>
      </c>
    </row>
    <row r="4152" spans="11:11" x14ac:dyDescent="0.3">
      <c r="K4152" t="s">
        <v>6675</v>
      </c>
    </row>
    <row r="4153" spans="11:11" x14ac:dyDescent="0.3">
      <c r="K4153" t="s">
        <v>6886</v>
      </c>
    </row>
    <row r="4154" spans="11:11" x14ac:dyDescent="0.3">
      <c r="K4154" t="s">
        <v>6887</v>
      </c>
    </row>
    <row r="4155" spans="11:11" x14ac:dyDescent="0.3">
      <c r="K4155" t="s">
        <v>8362</v>
      </c>
    </row>
    <row r="4156" spans="11:11" x14ac:dyDescent="0.3">
      <c r="K4156" t="s">
        <v>6320</v>
      </c>
    </row>
    <row r="4157" spans="11:11" x14ac:dyDescent="0.3">
      <c r="K4157" t="s">
        <v>6676</v>
      </c>
    </row>
    <row r="4158" spans="11:11" x14ac:dyDescent="0.3">
      <c r="K4158" t="s">
        <v>7292</v>
      </c>
    </row>
    <row r="4159" spans="11:11" x14ac:dyDescent="0.3">
      <c r="K4159" t="s">
        <v>11000</v>
      </c>
    </row>
    <row r="4160" spans="11:11" x14ac:dyDescent="0.3">
      <c r="K4160" t="s">
        <v>11001</v>
      </c>
    </row>
    <row r="4161" spans="11:11" x14ac:dyDescent="0.3">
      <c r="K4161" t="s">
        <v>6090</v>
      </c>
    </row>
    <row r="4162" spans="11:11" x14ac:dyDescent="0.3">
      <c r="K4162" t="s">
        <v>10649</v>
      </c>
    </row>
    <row r="4163" spans="11:11" x14ac:dyDescent="0.3">
      <c r="K4163" t="s">
        <v>7635</v>
      </c>
    </row>
    <row r="4164" spans="11:11" x14ac:dyDescent="0.3">
      <c r="K4164" t="s">
        <v>6321</v>
      </c>
    </row>
    <row r="4165" spans="11:11" x14ac:dyDescent="0.3">
      <c r="K4165" t="s">
        <v>7636</v>
      </c>
    </row>
    <row r="4166" spans="11:11" x14ac:dyDescent="0.3">
      <c r="K4166" t="s">
        <v>9229</v>
      </c>
    </row>
    <row r="4167" spans="11:11" x14ac:dyDescent="0.3">
      <c r="K4167" t="s">
        <v>9230</v>
      </c>
    </row>
    <row r="4168" spans="11:11" x14ac:dyDescent="0.3">
      <c r="K4168" t="s">
        <v>9231</v>
      </c>
    </row>
    <row r="4169" spans="11:11" x14ac:dyDescent="0.3">
      <c r="K4169" t="s">
        <v>10768</v>
      </c>
    </row>
    <row r="4170" spans="11:11" x14ac:dyDescent="0.3">
      <c r="K4170" t="s">
        <v>9697</v>
      </c>
    </row>
    <row r="4171" spans="11:11" x14ac:dyDescent="0.3">
      <c r="K4171" t="s">
        <v>9232</v>
      </c>
    </row>
    <row r="4172" spans="11:11" x14ac:dyDescent="0.3">
      <c r="K4172" t="s">
        <v>8363</v>
      </c>
    </row>
    <row r="4173" spans="11:11" x14ac:dyDescent="0.3">
      <c r="K4173" t="s">
        <v>7637</v>
      </c>
    </row>
    <row r="4174" spans="11:11" x14ac:dyDescent="0.3">
      <c r="K4174" t="s">
        <v>9698</v>
      </c>
    </row>
    <row r="4175" spans="11:11" x14ac:dyDescent="0.3">
      <c r="K4175" t="s">
        <v>9233</v>
      </c>
    </row>
    <row r="4176" spans="11:11" x14ac:dyDescent="0.3">
      <c r="K4176" t="s">
        <v>9234</v>
      </c>
    </row>
    <row r="4177" spans="11:11" x14ac:dyDescent="0.3">
      <c r="K4177" t="s">
        <v>9235</v>
      </c>
    </row>
    <row r="4178" spans="11:11" x14ac:dyDescent="0.3">
      <c r="K4178" t="s">
        <v>9236</v>
      </c>
    </row>
    <row r="4179" spans="11:11" x14ac:dyDescent="0.3">
      <c r="K4179" t="s">
        <v>9237</v>
      </c>
    </row>
    <row r="4180" spans="11:11" x14ac:dyDescent="0.3">
      <c r="K4180" t="s">
        <v>8364</v>
      </c>
    </row>
    <row r="4181" spans="11:11" x14ac:dyDescent="0.3">
      <c r="K4181" t="s">
        <v>7081</v>
      </c>
    </row>
    <row r="4182" spans="11:11" x14ac:dyDescent="0.3">
      <c r="K4182" t="s">
        <v>10769</v>
      </c>
    </row>
    <row r="4183" spans="11:11" x14ac:dyDescent="0.3">
      <c r="K4183" t="s">
        <v>6322</v>
      </c>
    </row>
    <row r="4184" spans="11:11" x14ac:dyDescent="0.3">
      <c r="K4184" t="s">
        <v>7293</v>
      </c>
    </row>
    <row r="4185" spans="11:11" x14ac:dyDescent="0.3">
      <c r="K4185" t="s">
        <v>9239</v>
      </c>
    </row>
    <row r="4186" spans="11:11" x14ac:dyDescent="0.3">
      <c r="K4186" t="s">
        <v>9240</v>
      </c>
    </row>
    <row r="4187" spans="11:11" x14ac:dyDescent="0.3">
      <c r="K4187" t="s">
        <v>9241</v>
      </c>
    </row>
    <row r="4188" spans="11:11" x14ac:dyDescent="0.3">
      <c r="K4188" t="s">
        <v>8365</v>
      </c>
    </row>
    <row r="4189" spans="11:11" x14ac:dyDescent="0.3">
      <c r="K4189" t="s">
        <v>9699</v>
      </c>
    </row>
    <row r="4190" spans="11:11" x14ac:dyDescent="0.3">
      <c r="K4190" t="s">
        <v>8639</v>
      </c>
    </row>
    <row r="4191" spans="11:11" x14ac:dyDescent="0.3">
      <c r="K4191" t="s">
        <v>9700</v>
      </c>
    </row>
    <row r="4192" spans="11:11" x14ac:dyDescent="0.3">
      <c r="K4192" t="s">
        <v>9701</v>
      </c>
    </row>
    <row r="4193" spans="11:11" x14ac:dyDescent="0.3">
      <c r="K4193" t="s">
        <v>8721</v>
      </c>
    </row>
    <row r="4194" spans="11:11" x14ac:dyDescent="0.3">
      <c r="K4194" t="s">
        <v>9702</v>
      </c>
    </row>
    <row r="4195" spans="11:11" x14ac:dyDescent="0.3">
      <c r="K4195" t="s">
        <v>9703</v>
      </c>
    </row>
    <row r="4196" spans="11:11" x14ac:dyDescent="0.3">
      <c r="K4196" t="s">
        <v>5549</v>
      </c>
    </row>
    <row r="4197" spans="11:11" x14ac:dyDescent="0.3">
      <c r="K4197" t="s">
        <v>10770</v>
      </c>
    </row>
    <row r="4198" spans="11:11" x14ac:dyDescent="0.3">
      <c r="K4198" t="s">
        <v>10650</v>
      </c>
    </row>
    <row r="4199" spans="11:11" x14ac:dyDescent="0.3">
      <c r="K4199" t="s">
        <v>8366</v>
      </c>
    </row>
    <row r="4200" spans="11:11" x14ac:dyDescent="0.3">
      <c r="K4200" t="s">
        <v>8722</v>
      </c>
    </row>
    <row r="4201" spans="11:11" x14ac:dyDescent="0.3">
      <c r="K4201" t="s">
        <v>9242</v>
      </c>
    </row>
    <row r="4202" spans="11:11" x14ac:dyDescent="0.3">
      <c r="K4202" t="s">
        <v>5501</v>
      </c>
    </row>
    <row r="4203" spans="11:11" x14ac:dyDescent="0.3">
      <c r="K4203" t="s">
        <v>5903</v>
      </c>
    </row>
    <row r="4204" spans="11:11" x14ac:dyDescent="0.3">
      <c r="K4204" t="s">
        <v>10007</v>
      </c>
    </row>
    <row r="4205" spans="11:11" x14ac:dyDescent="0.3">
      <c r="K4205" t="s">
        <v>8723</v>
      </c>
    </row>
    <row r="4206" spans="11:11" x14ac:dyDescent="0.3">
      <c r="K4206" t="s">
        <v>8724</v>
      </c>
    </row>
    <row r="4207" spans="11:11" x14ac:dyDescent="0.3">
      <c r="K4207" t="s">
        <v>9243</v>
      </c>
    </row>
    <row r="4208" spans="11:11" x14ac:dyDescent="0.3">
      <c r="K4208" t="s">
        <v>7638</v>
      </c>
    </row>
    <row r="4209" spans="11:11" x14ac:dyDescent="0.3">
      <c r="K4209" t="s">
        <v>8725</v>
      </c>
    </row>
    <row r="4210" spans="11:11" x14ac:dyDescent="0.3">
      <c r="K4210" t="s">
        <v>7639</v>
      </c>
    </row>
    <row r="4211" spans="11:11" x14ac:dyDescent="0.3">
      <c r="K4211" t="s">
        <v>10008</v>
      </c>
    </row>
    <row r="4212" spans="11:11" x14ac:dyDescent="0.3">
      <c r="K4212" t="s">
        <v>6655</v>
      </c>
    </row>
    <row r="4213" spans="11:11" x14ac:dyDescent="0.3">
      <c r="K4213" t="s">
        <v>10009</v>
      </c>
    </row>
    <row r="4214" spans="11:11" x14ac:dyDescent="0.3">
      <c r="K4214" t="s">
        <v>7640</v>
      </c>
    </row>
    <row r="4215" spans="11:11" x14ac:dyDescent="0.3">
      <c r="K4215" t="s">
        <v>8368</v>
      </c>
    </row>
    <row r="4216" spans="11:11" x14ac:dyDescent="0.3">
      <c r="K4216" t="s">
        <v>10011</v>
      </c>
    </row>
    <row r="4217" spans="11:11" x14ac:dyDescent="0.3">
      <c r="K4217" t="s">
        <v>8367</v>
      </c>
    </row>
    <row r="4218" spans="11:11" x14ac:dyDescent="0.3">
      <c r="K4218" t="s">
        <v>5904</v>
      </c>
    </row>
    <row r="4219" spans="11:11" x14ac:dyDescent="0.3">
      <c r="K4219" t="s">
        <v>10010</v>
      </c>
    </row>
    <row r="4220" spans="11:11" x14ac:dyDescent="0.3">
      <c r="K4220" t="s">
        <v>10431</v>
      </c>
    </row>
    <row r="4221" spans="11:11" x14ac:dyDescent="0.3">
      <c r="K4221" t="s">
        <v>8369</v>
      </c>
    </row>
    <row r="4222" spans="11:11" x14ac:dyDescent="0.3">
      <c r="K4222" t="s">
        <v>7082</v>
      </c>
    </row>
    <row r="4223" spans="11:11" x14ac:dyDescent="0.3">
      <c r="K4223" t="s">
        <v>10012</v>
      </c>
    </row>
    <row r="4224" spans="11:11" x14ac:dyDescent="0.3">
      <c r="K4224" t="s">
        <v>9244</v>
      </c>
    </row>
    <row r="4225" spans="11:11" x14ac:dyDescent="0.3">
      <c r="K4225" t="s">
        <v>6323</v>
      </c>
    </row>
    <row r="4226" spans="11:11" x14ac:dyDescent="0.3">
      <c r="K4226" t="s">
        <v>10432</v>
      </c>
    </row>
    <row r="4227" spans="11:11" x14ac:dyDescent="0.3">
      <c r="K4227" t="s">
        <v>7215</v>
      </c>
    </row>
    <row r="4228" spans="11:11" x14ac:dyDescent="0.3">
      <c r="K4228" t="s">
        <v>8370</v>
      </c>
    </row>
    <row r="4229" spans="11:11" x14ac:dyDescent="0.3">
      <c r="K4229" t="s">
        <v>5735</v>
      </c>
    </row>
    <row r="4230" spans="11:11" x14ac:dyDescent="0.3">
      <c r="K4230" t="s">
        <v>10013</v>
      </c>
    </row>
    <row r="4231" spans="11:11" x14ac:dyDescent="0.3">
      <c r="K4231" t="s">
        <v>10651</v>
      </c>
    </row>
    <row r="4232" spans="11:11" x14ac:dyDescent="0.3">
      <c r="K4232" t="s">
        <v>9704</v>
      </c>
    </row>
    <row r="4233" spans="11:11" x14ac:dyDescent="0.3">
      <c r="K4233" t="s">
        <v>8640</v>
      </c>
    </row>
    <row r="4234" spans="11:11" x14ac:dyDescent="0.3">
      <c r="K4234" t="s">
        <v>8371</v>
      </c>
    </row>
    <row r="4235" spans="11:11" x14ac:dyDescent="0.3">
      <c r="K4235" t="s">
        <v>8372</v>
      </c>
    </row>
    <row r="4236" spans="11:11" x14ac:dyDescent="0.3">
      <c r="K4236" t="s">
        <v>8373</v>
      </c>
    </row>
    <row r="4237" spans="11:11" x14ac:dyDescent="0.3">
      <c r="K4237" t="s">
        <v>10433</v>
      </c>
    </row>
    <row r="4238" spans="11:11" x14ac:dyDescent="0.3">
      <c r="K4238" t="s">
        <v>8374</v>
      </c>
    </row>
    <row r="4239" spans="11:11" x14ac:dyDescent="0.3">
      <c r="K4239" t="s">
        <v>8375</v>
      </c>
    </row>
    <row r="4240" spans="11:11" x14ac:dyDescent="0.3">
      <c r="K4240" t="s">
        <v>5605</v>
      </c>
    </row>
    <row r="4241" spans="11:11" x14ac:dyDescent="0.3">
      <c r="K4241" t="s">
        <v>8376</v>
      </c>
    </row>
    <row r="4242" spans="11:11" x14ac:dyDescent="0.3">
      <c r="K4242" t="s">
        <v>11002</v>
      </c>
    </row>
    <row r="4243" spans="11:11" x14ac:dyDescent="0.3">
      <c r="K4243" t="s">
        <v>7641</v>
      </c>
    </row>
    <row r="4244" spans="11:11" x14ac:dyDescent="0.3">
      <c r="K4244" t="s">
        <v>10014</v>
      </c>
    </row>
    <row r="4245" spans="11:11" x14ac:dyDescent="0.3">
      <c r="K4245" t="s">
        <v>5905</v>
      </c>
    </row>
    <row r="4246" spans="11:11" x14ac:dyDescent="0.3">
      <c r="K4246" t="s">
        <v>6888</v>
      </c>
    </row>
    <row r="4247" spans="11:11" x14ac:dyDescent="0.3">
      <c r="K4247" t="s">
        <v>10652</v>
      </c>
    </row>
    <row r="4248" spans="11:11" x14ac:dyDescent="0.3">
      <c r="K4248" t="s">
        <v>11003</v>
      </c>
    </row>
    <row r="4249" spans="11:11" x14ac:dyDescent="0.3">
      <c r="K4249" t="s">
        <v>8377</v>
      </c>
    </row>
    <row r="4250" spans="11:11" x14ac:dyDescent="0.3">
      <c r="K4250" t="s">
        <v>9245</v>
      </c>
    </row>
    <row r="4251" spans="11:11" x14ac:dyDescent="0.3">
      <c r="K4251" t="s">
        <v>10434</v>
      </c>
    </row>
    <row r="4252" spans="11:11" x14ac:dyDescent="0.3">
      <c r="K4252" t="s">
        <v>10015</v>
      </c>
    </row>
    <row r="4253" spans="11:11" x14ac:dyDescent="0.3">
      <c r="K4253" t="s">
        <v>8378</v>
      </c>
    </row>
    <row r="4254" spans="11:11" x14ac:dyDescent="0.3">
      <c r="K4254" t="s">
        <v>9238</v>
      </c>
    </row>
    <row r="4255" spans="11:11" x14ac:dyDescent="0.3">
      <c r="K4255" t="s">
        <v>10435</v>
      </c>
    </row>
    <row r="4256" spans="11:11" x14ac:dyDescent="0.3">
      <c r="K4256" t="s">
        <v>8379</v>
      </c>
    </row>
    <row r="4257" spans="11:11" x14ac:dyDescent="0.3">
      <c r="K4257" t="s">
        <v>10653</v>
      </c>
    </row>
    <row r="4258" spans="11:11" x14ac:dyDescent="0.3">
      <c r="K4258" t="s">
        <v>10436</v>
      </c>
    </row>
    <row r="4259" spans="11:11" x14ac:dyDescent="0.3">
      <c r="K4259" t="s">
        <v>10016</v>
      </c>
    </row>
    <row r="4260" spans="11:11" x14ac:dyDescent="0.3">
      <c r="K4260" t="s">
        <v>8380</v>
      </c>
    </row>
    <row r="4261" spans="11:11" x14ac:dyDescent="0.3">
      <c r="K4261" t="s">
        <v>7642</v>
      </c>
    </row>
    <row r="4262" spans="11:11" x14ac:dyDescent="0.3">
      <c r="K4262" t="s">
        <v>6677</v>
      </c>
    </row>
    <row r="4263" spans="11:11" x14ac:dyDescent="0.3">
      <c r="K4263" t="s">
        <v>5550</v>
      </c>
    </row>
    <row r="4264" spans="11:11" x14ac:dyDescent="0.3">
      <c r="K4264" t="s">
        <v>10437</v>
      </c>
    </row>
    <row r="4265" spans="11:11" x14ac:dyDescent="0.3">
      <c r="K4265" t="s">
        <v>9705</v>
      </c>
    </row>
    <row r="4266" spans="11:11" x14ac:dyDescent="0.3">
      <c r="K4266" t="s">
        <v>10438</v>
      </c>
    </row>
    <row r="4267" spans="11:11" x14ac:dyDescent="0.3">
      <c r="K4267" t="s">
        <v>5502</v>
      </c>
    </row>
    <row r="4268" spans="11:11" x14ac:dyDescent="0.3">
      <c r="K4268" t="s">
        <v>8381</v>
      </c>
    </row>
    <row r="4269" spans="11:11" x14ac:dyDescent="0.3">
      <c r="K4269" t="s">
        <v>10017</v>
      </c>
    </row>
    <row r="4270" spans="11:11" x14ac:dyDescent="0.3">
      <c r="K4270" t="s">
        <v>9706</v>
      </c>
    </row>
    <row r="4271" spans="11:11" x14ac:dyDescent="0.3">
      <c r="K4271" t="s">
        <v>10439</v>
      </c>
    </row>
    <row r="4272" spans="11:11" x14ac:dyDescent="0.3">
      <c r="K4272" t="s">
        <v>10440</v>
      </c>
    </row>
    <row r="4273" spans="11:11" x14ac:dyDescent="0.3">
      <c r="K4273" t="s">
        <v>10777</v>
      </c>
    </row>
    <row r="4274" spans="11:11" x14ac:dyDescent="0.3">
      <c r="K4274" t="s">
        <v>5736</v>
      </c>
    </row>
    <row r="4275" spans="11:11" x14ac:dyDescent="0.3">
      <c r="K4275" t="s">
        <v>9707</v>
      </c>
    </row>
    <row r="4276" spans="11:11" x14ac:dyDescent="0.3">
      <c r="K4276" t="s">
        <v>10778</v>
      </c>
    </row>
    <row r="4277" spans="11:11" x14ac:dyDescent="0.3">
      <c r="K4277" t="s">
        <v>10441</v>
      </c>
    </row>
    <row r="4278" spans="11:11" x14ac:dyDescent="0.3">
      <c r="K4278" t="s">
        <v>5630</v>
      </c>
    </row>
    <row r="4279" spans="11:11" x14ac:dyDescent="0.3">
      <c r="K4279" t="s">
        <v>9246</v>
      </c>
    </row>
    <row r="4280" spans="11:11" x14ac:dyDescent="0.3">
      <c r="K4280" t="s">
        <v>8382</v>
      </c>
    </row>
    <row r="4281" spans="11:11" x14ac:dyDescent="0.3">
      <c r="K4281" t="s">
        <v>7294</v>
      </c>
    </row>
    <row r="4282" spans="11:11" x14ac:dyDescent="0.3">
      <c r="K4282" t="s">
        <v>9708</v>
      </c>
    </row>
    <row r="4283" spans="11:11" x14ac:dyDescent="0.3">
      <c r="K4283" t="s">
        <v>10442</v>
      </c>
    </row>
    <row r="4284" spans="11:11" x14ac:dyDescent="0.3">
      <c r="K4284" t="s">
        <v>10779</v>
      </c>
    </row>
    <row r="4285" spans="11:11" x14ac:dyDescent="0.3">
      <c r="K4285" t="s">
        <v>6091</v>
      </c>
    </row>
    <row r="4286" spans="11:11" x14ac:dyDescent="0.3">
      <c r="K4286" t="s">
        <v>9247</v>
      </c>
    </row>
    <row r="4287" spans="11:11" x14ac:dyDescent="0.3">
      <c r="K4287" t="s">
        <v>7216</v>
      </c>
    </row>
    <row r="4288" spans="11:11" x14ac:dyDescent="0.3">
      <c r="K4288" t="s">
        <v>8383</v>
      </c>
    </row>
    <row r="4289" spans="11:11" x14ac:dyDescent="0.3">
      <c r="K4289" t="s">
        <v>9248</v>
      </c>
    </row>
    <row r="4290" spans="11:11" x14ac:dyDescent="0.3">
      <c r="K4290" t="s">
        <v>11004</v>
      </c>
    </row>
    <row r="4291" spans="11:11" x14ac:dyDescent="0.3">
      <c r="K4291" t="s">
        <v>8384</v>
      </c>
    </row>
    <row r="4292" spans="11:11" x14ac:dyDescent="0.3">
      <c r="K4292" t="s">
        <v>9249</v>
      </c>
    </row>
    <row r="4293" spans="11:11" x14ac:dyDescent="0.3">
      <c r="K4293" t="s">
        <v>5737</v>
      </c>
    </row>
    <row r="4294" spans="11:11" x14ac:dyDescent="0.3">
      <c r="K4294" t="s">
        <v>6528</v>
      </c>
    </row>
    <row r="4295" spans="11:11" x14ac:dyDescent="0.3">
      <c r="K4295" t="s">
        <v>7643</v>
      </c>
    </row>
    <row r="4296" spans="11:11" x14ac:dyDescent="0.3">
      <c r="K4296" t="s">
        <v>6679</v>
      </c>
    </row>
    <row r="4297" spans="11:11" x14ac:dyDescent="0.3">
      <c r="K4297" t="s">
        <v>8385</v>
      </c>
    </row>
    <row r="4298" spans="11:11" x14ac:dyDescent="0.3">
      <c r="K4298" t="s">
        <v>9709</v>
      </c>
    </row>
    <row r="4299" spans="11:11" x14ac:dyDescent="0.3">
      <c r="K4299" t="s">
        <v>9250</v>
      </c>
    </row>
    <row r="4300" spans="11:11" x14ac:dyDescent="0.3">
      <c r="K4300" t="s">
        <v>8386</v>
      </c>
    </row>
    <row r="4301" spans="11:11" x14ac:dyDescent="0.3">
      <c r="K4301" t="s">
        <v>6529</v>
      </c>
    </row>
    <row r="4302" spans="11:11" x14ac:dyDescent="0.3">
      <c r="K4302" t="s">
        <v>8387</v>
      </c>
    </row>
    <row r="4303" spans="11:11" x14ac:dyDescent="0.3">
      <c r="K4303" t="s">
        <v>10443</v>
      </c>
    </row>
    <row r="4304" spans="11:11" x14ac:dyDescent="0.3">
      <c r="K4304" t="s">
        <v>9251</v>
      </c>
    </row>
    <row r="4305" spans="11:11" x14ac:dyDescent="0.3">
      <c r="K4305" t="s">
        <v>7083</v>
      </c>
    </row>
    <row r="4306" spans="11:11" x14ac:dyDescent="0.3">
      <c r="K4306" t="s">
        <v>10444</v>
      </c>
    </row>
    <row r="4307" spans="11:11" x14ac:dyDescent="0.3">
      <c r="K4307" t="s">
        <v>9253</v>
      </c>
    </row>
    <row r="4308" spans="11:11" x14ac:dyDescent="0.3">
      <c r="K4308" t="s">
        <v>9252</v>
      </c>
    </row>
    <row r="4309" spans="11:11" x14ac:dyDescent="0.3">
      <c r="K4309" t="s">
        <v>9254</v>
      </c>
    </row>
    <row r="4310" spans="11:11" x14ac:dyDescent="0.3">
      <c r="K4310" t="s">
        <v>10018</v>
      </c>
    </row>
    <row r="4311" spans="11:11" x14ac:dyDescent="0.3">
      <c r="K4311" t="s">
        <v>6889</v>
      </c>
    </row>
    <row r="4312" spans="11:11" x14ac:dyDescent="0.3">
      <c r="K4312" t="s">
        <v>7084</v>
      </c>
    </row>
    <row r="4313" spans="11:11" x14ac:dyDescent="0.3">
      <c r="K4313" t="s">
        <v>6890</v>
      </c>
    </row>
    <row r="4314" spans="11:11" x14ac:dyDescent="0.3">
      <c r="K4314" t="s">
        <v>9710</v>
      </c>
    </row>
    <row r="4315" spans="11:11" x14ac:dyDescent="0.3">
      <c r="K4315" t="s">
        <v>7295</v>
      </c>
    </row>
    <row r="4316" spans="11:11" x14ac:dyDescent="0.3">
      <c r="K4316" t="s">
        <v>7085</v>
      </c>
    </row>
    <row r="4317" spans="11:11" x14ac:dyDescent="0.3">
      <c r="K4317" t="s">
        <v>7644</v>
      </c>
    </row>
    <row r="4318" spans="11:11" x14ac:dyDescent="0.3">
      <c r="K4318" t="s">
        <v>8388</v>
      </c>
    </row>
    <row r="4319" spans="11:11" x14ac:dyDescent="0.3">
      <c r="K4319" t="s">
        <v>5738</v>
      </c>
    </row>
    <row r="4320" spans="11:11" x14ac:dyDescent="0.3">
      <c r="K4320" t="s">
        <v>6530</v>
      </c>
    </row>
    <row r="4321" spans="11:11" x14ac:dyDescent="0.3">
      <c r="K4321" t="s">
        <v>9255</v>
      </c>
    </row>
    <row r="4322" spans="11:11" x14ac:dyDescent="0.3">
      <c r="K4322" t="s">
        <v>7086</v>
      </c>
    </row>
    <row r="4323" spans="11:11" x14ac:dyDescent="0.3">
      <c r="K4323" t="s">
        <v>10019</v>
      </c>
    </row>
    <row r="4324" spans="11:11" x14ac:dyDescent="0.3">
      <c r="K4324" t="s">
        <v>9256</v>
      </c>
    </row>
    <row r="4325" spans="11:11" x14ac:dyDescent="0.3">
      <c r="K4325" t="s">
        <v>8389</v>
      </c>
    </row>
    <row r="4326" spans="11:11" x14ac:dyDescent="0.3">
      <c r="K4326" t="s">
        <v>9258</v>
      </c>
    </row>
    <row r="4327" spans="11:11" x14ac:dyDescent="0.3">
      <c r="K4327" t="s">
        <v>10781</v>
      </c>
    </row>
    <row r="4328" spans="11:11" x14ac:dyDescent="0.3">
      <c r="K4328" t="s">
        <v>9711</v>
      </c>
    </row>
    <row r="4329" spans="11:11" x14ac:dyDescent="0.3">
      <c r="K4329" t="s">
        <v>10445</v>
      </c>
    </row>
    <row r="4330" spans="11:11" x14ac:dyDescent="0.3">
      <c r="K4330" t="s">
        <v>9712</v>
      </c>
    </row>
    <row r="4331" spans="11:11" x14ac:dyDescent="0.3">
      <c r="K4331" t="s">
        <v>9259</v>
      </c>
    </row>
    <row r="4332" spans="11:11" x14ac:dyDescent="0.3">
      <c r="K4332" t="s">
        <v>10020</v>
      </c>
    </row>
    <row r="4333" spans="11:11" x14ac:dyDescent="0.3">
      <c r="K4333" t="s">
        <v>9257</v>
      </c>
    </row>
    <row r="4334" spans="11:11" x14ac:dyDescent="0.3">
      <c r="K4334" t="s">
        <v>10446</v>
      </c>
    </row>
    <row r="4335" spans="11:11" x14ac:dyDescent="0.3">
      <c r="K4335" t="s">
        <v>10447</v>
      </c>
    </row>
    <row r="4336" spans="11:11" x14ac:dyDescent="0.3">
      <c r="K4336" t="s">
        <v>7645</v>
      </c>
    </row>
    <row r="4337" spans="11:11" x14ac:dyDescent="0.3">
      <c r="K4337" t="s">
        <v>5739</v>
      </c>
    </row>
    <row r="4338" spans="11:11" x14ac:dyDescent="0.3">
      <c r="K4338" t="s">
        <v>6092</v>
      </c>
    </row>
    <row r="4339" spans="11:11" x14ac:dyDescent="0.3">
      <c r="K4339" t="s">
        <v>5906</v>
      </c>
    </row>
    <row r="4340" spans="11:11" x14ac:dyDescent="0.3">
      <c r="K4340" t="s">
        <v>10448</v>
      </c>
    </row>
    <row r="4341" spans="11:11" x14ac:dyDescent="0.3">
      <c r="K4341" t="s">
        <v>11005</v>
      </c>
    </row>
    <row r="4342" spans="11:11" x14ac:dyDescent="0.3">
      <c r="K4342" t="s">
        <v>5907</v>
      </c>
    </row>
    <row r="4343" spans="11:11" x14ac:dyDescent="0.3">
      <c r="K4343" t="s">
        <v>9260</v>
      </c>
    </row>
    <row r="4344" spans="11:11" x14ac:dyDescent="0.3">
      <c r="K4344" t="s">
        <v>10021</v>
      </c>
    </row>
    <row r="4345" spans="11:11" x14ac:dyDescent="0.3">
      <c r="K4345" t="s">
        <v>7087</v>
      </c>
    </row>
    <row r="4346" spans="11:11" x14ac:dyDescent="0.3">
      <c r="K4346" t="s">
        <v>9261</v>
      </c>
    </row>
    <row r="4347" spans="11:11" x14ac:dyDescent="0.3">
      <c r="K4347" t="s">
        <v>9262</v>
      </c>
    </row>
    <row r="4348" spans="11:11" x14ac:dyDescent="0.3">
      <c r="K4348" t="s">
        <v>9713</v>
      </c>
    </row>
    <row r="4349" spans="11:11" x14ac:dyDescent="0.3">
      <c r="K4349" t="s">
        <v>9263</v>
      </c>
    </row>
    <row r="4350" spans="11:11" x14ac:dyDescent="0.3">
      <c r="K4350" t="s">
        <v>11006</v>
      </c>
    </row>
    <row r="4351" spans="11:11" x14ac:dyDescent="0.3">
      <c r="K4351" t="s">
        <v>8391</v>
      </c>
    </row>
    <row r="4352" spans="11:11" x14ac:dyDescent="0.3">
      <c r="K4352" t="s">
        <v>8392</v>
      </c>
    </row>
    <row r="4353" spans="11:11" x14ac:dyDescent="0.3">
      <c r="K4353" t="s">
        <v>5740</v>
      </c>
    </row>
    <row r="4354" spans="11:11" x14ac:dyDescent="0.3">
      <c r="K4354" t="s">
        <v>10449</v>
      </c>
    </row>
    <row r="4355" spans="11:11" x14ac:dyDescent="0.3">
      <c r="K4355" t="s">
        <v>8393</v>
      </c>
    </row>
    <row r="4356" spans="11:11" x14ac:dyDescent="0.3">
      <c r="K4356" t="s">
        <v>7646</v>
      </c>
    </row>
    <row r="4357" spans="11:11" x14ac:dyDescent="0.3">
      <c r="K4357" t="s">
        <v>8390</v>
      </c>
    </row>
    <row r="4358" spans="11:11" x14ac:dyDescent="0.3">
      <c r="K4358" t="s">
        <v>9264</v>
      </c>
    </row>
    <row r="4359" spans="11:11" x14ac:dyDescent="0.3">
      <c r="K4359" t="s">
        <v>7647</v>
      </c>
    </row>
    <row r="4360" spans="11:11" x14ac:dyDescent="0.3">
      <c r="K4360" t="s">
        <v>10771</v>
      </c>
    </row>
    <row r="4361" spans="11:11" x14ac:dyDescent="0.3">
      <c r="K4361" t="s">
        <v>9714</v>
      </c>
    </row>
    <row r="4362" spans="11:11" x14ac:dyDescent="0.3">
      <c r="K4362" t="s">
        <v>10450</v>
      </c>
    </row>
    <row r="4363" spans="11:11" x14ac:dyDescent="0.3">
      <c r="K4363" t="s">
        <v>6891</v>
      </c>
    </row>
    <row r="4364" spans="11:11" x14ac:dyDescent="0.3">
      <c r="K4364" t="s">
        <v>10022</v>
      </c>
    </row>
    <row r="4365" spans="11:11" x14ac:dyDescent="0.3">
      <c r="K4365" t="s">
        <v>9265</v>
      </c>
    </row>
    <row r="4366" spans="11:11" x14ac:dyDescent="0.3">
      <c r="K4366" t="s">
        <v>10451</v>
      </c>
    </row>
    <row r="4367" spans="11:11" x14ac:dyDescent="0.3">
      <c r="K4367" t="s">
        <v>7648</v>
      </c>
    </row>
    <row r="4368" spans="11:11" x14ac:dyDescent="0.3">
      <c r="K4368" t="s">
        <v>7089</v>
      </c>
    </row>
    <row r="4369" spans="11:11" x14ac:dyDescent="0.3">
      <c r="K4369" t="s">
        <v>9266</v>
      </c>
    </row>
    <row r="4370" spans="11:11" x14ac:dyDescent="0.3">
      <c r="K4370" t="s">
        <v>9267</v>
      </c>
    </row>
    <row r="4371" spans="11:11" x14ac:dyDescent="0.3">
      <c r="K4371" t="s">
        <v>7649</v>
      </c>
    </row>
    <row r="4372" spans="11:11" x14ac:dyDescent="0.3">
      <c r="K4372" t="s">
        <v>9268</v>
      </c>
    </row>
    <row r="4373" spans="11:11" x14ac:dyDescent="0.3">
      <c r="K4373" t="s">
        <v>11007</v>
      </c>
    </row>
    <row r="4374" spans="11:11" x14ac:dyDescent="0.3">
      <c r="K4374" t="s">
        <v>8394</v>
      </c>
    </row>
    <row r="4375" spans="11:11" x14ac:dyDescent="0.3">
      <c r="K4375" t="s">
        <v>9715</v>
      </c>
    </row>
    <row r="4376" spans="11:11" x14ac:dyDescent="0.3">
      <c r="K4376" t="s">
        <v>8395</v>
      </c>
    </row>
    <row r="4377" spans="11:11" x14ac:dyDescent="0.3">
      <c r="K4377" t="s">
        <v>5741</v>
      </c>
    </row>
    <row r="4378" spans="11:11" x14ac:dyDescent="0.3">
      <c r="K4378" t="s">
        <v>7090</v>
      </c>
    </row>
    <row r="4379" spans="11:11" x14ac:dyDescent="0.3">
      <c r="K4379" t="s">
        <v>8396</v>
      </c>
    </row>
    <row r="4380" spans="11:11" x14ac:dyDescent="0.3">
      <c r="K4380" t="s">
        <v>6324</v>
      </c>
    </row>
    <row r="4381" spans="11:11" x14ac:dyDescent="0.3">
      <c r="K4381" t="s">
        <v>9269</v>
      </c>
    </row>
    <row r="4382" spans="11:11" x14ac:dyDescent="0.3">
      <c r="K4382" t="s">
        <v>10452</v>
      </c>
    </row>
    <row r="4383" spans="11:11" x14ac:dyDescent="0.3">
      <c r="K4383" t="s">
        <v>10780</v>
      </c>
    </row>
    <row r="4384" spans="11:11" x14ac:dyDescent="0.3">
      <c r="K4384" t="s">
        <v>6325</v>
      </c>
    </row>
    <row r="4385" spans="11:11" x14ac:dyDescent="0.3">
      <c r="K4385" t="s">
        <v>6892</v>
      </c>
    </row>
    <row r="4386" spans="11:11" x14ac:dyDescent="0.3">
      <c r="K4386" t="s">
        <v>7088</v>
      </c>
    </row>
    <row r="4387" spans="11:11" x14ac:dyDescent="0.3">
      <c r="K4387" t="s">
        <v>6680</v>
      </c>
    </row>
    <row r="4388" spans="11:11" x14ac:dyDescent="0.3">
      <c r="K4388" t="s">
        <v>8397</v>
      </c>
    </row>
    <row r="4389" spans="11:11" x14ac:dyDescent="0.3">
      <c r="K4389" t="s">
        <v>9270</v>
      </c>
    </row>
    <row r="4390" spans="11:11" x14ac:dyDescent="0.3">
      <c r="K4390" t="s">
        <v>11008</v>
      </c>
    </row>
    <row r="4391" spans="11:11" x14ac:dyDescent="0.3">
      <c r="K4391" t="s">
        <v>8398</v>
      </c>
    </row>
    <row r="4392" spans="11:11" x14ac:dyDescent="0.3">
      <c r="K4392" t="s">
        <v>5908</v>
      </c>
    </row>
    <row r="4393" spans="11:11" x14ac:dyDescent="0.3">
      <c r="K4393" t="s">
        <v>9271</v>
      </c>
    </row>
    <row r="4394" spans="11:11" x14ac:dyDescent="0.3">
      <c r="K4394" t="s">
        <v>9716</v>
      </c>
    </row>
    <row r="4395" spans="11:11" x14ac:dyDescent="0.3">
      <c r="K4395" t="s">
        <v>6093</v>
      </c>
    </row>
    <row r="4396" spans="11:11" x14ac:dyDescent="0.3">
      <c r="K4396" t="s">
        <v>7091</v>
      </c>
    </row>
    <row r="4397" spans="11:11" x14ac:dyDescent="0.3">
      <c r="K4397" t="s">
        <v>6326</v>
      </c>
    </row>
    <row r="4398" spans="11:11" x14ac:dyDescent="0.3">
      <c r="K4398" t="s">
        <v>9272</v>
      </c>
    </row>
    <row r="4399" spans="11:11" x14ac:dyDescent="0.3">
      <c r="K4399" t="s">
        <v>11009</v>
      </c>
    </row>
    <row r="4400" spans="11:11" x14ac:dyDescent="0.3">
      <c r="K4400" t="s">
        <v>8399</v>
      </c>
    </row>
    <row r="4401" spans="11:11" x14ac:dyDescent="0.3">
      <c r="K4401" t="s">
        <v>6094</v>
      </c>
    </row>
    <row r="4402" spans="11:11" x14ac:dyDescent="0.3">
      <c r="K4402" t="s">
        <v>6893</v>
      </c>
    </row>
    <row r="4403" spans="11:11" x14ac:dyDescent="0.3">
      <c r="K4403" t="s">
        <v>9717</v>
      </c>
    </row>
    <row r="4404" spans="11:11" x14ac:dyDescent="0.3">
      <c r="K4404" t="s">
        <v>10023</v>
      </c>
    </row>
    <row r="4405" spans="11:11" x14ac:dyDescent="0.3">
      <c r="K4405" t="s">
        <v>7650</v>
      </c>
    </row>
    <row r="4406" spans="11:11" x14ac:dyDescent="0.3">
      <c r="K4406" t="s">
        <v>6095</v>
      </c>
    </row>
    <row r="4407" spans="11:11" x14ac:dyDescent="0.3">
      <c r="K4407" t="s">
        <v>6894</v>
      </c>
    </row>
    <row r="4408" spans="11:11" x14ac:dyDescent="0.3">
      <c r="K4408" t="s">
        <v>9718</v>
      </c>
    </row>
    <row r="4409" spans="11:11" x14ac:dyDescent="0.3">
      <c r="K4409" t="s">
        <v>9719</v>
      </c>
    </row>
    <row r="4410" spans="11:11" x14ac:dyDescent="0.3">
      <c r="K4410" t="s">
        <v>5742</v>
      </c>
    </row>
    <row r="4411" spans="11:11" x14ac:dyDescent="0.3">
      <c r="K4411" t="s">
        <v>5606</v>
      </c>
    </row>
    <row r="4412" spans="11:11" x14ac:dyDescent="0.3">
      <c r="K4412" t="s">
        <v>11010</v>
      </c>
    </row>
    <row r="4413" spans="11:11" x14ac:dyDescent="0.3">
      <c r="K4413" t="s">
        <v>9273</v>
      </c>
    </row>
    <row r="4414" spans="11:11" x14ac:dyDescent="0.3">
      <c r="K4414" t="s">
        <v>9720</v>
      </c>
    </row>
    <row r="4415" spans="11:11" x14ac:dyDescent="0.3">
      <c r="K4415" t="s">
        <v>8400</v>
      </c>
    </row>
    <row r="4416" spans="11:11" x14ac:dyDescent="0.3">
      <c r="K4416" t="s">
        <v>8641</v>
      </c>
    </row>
    <row r="4417" spans="11:11" x14ac:dyDescent="0.3">
      <c r="K4417" t="s">
        <v>9721</v>
      </c>
    </row>
    <row r="4418" spans="11:11" x14ac:dyDescent="0.3">
      <c r="K4418" t="s">
        <v>9274</v>
      </c>
    </row>
    <row r="4419" spans="11:11" x14ac:dyDescent="0.3">
      <c r="K4419" t="s">
        <v>6327</v>
      </c>
    </row>
    <row r="4420" spans="11:11" x14ac:dyDescent="0.3">
      <c r="K4420" t="s">
        <v>5503</v>
      </c>
    </row>
    <row r="4421" spans="11:11" x14ac:dyDescent="0.3">
      <c r="K4421" t="s">
        <v>7296</v>
      </c>
    </row>
    <row r="4422" spans="11:11" x14ac:dyDescent="0.3">
      <c r="K4422" t="s">
        <v>7217</v>
      </c>
    </row>
    <row r="4423" spans="11:11" x14ac:dyDescent="0.3">
      <c r="K4423" t="s">
        <v>5743</v>
      </c>
    </row>
    <row r="4424" spans="11:11" x14ac:dyDescent="0.3">
      <c r="K4424" t="s">
        <v>6097</v>
      </c>
    </row>
    <row r="4425" spans="11:11" x14ac:dyDescent="0.3">
      <c r="K4425" t="s">
        <v>7652</v>
      </c>
    </row>
    <row r="4426" spans="11:11" x14ac:dyDescent="0.3">
      <c r="K4426" t="s">
        <v>6096</v>
      </c>
    </row>
    <row r="4427" spans="11:11" x14ac:dyDescent="0.3">
      <c r="K4427" t="s">
        <v>8401</v>
      </c>
    </row>
    <row r="4428" spans="11:11" x14ac:dyDescent="0.3">
      <c r="K4428" t="s">
        <v>6895</v>
      </c>
    </row>
    <row r="4429" spans="11:11" x14ac:dyDescent="0.3">
      <c r="K4429" t="s">
        <v>10455</v>
      </c>
    </row>
    <row r="4430" spans="11:11" x14ac:dyDescent="0.3">
      <c r="K4430" t="s">
        <v>8402</v>
      </c>
    </row>
    <row r="4431" spans="11:11" x14ac:dyDescent="0.3">
      <c r="K4431" t="s">
        <v>7092</v>
      </c>
    </row>
    <row r="4432" spans="11:11" x14ac:dyDescent="0.3">
      <c r="K4432" t="s">
        <v>9275</v>
      </c>
    </row>
    <row r="4433" spans="11:11" x14ac:dyDescent="0.3">
      <c r="K4433" t="s">
        <v>7653</v>
      </c>
    </row>
    <row r="4434" spans="11:11" x14ac:dyDescent="0.3">
      <c r="K4434" t="s">
        <v>5744</v>
      </c>
    </row>
    <row r="4435" spans="11:11" x14ac:dyDescent="0.3">
      <c r="K4435" t="s">
        <v>8403</v>
      </c>
    </row>
    <row r="4436" spans="11:11" x14ac:dyDescent="0.3">
      <c r="K4436" t="s">
        <v>8642</v>
      </c>
    </row>
    <row r="4437" spans="11:11" x14ac:dyDescent="0.3">
      <c r="K4437" t="s">
        <v>7093</v>
      </c>
    </row>
    <row r="4438" spans="11:11" x14ac:dyDescent="0.3">
      <c r="K4438" t="s">
        <v>10454</v>
      </c>
    </row>
    <row r="4439" spans="11:11" x14ac:dyDescent="0.3">
      <c r="K4439" t="s">
        <v>9722</v>
      </c>
    </row>
    <row r="4440" spans="11:11" x14ac:dyDescent="0.3">
      <c r="K4440" t="s">
        <v>5745</v>
      </c>
    </row>
    <row r="4441" spans="11:11" x14ac:dyDescent="0.3">
      <c r="K4441" t="s">
        <v>8404</v>
      </c>
    </row>
    <row r="4442" spans="11:11" x14ac:dyDescent="0.3">
      <c r="K4442" t="s">
        <v>8405</v>
      </c>
    </row>
    <row r="4443" spans="11:11" x14ac:dyDescent="0.3">
      <c r="K4443" t="s">
        <v>5909</v>
      </c>
    </row>
    <row r="4444" spans="11:11" x14ac:dyDescent="0.3">
      <c r="K4444" t="s">
        <v>8726</v>
      </c>
    </row>
    <row r="4445" spans="11:11" x14ac:dyDescent="0.3">
      <c r="K4445" t="s">
        <v>6659</v>
      </c>
    </row>
    <row r="4446" spans="11:11" x14ac:dyDescent="0.3">
      <c r="K4446" t="s">
        <v>10453</v>
      </c>
    </row>
    <row r="4447" spans="11:11" x14ac:dyDescent="0.3">
      <c r="K4447" t="s">
        <v>9723</v>
      </c>
    </row>
    <row r="4448" spans="11:11" x14ac:dyDescent="0.3">
      <c r="K4448" t="s">
        <v>9276</v>
      </c>
    </row>
    <row r="4449" spans="11:11" x14ac:dyDescent="0.3">
      <c r="K4449" t="s">
        <v>9724</v>
      </c>
    </row>
    <row r="4450" spans="11:11" x14ac:dyDescent="0.3">
      <c r="K4450" t="s">
        <v>6098</v>
      </c>
    </row>
    <row r="4451" spans="11:11" x14ac:dyDescent="0.3">
      <c r="K4451" t="s">
        <v>6533</v>
      </c>
    </row>
    <row r="4452" spans="11:11" x14ac:dyDescent="0.3">
      <c r="K4452" t="s">
        <v>9279</v>
      </c>
    </row>
    <row r="4453" spans="11:11" x14ac:dyDescent="0.3">
      <c r="K4453" t="s">
        <v>8416</v>
      </c>
    </row>
    <row r="4454" spans="11:11" x14ac:dyDescent="0.3">
      <c r="K4454" t="s">
        <v>7656</v>
      </c>
    </row>
    <row r="4455" spans="11:11" x14ac:dyDescent="0.3">
      <c r="K4455" t="s">
        <v>8419</v>
      </c>
    </row>
    <row r="4456" spans="11:11" x14ac:dyDescent="0.3">
      <c r="K4456" t="s">
        <v>8417</v>
      </c>
    </row>
    <row r="4457" spans="11:11" x14ac:dyDescent="0.3">
      <c r="K4457" t="s">
        <v>8418</v>
      </c>
    </row>
    <row r="4458" spans="11:11" x14ac:dyDescent="0.3">
      <c r="K4458" t="s">
        <v>11011</v>
      </c>
    </row>
    <row r="4459" spans="11:11" x14ac:dyDescent="0.3">
      <c r="K4459" t="s">
        <v>8420</v>
      </c>
    </row>
    <row r="4460" spans="11:11" x14ac:dyDescent="0.3">
      <c r="K4460" t="s">
        <v>11012</v>
      </c>
    </row>
    <row r="4461" spans="11:11" x14ac:dyDescent="0.3">
      <c r="K4461" t="s">
        <v>10654</v>
      </c>
    </row>
    <row r="4462" spans="11:11" x14ac:dyDescent="0.3">
      <c r="K4462" t="s">
        <v>9280</v>
      </c>
    </row>
    <row r="4463" spans="11:11" x14ac:dyDescent="0.3">
      <c r="K4463" t="s">
        <v>8421</v>
      </c>
    </row>
    <row r="4464" spans="11:11" x14ac:dyDescent="0.3">
      <c r="K4464" t="s">
        <v>5910</v>
      </c>
    </row>
    <row r="4465" spans="11:11" x14ac:dyDescent="0.3">
      <c r="K4465" t="s">
        <v>10782</v>
      </c>
    </row>
    <row r="4466" spans="11:11" x14ac:dyDescent="0.3">
      <c r="K4466" t="s">
        <v>6099</v>
      </c>
    </row>
    <row r="4467" spans="11:11" x14ac:dyDescent="0.3">
      <c r="K4467" t="s">
        <v>6899</v>
      </c>
    </row>
    <row r="4468" spans="11:11" x14ac:dyDescent="0.3">
      <c r="K4468" t="s">
        <v>8422</v>
      </c>
    </row>
    <row r="4469" spans="11:11" x14ac:dyDescent="0.3">
      <c r="K4469" t="s">
        <v>11013</v>
      </c>
    </row>
    <row r="4470" spans="11:11" x14ac:dyDescent="0.3">
      <c r="K4470" t="s">
        <v>10024</v>
      </c>
    </row>
    <row r="4471" spans="11:11" x14ac:dyDescent="0.3">
      <c r="K4471" t="s">
        <v>7298</v>
      </c>
    </row>
    <row r="4472" spans="11:11" x14ac:dyDescent="0.3">
      <c r="K4472" t="s">
        <v>9281</v>
      </c>
    </row>
    <row r="4473" spans="11:11" x14ac:dyDescent="0.3">
      <c r="K4473" t="s">
        <v>6329</v>
      </c>
    </row>
    <row r="4474" spans="11:11" x14ac:dyDescent="0.3">
      <c r="K4474" t="s">
        <v>5551</v>
      </c>
    </row>
    <row r="4475" spans="11:11" x14ac:dyDescent="0.3">
      <c r="K4475" t="s">
        <v>10025</v>
      </c>
    </row>
    <row r="4476" spans="11:11" x14ac:dyDescent="0.3">
      <c r="K4476" t="s">
        <v>5911</v>
      </c>
    </row>
    <row r="4477" spans="11:11" x14ac:dyDescent="0.3">
      <c r="K4477" t="s">
        <v>10458</v>
      </c>
    </row>
    <row r="4478" spans="11:11" x14ac:dyDescent="0.3">
      <c r="K4478" t="s">
        <v>9282</v>
      </c>
    </row>
    <row r="4479" spans="11:11" x14ac:dyDescent="0.3">
      <c r="K4479" t="s">
        <v>8643</v>
      </c>
    </row>
    <row r="4480" spans="11:11" x14ac:dyDescent="0.3">
      <c r="K4480" t="s">
        <v>7657</v>
      </c>
    </row>
    <row r="4481" spans="11:11" x14ac:dyDescent="0.3">
      <c r="K4481" t="s">
        <v>6900</v>
      </c>
    </row>
    <row r="4482" spans="11:11" x14ac:dyDescent="0.3">
      <c r="K4482" t="s">
        <v>11014</v>
      </c>
    </row>
    <row r="4483" spans="11:11" x14ac:dyDescent="0.3">
      <c r="K4483" t="s">
        <v>9726</v>
      </c>
    </row>
    <row r="4484" spans="11:11" x14ac:dyDescent="0.3">
      <c r="K4484" t="s">
        <v>5912</v>
      </c>
    </row>
    <row r="4485" spans="11:11" x14ac:dyDescent="0.3">
      <c r="K4485" t="s">
        <v>10459</v>
      </c>
    </row>
    <row r="4486" spans="11:11" x14ac:dyDescent="0.3">
      <c r="K4486" t="s">
        <v>11015</v>
      </c>
    </row>
    <row r="4487" spans="11:11" x14ac:dyDescent="0.3">
      <c r="K4487" t="s">
        <v>9727</v>
      </c>
    </row>
    <row r="4488" spans="11:11" x14ac:dyDescent="0.3">
      <c r="K4488" t="s">
        <v>10027</v>
      </c>
    </row>
    <row r="4489" spans="11:11" x14ac:dyDescent="0.3">
      <c r="K4489" t="s">
        <v>5913</v>
      </c>
    </row>
    <row r="4490" spans="11:11" x14ac:dyDescent="0.3">
      <c r="K4490" t="s">
        <v>10783</v>
      </c>
    </row>
    <row r="4491" spans="11:11" x14ac:dyDescent="0.3">
      <c r="K4491" t="s">
        <v>7094</v>
      </c>
    </row>
    <row r="4492" spans="11:11" x14ac:dyDescent="0.3">
      <c r="K4492" t="s">
        <v>10026</v>
      </c>
    </row>
    <row r="4493" spans="11:11" x14ac:dyDescent="0.3">
      <c r="K4493" t="s">
        <v>10460</v>
      </c>
    </row>
    <row r="4494" spans="11:11" x14ac:dyDescent="0.3">
      <c r="K4494" t="s">
        <v>8423</v>
      </c>
    </row>
    <row r="4495" spans="11:11" x14ac:dyDescent="0.3">
      <c r="K4495" t="s">
        <v>7651</v>
      </c>
    </row>
    <row r="4496" spans="11:11" x14ac:dyDescent="0.3">
      <c r="K4496" t="s">
        <v>10456</v>
      </c>
    </row>
    <row r="4497" spans="11:11" x14ac:dyDescent="0.3">
      <c r="K4497" t="s">
        <v>9277</v>
      </c>
    </row>
    <row r="4498" spans="11:11" x14ac:dyDescent="0.3">
      <c r="K4498" t="s">
        <v>8406</v>
      </c>
    </row>
    <row r="4499" spans="11:11" x14ac:dyDescent="0.3">
      <c r="K4499" t="s">
        <v>8407</v>
      </c>
    </row>
    <row r="4500" spans="11:11" x14ac:dyDescent="0.3">
      <c r="K4500" t="s">
        <v>6896</v>
      </c>
    </row>
    <row r="4501" spans="11:11" x14ac:dyDescent="0.3">
      <c r="K4501" t="s">
        <v>9278</v>
      </c>
    </row>
    <row r="4502" spans="11:11" x14ac:dyDescent="0.3">
      <c r="K4502" t="s">
        <v>8408</v>
      </c>
    </row>
    <row r="4503" spans="11:11" x14ac:dyDescent="0.3">
      <c r="K4503" t="s">
        <v>6531</v>
      </c>
    </row>
    <row r="4504" spans="11:11" x14ac:dyDescent="0.3">
      <c r="K4504" t="s">
        <v>5746</v>
      </c>
    </row>
    <row r="4505" spans="11:11" x14ac:dyDescent="0.3">
      <c r="K4505" t="s">
        <v>6532</v>
      </c>
    </row>
    <row r="4506" spans="11:11" x14ac:dyDescent="0.3">
      <c r="K4506" t="s">
        <v>8409</v>
      </c>
    </row>
    <row r="4507" spans="11:11" x14ac:dyDescent="0.3">
      <c r="K4507" t="s">
        <v>8410</v>
      </c>
    </row>
    <row r="4508" spans="11:11" x14ac:dyDescent="0.3">
      <c r="K4508" t="s">
        <v>7218</v>
      </c>
    </row>
    <row r="4509" spans="11:11" x14ac:dyDescent="0.3">
      <c r="K4509" t="s">
        <v>9725</v>
      </c>
    </row>
    <row r="4510" spans="11:11" x14ac:dyDescent="0.3">
      <c r="K4510" t="s">
        <v>8411</v>
      </c>
    </row>
    <row r="4511" spans="11:11" x14ac:dyDescent="0.3">
      <c r="K4511" t="s">
        <v>10457</v>
      </c>
    </row>
    <row r="4512" spans="11:11" x14ac:dyDescent="0.3">
      <c r="K4512" t="s">
        <v>8412</v>
      </c>
    </row>
    <row r="4513" spans="11:11" x14ac:dyDescent="0.3">
      <c r="K4513" t="s">
        <v>6100</v>
      </c>
    </row>
    <row r="4514" spans="11:11" x14ac:dyDescent="0.3">
      <c r="K4514" t="s">
        <v>6681</v>
      </c>
    </row>
    <row r="4515" spans="11:11" x14ac:dyDescent="0.3">
      <c r="K4515" t="s">
        <v>7219</v>
      </c>
    </row>
    <row r="4516" spans="11:11" x14ac:dyDescent="0.3">
      <c r="K4516" t="s">
        <v>8413</v>
      </c>
    </row>
    <row r="4517" spans="11:11" x14ac:dyDescent="0.3">
      <c r="K4517" t="s">
        <v>6328</v>
      </c>
    </row>
    <row r="4518" spans="11:11" x14ac:dyDescent="0.3">
      <c r="K4518" t="s">
        <v>8414</v>
      </c>
    </row>
    <row r="4519" spans="11:11" x14ac:dyDescent="0.3">
      <c r="K4519" t="s">
        <v>7297</v>
      </c>
    </row>
    <row r="4520" spans="11:11" x14ac:dyDescent="0.3">
      <c r="K4520" t="s">
        <v>6682</v>
      </c>
    </row>
    <row r="4521" spans="11:11" x14ac:dyDescent="0.3">
      <c r="K4521" t="s">
        <v>6897</v>
      </c>
    </row>
    <row r="4522" spans="11:11" x14ac:dyDescent="0.3">
      <c r="K4522" t="s">
        <v>8415</v>
      </c>
    </row>
    <row r="4523" spans="11:11" x14ac:dyDescent="0.3">
      <c r="K4523" t="s">
        <v>5791</v>
      </c>
    </row>
    <row r="4524" spans="11:11" x14ac:dyDescent="0.3">
      <c r="K4524" t="s">
        <v>7654</v>
      </c>
    </row>
    <row r="4525" spans="11:11" x14ac:dyDescent="0.3">
      <c r="K4525" t="s">
        <v>7655</v>
      </c>
    </row>
    <row r="4526" spans="11:11" x14ac:dyDescent="0.3">
      <c r="K4526" t="s">
        <v>5748</v>
      </c>
    </row>
    <row r="4527" spans="11:11" x14ac:dyDescent="0.3">
      <c r="K4527" t="s">
        <v>5747</v>
      </c>
    </row>
    <row r="4528" spans="11:11" x14ac:dyDescent="0.3">
      <c r="K4528" t="s">
        <v>6898</v>
      </c>
    </row>
    <row r="4529" spans="11:11" x14ac:dyDescent="0.3">
      <c r="K4529" t="s">
        <v>10028</v>
      </c>
    </row>
    <row r="4530" spans="11:11" x14ac:dyDescent="0.3">
      <c r="K4530" t="s">
        <v>10461</v>
      </c>
    </row>
    <row r="4531" spans="11:11" x14ac:dyDescent="0.3">
      <c r="K4531" t="s">
        <v>10772</v>
      </c>
    </row>
    <row r="4532" spans="11:11" x14ac:dyDescent="0.3">
      <c r="K4532" t="s">
        <v>10029</v>
      </c>
    </row>
    <row r="4533" spans="11:11" x14ac:dyDescent="0.3">
      <c r="K4533" t="s">
        <v>7299</v>
      </c>
    </row>
    <row r="4534" spans="11:11" x14ac:dyDescent="0.3">
      <c r="K4534" t="s">
        <v>6101</v>
      </c>
    </row>
    <row r="4535" spans="11:11" x14ac:dyDescent="0.3">
      <c r="K4535" t="s">
        <v>7658</v>
      </c>
    </row>
    <row r="4536" spans="11:11" x14ac:dyDescent="0.3">
      <c r="K4536" t="s">
        <v>9283</v>
      </c>
    </row>
    <row r="4537" spans="11:11" x14ac:dyDescent="0.3">
      <c r="K4537" t="s">
        <v>6901</v>
      </c>
    </row>
    <row r="4538" spans="11:11" x14ac:dyDescent="0.3">
      <c r="K4538" t="s">
        <v>9284</v>
      </c>
    </row>
    <row r="4539" spans="11:11" x14ac:dyDescent="0.3">
      <c r="K4539" t="s">
        <v>10462</v>
      </c>
    </row>
    <row r="4540" spans="11:11" x14ac:dyDescent="0.3">
      <c r="K4540" t="s">
        <v>9285</v>
      </c>
    </row>
    <row r="4541" spans="11:11" x14ac:dyDescent="0.3">
      <c r="K4541" t="s">
        <v>11016</v>
      </c>
    </row>
    <row r="4542" spans="11:11" x14ac:dyDescent="0.3">
      <c r="K4542" t="s">
        <v>10464</v>
      </c>
    </row>
    <row r="4543" spans="11:11" x14ac:dyDescent="0.3">
      <c r="K4543" t="s">
        <v>9728</v>
      </c>
    </row>
    <row r="4544" spans="11:11" x14ac:dyDescent="0.3">
      <c r="K4544" t="s">
        <v>10465</v>
      </c>
    </row>
    <row r="4545" spans="11:11" x14ac:dyDescent="0.3">
      <c r="K4545" t="s">
        <v>11017</v>
      </c>
    </row>
    <row r="4546" spans="11:11" x14ac:dyDescent="0.3">
      <c r="K4546" t="s">
        <v>7659</v>
      </c>
    </row>
    <row r="4547" spans="11:11" x14ac:dyDescent="0.3">
      <c r="K4547" t="s">
        <v>6330</v>
      </c>
    </row>
    <row r="4548" spans="11:11" x14ac:dyDescent="0.3">
      <c r="K4548" t="s">
        <v>8727</v>
      </c>
    </row>
    <row r="4549" spans="11:11" x14ac:dyDescent="0.3">
      <c r="K4549" t="s">
        <v>9286</v>
      </c>
    </row>
    <row r="4550" spans="11:11" x14ac:dyDescent="0.3">
      <c r="K4550" t="s">
        <v>8424</v>
      </c>
    </row>
    <row r="4551" spans="11:11" x14ac:dyDescent="0.3">
      <c r="K4551" t="s">
        <v>9287</v>
      </c>
    </row>
    <row r="4552" spans="11:11" x14ac:dyDescent="0.3">
      <c r="K4552" t="s">
        <v>8425</v>
      </c>
    </row>
    <row r="4553" spans="11:11" x14ac:dyDescent="0.3">
      <c r="K4553" t="s">
        <v>9729</v>
      </c>
    </row>
    <row r="4554" spans="11:11" x14ac:dyDescent="0.3">
      <c r="K4554" t="s">
        <v>11018</v>
      </c>
    </row>
    <row r="4555" spans="11:11" x14ac:dyDescent="0.3">
      <c r="K4555" t="s">
        <v>8426</v>
      </c>
    </row>
    <row r="4556" spans="11:11" x14ac:dyDescent="0.3">
      <c r="K4556" t="s">
        <v>5607</v>
      </c>
    </row>
    <row r="4557" spans="11:11" x14ac:dyDescent="0.3">
      <c r="K4557" t="s">
        <v>8427</v>
      </c>
    </row>
    <row r="4558" spans="11:11" x14ac:dyDescent="0.3">
      <c r="K4558" t="s">
        <v>8428</v>
      </c>
    </row>
    <row r="4559" spans="11:11" x14ac:dyDescent="0.3">
      <c r="K4559" t="s">
        <v>9288</v>
      </c>
    </row>
    <row r="4560" spans="11:11" x14ac:dyDescent="0.3">
      <c r="K4560" t="s">
        <v>10784</v>
      </c>
    </row>
    <row r="4561" spans="11:11" x14ac:dyDescent="0.3">
      <c r="K4561" t="s">
        <v>10785</v>
      </c>
    </row>
    <row r="4562" spans="11:11" x14ac:dyDescent="0.3">
      <c r="K4562" t="s">
        <v>8429</v>
      </c>
    </row>
    <row r="4563" spans="11:11" x14ac:dyDescent="0.3">
      <c r="K4563" t="s">
        <v>10463</v>
      </c>
    </row>
    <row r="4564" spans="11:11" x14ac:dyDescent="0.3">
      <c r="K4564" t="s">
        <v>9730</v>
      </c>
    </row>
    <row r="4565" spans="11:11" x14ac:dyDescent="0.3">
      <c r="K4565" t="s">
        <v>9289</v>
      </c>
    </row>
    <row r="4566" spans="11:11" x14ac:dyDescent="0.3">
      <c r="K4566" t="s">
        <v>10466</v>
      </c>
    </row>
    <row r="4567" spans="11:11" x14ac:dyDescent="0.3">
      <c r="K4567" t="s">
        <v>8430</v>
      </c>
    </row>
    <row r="4568" spans="11:11" x14ac:dyDescent="0.3">
      <c r="K4568" t="s">
        <v>8431</v>
      </c>
    </row>
    <row r="4569" spans="11:11" x14ac:dyDescent="0.3">
      <c r="K4569" t="s">
        <v>9731</v>
      </c>
    </row>
    <row r="4570" spans="11:11" x14ac:dyDescent="0.3">
      <c r="K4570" t="s">
        <v>5749</v>
      </c>
    </row>
    <row r="4571" spans="11:11" x14ac:dyDescent="0.3">
      <c r="K4571" t="s">
        <v>6102</v>
      </c>
    </row>
    <row r="4572" spans="11:11" x14ac:dyDescent="0.3">
      <c r="K4572" t="s">
        <v>6331</v>
      </c>
    </row>
    <row r="4573" spans="11:11" x14ac:dyDescent="0.3">
      <c r="K4573" t="s">
        <v>6683</v>
      </c>
    </row>
    <row r="4574" spans="11:11" x14ac:dyDescent="0.3">
      <c r="K4574" t="s">
        <v>10467</v>
      </c>
    </row>
    <row r="4575" spans="11:11" x14ac:dyDescent="0.3">
      <c r="K4575" t="s">
        <v>10468</v>
      </c>
    </row>
    <row r="4576" spans="11:11" x14ac:dyDescent="0.3">
      <c r="K4576" t="s">
        <v>7660</v>
      </c>
    </row>
    <row r="4577" spans="11:11" x14ac:dyDescent="0.3">
      <c r="K4577" t="s">
        <v>10469</v>
      </c>
    </row>
    <row r="4578" spans="11:11" x14ac:dyDescent="0.3">
      <c r="K4578" t="s">
        <v>9290</v>
      </c>
    </row>
    <row r="4579" spans="11:11" x14ac:dyDescent="0.3">
      <c r="K4579" t="s">
        <v>8432</v>
      </c>
    </row>
    <row r="4580" spans="11:11" x14ac:dyDescent="0.3">
      <c r="K4580" t="s">
        <v>6332</v>
      </c>
    </row>
    <row r="4581" spans="11:11" x14ac:dyDescent="0.3">
      <c r="K4581" t="s">
        <v>9732</v>
      </c>
    </row>
    <row r="4582" spans="11:11" x14ac:dyDescent="0.3">
      <c r="K4582" t="s">
        <v>9291</v>
      </c>
    </row>
    <row r="4583" spans="11:11" x14ac:dyDescent="0.3">
      <c r="K4583" t="s">
        <v>8433</v>
      </c>
    </row>
    <row r="4584" spans="11:11" x14ac:dyDescent="0.3">
      <c r="K4584" t="s">
        <v>9292</v>
      </c>
    </row>
    <row r="4585" spans="11:11" x14ac:dyDescent="0.3">
      <c r="K4585" t="s">
        <v>6103</v>
      </c>
    </row>
    <row r="4586" spans="11:11" x14ac:dyDescent="0.3">
      <c r="K4586" t="s">
        <v>7095</v>
      </c>
    </row>
    <row r="4587" spans="11:11" x14ac:dyDescent="0.3">
      <c r="K4587" t="s">
        <v>6534</v>
      </c>
    </row>
    <row r="4588" spans="11:11" x14ac:dyDescent="0.3">
      <c r="K4588" t="s">
        <v>6903</v>
      </c>
    </row>
    <row r="4589" spans="11:11" x14ac:dyDescent="0.3">
      <c r="K4589" t="s">
        <v>8434</v>
      </c>
    </row>
    <row r="4590" spans="11:11" x14ac:dyDescent="0.3">
      <c r="K4590" t="s">
        <v>6684</v>
      </c>
    </row>
    <row r="4591" spans="11:11" x14ac:dyDescent="0.3">
      <c r="K4591" t="s">
        <v>9293</v>
      </c>
    </row>
    <row r="4592" spans="11:11" x14ac:dyDescent="0.3">
      <c r="K4592" t="s">
        <v>10031</v>
      </c>
    </row>
    <row r="4593" spans="11:11" x14ac:dyDescent="0.3">
      <c r="K4593" t="s">
        <v>5914</v>
      </c>
    </row>
    <row r="4594" spans="11:11" x14ac:dyDescent="0.3">
      <c r="K4594" t="s">
        <v>6685</v>
      </c>
    </row>
    <row r="4595" spans="11:11" x14ac:dyDescent="0.3">
      <c r="K4595" t="s">
        <v>7096</v>
      </c>
    </row>
    <row r="4596" spans="11:11" x14ac:dyDescent="0.3">
      <c r="K4596" t="s">
        <v>6104</v>
      </c>
    </row>
    <row r="4597" spans="11:11" x14ac:dyDescent="0.3">
      <c r="K4597" t="s">
        <v>6902</v>
      </c>
    </row>
    <row r="4598" spans="11:11" x14ac:dyDescent="0.3">
      <c r="K4598" t="s">
        <v>10030</v>
      </c>
    </row>
    <row r="4599" spans="11:11" x14ac:dyDescent="0.3">
      <c r="K4599" t="s">
        <v>9294</v>
      </c>
    </row>
    <row r="4600" spans="11:11" x14ac:dyDescent="0.3">
      <c r="K4600" t="s">
        <v>6105</v>
      </c>
    </row>
    <row r="4601" spans="11:11" x14ac:dyDescent="0.3">
      <c r="K4601" t="s">
        <v>10032</v>
      </c>
    </row>
    <row r="4602" spans="11:11" x14ac:dyDescent="0.3">
      <c r="K4602" t="s">
        <v>10470</v>
      </c>
    </row>
    <row r="4603" spans="11:11" x14ac:dyDescent="0.3">
      <c r="K4603" t="s">
        <v>8435</v>
      </c>
    </row>
    <row r="4604" spans="11:11" x14ac:dyDescent="0.3">
      <c r="K4604" t="s">
        <v>7220</v>
      </c>
    </row>
    <row r="4605" spans="11:11" x14ac:dyDescent="0.3">
      <c r="K4605" t="s">
        <v>6333</v>
      </c>
    </row>
    <row r="4606" spans="11:11" x14ac:dyDescent="0.3">
      <c r="K4606" t="s">
        <v>5750</v>
      </c>
    </row>
    <row r="4607" spans="11:11" x14ac:dyDescent="0.3">
      <c r="K4607" t="s">
        <v>9295</v>
      </c>
    </row>
    <row r="4608" spans="11:11" x14ac:dyDescent="0.3">
      <c r="K4608" t="s">
        <v>7097</v>
      </c>
    </row>
    <row r="4609" spans="11:11" x14ac:dyDescent="0.3">
      <c r="K4609" t="s">
        <v>9733</v>
      </c>
    </row>
    <row r="4610" spans="11:11" x14ac:dyDescent="0.3">
      <c r="K4610" t="s">
        <v>10033</v>
      </c>
    </row>
    <row r="4611" spans="11:11" x14ac:dyDescent="0.3">
      <c r="K4611" t="s">
        <v>9296</v>
      </c>
    </row>
    <row r="4612" spans="11:11" x14ac:dyDescent="0.3">
      <c r="K4612" t="s">
        <v>10034</v>
      </c>
    </row>
    <row r="4613" spans="11:11" x14ac:dyDescent="0.3">
      <c r="K4613" t="s">
        <v>7300</v>
      </c>
    </row>
    <row r="4614" spans="11:11" x14ac:dyDescent="0.3">
      <c r="K4614" t="s">
        <v>7661</v>
      </c>
    </row>
    <row r="4615" spans="11:11" x14ac:dyDescent="0.3">
      <c r="K4615" t="s">
        <v>8436</v>
      </c>
    </row>
    <row r="4616" spans="11:11" x14ac:dyDescent="0.3">
      <c r="K4616" t="s">
        <v>6905</v>
      </c>
    </row>
    <row r="4617" spans="11:11" x14ac:dyDescent="0.3">
      <c r="K4617" t="s">
        <v>5751</v>
      </c>
    </row>
    <row r="4618" spans="11:11" x14ac:dyDescent="0.3">
      <c r="K4618" t="s">
        <v>6106</v>
      </c>
    </row>
    <row r="4619" spans="11:11" x14ac:dyDescent="0.3">
      <c r="K4619" t="s">
        <v>5752</v>
      </c>
    </row>
    <row r="4620" spans="11:11" x14ac:dyDescent="0.3">
      <c r="K4620" t="s">
        <v>6904</v>
      </c>
    </row>
    <row r="4621" spans="11:11" x14ac:dyDescent="0.3">
      <c r="K4621" t="s">
        <v>6107</v>
      </c>
    </row>
    <row r="4622" spans="11:11" x14ac:dyDescent="0.3">
      <c r="K4622" t="s">
        <v>8644</v>
      </c>
    </row>
    <row r="4623" spans="11:11" x14ac:dyDescent="0.3">
      <c r="K4623" t="s">
        <v>8437</v>
      </c>
    </row>
    <row r="4624" spans="11:11" x14ac:dyDescent="0.3">
      <c r="K4624" t="s">
        <v>10471</v>
      </c>
    </row>
    <row r="4625" spans="11:11" x14ac:dyDescent="0.3">
      <c r="K4625" t="s">
        <v>7662</v>
      </c>
    </row>
    <row r="4626" spans="11:11" x14ac:dyDescent="0.3">
      <c r="K4626" t="s">
        <v>11019</v>
      </c>
    </row>
    <row r="4627" spans="11:11" x14ac:dyDescent="0.3">
      <c r="K4627" t="s">
        <v>10035</v>
      </c>
    </row>
    <row r="4628" spans="11:11" x14ac:dyDescent="0.3">
      <c r="K4628" t="s">
        <v>7301</v>
      </c>
    </row>
    <row r="4629" spans="11:11" x14ac:dyDescent="0.3">
      <c r="K4629" t="s">
        <v>5527</v>
      </c>
    </row>
    <row r="4630" spans="11:11" x14ac:dyDescent="0.3">
      <c r="K4630" t="s">
        <v>7665</v>
      </c>
    </row>
    <row r="4631" spans="11:11" x14ac:dyDescent="0.3">
      <c r="K4631" t="s">
        <v>6108</v>
      </c>
    </row>
    <row r="4632" spans="11:11" x14ac:dyDescent="0.3">
      <c r="K4632" t="s">
        <v>8438</v>
      </c>
    </row>
    <row r="4633" spans="11:11" x14ac:dyDescent="0.3">
      <c r="K4633" t="s">
        <v>10786</v>
      </c>
    </row>
    <row r="4634" spans="11:11" x14ac:dyDescent="0.3">
      <c r="K4634" t="s">
        <v>7664</v>
      </c>
    </row>
    <row r="4635" spans="11:11" x14ac:dyDescent="0.3">
      <c r="K4635" t="s">
        <v>6334</v>
      </c>
    </row>
    <row r="4636" spans="11:11" x14ac:dyDescent="0.3">
      <c r="K4636" t="s">
        <v>5915</v>
      </c>
    </row>
    <row r="4637" spans="11:11" x14ac:dyDescent="0.3">
      <c r="K4637" t="s">
        <v>5753</v>
      </c>
    </row>
    <row r="4638" spans="11:11" x14ac:dyDescent="0.3">
      <c r="K4638" t="s">
        <v>7663</v>
      </c>
    </row>
    <row r="4639" spans="11:11" x14ac:dyDescent="0.3">
      <c r="K4639" t="s">
        <v>6686</v>
      </c>
    </row>
    <row r="4640" spans="11:11" x14ac:dyDescent="0.3">
      <c r="K4640" t="s">
        <v>8729</v>
      </c>
    </row>
    <row r="4641" spans="11:11" x14ac:dyDescent="0.3">
      <c r="K4641" t="s">
        <v>6335</v>
      </c>
    </row>
    <row r="4642" spans="11:11" x14ac:dyDescent="0.3">
      <c r="K4642" t="s">
        <v>10472</v>
      </c>
    </row>
    <row r="4643" spans="11:11" x14ac:dyDescent="0.3">
      <c r="K4643" t="s">
        <v>11020</v>
      </c>
    </row>
    <row r="4644" spans="11:11" x14ac:dyDescent="0.3">
      <c r="K4644" t="s">
        <v>8728</v>
      </c>
    </row>
    <row r="4645" spans="11:11" x14ac:dyDescent="0.3">
      <c r="K4645" t="s">
        <v>8440</v>
      </c>
    </row>
    <row r="4646" spans="11:11" x14ac:dyDescent="0.3">
      <c r="K4646" t="s">
        <v>10473</v>
      </c>
    </row>
    <row r="4647" spans="11:11" x14ac:dyDescent="0.3">
      <c r="K4647" t="s">
        <v>8441</v>
      </c>
    </row>
    <row r="4648" spans="11:11" x14ac:dyDescent="0.3">
      <c r="K4648" t="s">
        <v>6109</v>
      </c>
    </row>
    <row r="4649" spans="11:11" x14ac:dyDescent="0.3">
      <c r="K4649" t="s">
        <v>7666</v>
      </c>
    </row>
    <row r="4650" spans="11:11" x14ac:dyDescent="0.3">
      <c r="K4650" t="s">
        <v>8442</v>
      </c>
    </row>
    <row r="4651" spans="11:11" x14ac:dyDescent="0.3">
      <c r="K4651" t="s">
        <v>5528</v>
      </c>
    </row>
    <row r="4652" spans="11:11" x14ac:dyDescent="0.3">
      <c r="K4652" t="s">
        <v>6110</v>
      </c>
    </row>
    <row r="4653" spans="11:11" x14ac:dyDescent="0.3">
      <c r="K4653" t="s">
        <v>6687</v>
      </c>
    </row>
    <row r="4654" spans="11:11" x14ac:dyDescent="0.3">
      <c r="K4654" t="s">
        <v>5754</v>
      </c>
    </row>
    <row r="4655" spans="11:11" x14ac:dyDescent="0.3">
      <c r="K4655" t="s">
        <v>6336</v>
      </c>
    </row>
    <row r="4656" spans="11:11" x14ac:dyDescent="0.3">
      <c r="K4656" t="s">
        <v>10036</v>
      </c>
    </row>
    <row r="4657" spans="11:11" x14ac:dyDescent="0.3">
      <c r="K4657" t="s">
        <v>8439</v>
      </c>
    </row>
    <row r="4658" spans="11:11" x14ac:dyDescent="0.3">
      <c r="K4658" t="s">
        <v>6906</v>
      </c>
    </row>
    <row r="4659" spans="11:11" x14ac:dyDescent="0.3">
      <c r="K4659" t="s">
        <v>7302</v>
      </c>
    </row>
    <row r="4660" spans="11:11" x14ac:dyDescent="0.3">
      <c r="K4660" t="s">
        <v>9297</v>
      </c>
    </row>
    <row r="4661" spans="11:11" x14ac:dyDescent="0.3">
      <c r="K4661" t="s">
        <v>5608</v>
      </c>
    </row>
    <row r="4662" spans="11:11" x14ac:dyDescent="0.3">
      <c r="K4662" t="s">
        <v>8645</v>
      </c>
    </row>
    <row r="4663" spans="11:11" x14ac:dyDescent="0.3">
      <c r="K4663" t="s">
        <v>10655</v>
      </c>
    </row>
    <row r="4664" spans="11:11" x14ac:dyDescent="0.3">
      <c r="K4664" t="s">
        <v>7667</v>
      </c>
    </row>
    <row r="4665" spans="11:11" x14ac:dyDescent="0.3">
      <c r="K4665" t="s">
        <v>10474</v>
      </c>
    </row>
    <row r="4666" spans="11:11" x14ac:dyDescent="0.3">
      <c r="K4666" t="s">
        <v>8444</v>
      </c>
    </row>
    <row r="4667" spans="11:11" x14ac:dyDescent="0.3">
      <c r="K4667" t="s">
        <v>5755</v>
      </c>
    </row>
    <row r="4668" spans="11:11" x14ac:dyDescent="0.3">
      <c r="K4668" t="s">
        <v>8445</v>
      </c>
    </row>
    <row r="4669" spans="11:11" x14ac:dyDescent="0.3">
      <c r="K4669" t="s">
        <v>8443</v>
      </c>
    </row>
    <row r="4670" spans="11:11" x14ac:dyDescent="0.3">
      <c r="K4670" t="s">
        <v>8446</v>
      </c>
    </row>
    <row r="4671" spans="11:11" x14ac:dyDescent="0.3">
      <c r="K4671" t="s">
        <v>6535</v>
      </c>
    </row>
    <row r="4672" spans="11:11" x14ac:dyDescent="0.3">
      <c r="K4672" t="s">
        <v>6688</v>
      </c>
    </row>
    <row r="4673" spans="11:11" x14ac:dyDescent="0.3">
      <c r="K4673" t="s">
        <v>6337</v>
      </c>
    </row>
    <row r="4674" spans="11:11" x14ac:dyDescent="0.3">
      <c r="K4674" t="s">
        <v>8447</v>
      </c>
    </row>
    <row r="4675" spans="11:11" x14ac:dyDescent="0.3">
      <c r="K4675" t="s">
        <v>6338</v>
      </c>
    </row>
    <row r="4676" spans="11:11" x14ac:dyDescent="0.3">
      <c r="K4676" t="s">
        <v>8448</v>
      </c>
    </row>
    <row r="4677" spans="11:11" x14ac:dyDescent="0.3">
      <c r="K4677" t="s">
        <v>8010</v>
      </c>
    </row>
    <row r="4678" spans="11:11" x14ac:dyDescent="0.3">
      <c r="K4678" t="s">
        <v>8449</v>
      </c>
    </row>
    <row r="4679" spans="11:11" x14ac:dyDescent="0.3">
      <c r="K4679" t="s">
        <v>7668</v>
      </c>
    </row>
    <row r="4680" spans="11:11" x14ac:dyDescent="0.3">
      <c r="K4680" t="s">
        <v>8730</v>
      </c>
    </row>
    <row r="4681" spans="11:11" x14ac:dyDescent="0.3">
      <c r="K4681" t="s">
        <v>8450</v>
      </c>
    </row>
    <row r="4682" spans="11:11" x14ac:dyDescent="0.3">
      <c r="K4682" t="s">
        <v>9734</v>
      </c>
    </row>
    <row r="4683" spans="11:11" x14ac:dyDescent="0.3">
      <c r="K4683" t="s">
        <v>10475</v>
      </c>
    </row>
    <row r="4684" spans="11:11" x14ac:dyDescent="0.3">
      <c r="K4684" t="s">
        <v>8451</v>
      </c>
    </row>
    <row r="4685" spans="11:11" x14ac:dyDescent="0.3">
      <c r="K4685" t="s">
        <v>6111</v>
      </c>
    </row>
    <row r="4686" spans="11:11" x14ac:dyDescent="0.3">
      <c r="K4686" t="s">
        <v>10038</v>
      </c>
    </row>
    <row r="4687" spans="11:11" x14ac:dyDescent="0.3">
      <c r="K4687" t="s">
        <v>11021</v>
      </c>
    </row>
    <row r="4688" spans="11:11" x14ac:dyDescent="0.3">
      <c r="K4688" t="s">
        <v>5631</v>
      </c>
    </row>
    <row r="4689" spans="11:11" x14ac:dyDescent="0.3">
      <c r="K4689" t="s">
        <v>8731</v>
      </c>
    </row>
    <row r="4690" spans="11:11" x14ac:dyDescent="0.3">
      <c r="K4690" t="s">
        <v>9298</v>
      </c>
    </row>
    <row r="4691" spans="11:11" x14ac:dyDescent="0.3">
      <c r="K4691" t="s">
        <v>6339</v>
      </c>
    </row>
    <row r="4692" spans="11:11" x14ac:dyDescent="0.3">
      <c r="K4692" t="s">
        <v>6340</v>
      </c>
    </row>
    <row r="4693" spans="11:11" x14ac:dyDescent="0.3">
      <c r="K4693" t="s">
        <v>8452</v>
      </c>
    </row>
    <row r="4694" spans="11:11" x14ac:dyDescent="0.3">
      <c r="K4694" t="s">
        <v>8453</v>
      </c>
    </row>
    <row r="4695" spans="11:11" x14ac:dyDescent="0.3">
      <c r="K4695" t="s">
        <v>11022</v>
      </c>
    </row>
    <row r="4696" spans="11:11" x14ac:dyDescent="0.3">
      <c r="K4696" t="s">
        <v>5756</v>
      </c>
    </row>
    <row r="4697" spans="11:11" x14ac:dyDescent="0.3">
      <c r="K4697" t="s">
        <v>8454</v>
      </c>
    </row>
    <row r="4698" spans="11:11" x14ac:dyDescent="0.3">
      <c r="K4698" t="s">
        <v>6341</v>
      </c>
    </row>
    <row r="4699" spans="11:11" x14ac:dyDescent="0.3">
      <c r="K4699" t="s">
        <v>10476</v>
      </c>
    </row>
    <row r="4700" spans="11:11" x14ac:dyDescent="0.3">
      <c r="K4700" t="s">
        <v>6342</v>
      </c>
    </row>
    <row r="4701" spans="11:11" x14ac:dyDescent="0.3">
      <c r="K4701" t="s">
        <v>9299</v>
      </c>
    </row>
    <row r="4702" spans="11:11" x14ac:dyDescent="0.3">
      <c r="K4702" t="s">
        <v>8455</v>
      </c>
    </row>
    <row r="4703" spans="11:11" x14ac:dyDescent="0.3">
      <c r="K4703" t="s">
        <v>9300</v>
      </c>
    </row>
    <row r="4704" spans="11:11" x14ac:dyDescent="0.3">
      <c r="K4704" t="s">
        <v>8732</v>
      </c>
    </row>
    <row r="4705" spans="11:11" x14ac:dyDescent="0.3">
      <c r="K4705" t="s">
        <v>5757</v>
      </c>
    </row>
    <row r="4706" spans="11:11" x14ac:dyDescent="0.3">
      <c r="K4706" t="s">
        <v>8456</v>
      </c>
    </row>
    <row r="4707" spans="11:11" x14ac:dyDescent="0.3">
      <c r="K4707" t="s">
        <v>5758</v>
      </c>
    </row>
    <row r="4708" spans="11:11" x14ac:dyDescent="0.3">
      <c r="K4708" t="s">
        <v>6343</v>
      </c>
    </row>
    <row r="4709" spans="11:11" x14ac:dyDescent="0.3">
      <c r="K4709" t="s">
        <v>9736</v>
      </c>
    </row>
    <row r="4710" spans="11:11" x14ac:dyDescent="0.3">
      <c r="K4710" t="s">
        <v>6907</v>
      </c>
    </row>
    <row r="4711" spans="11:11" x14ac:dyDescent="0.3">
      <c r="K4711" t="s">
        <v>6112</v>
      </c>
    </row>
    <row r="4712" spans="11:11" x14ac:dyDescent="0.3">
      <c r="K4712" t="s">
        <v>10039</v>
      </c>
    </row>
    <row r="4713" spans="11:11" x14ac:dyDescent="0.3">
      <c r="K4713" t="s">
        <v>9737</v>
      </c>
    </row>
    <row r="4714" spans="11:11" x14ac:dyDescent="0.3">
      <c r="K4714" t="s">
        <v>6536</v>
      </c>
    </row>
    <row r="4715" spans="11:11" x14ac:dyDescent="0.3">
      <c r="K4715" t="s">
        <v>8457</v>
      </c>
    </row>
    <row r="4716" spans="11:11" x14ac:dyDescent="0.3">
      <c r="K4716" t="s">
        <v>8458</v>
      </c>
    </row>
    <row r="4717" spans="11:11" x14ac:dyDescent="0.3">
      <c r="K4717" t="s">
        <v>10037</v>
      </c>
    </row>
    <row r="4718" spans="11:11" x14ac:dyDescent="0.3">
      <c r="K4718" t="s">
        <v>8459</v>
      </c>
    </row>
    <row r="4719" spans="11:11" x14ac:dyDescent="0.3">
      <c r="K4719" t="s">
        <v>8460</v>
      </c>
    </row>
    <row r="4720" spans="11:11" x14ac:dyDescent="0.3">
      <c r="K4720" t="s">
        <v>6113</v>
      </c>
    </row>
    <row r="4721" spans="11:11" x14ac:dyDescent="0.3">
      <c r="K4721" t="s">
        <v>8461</v>
      </c>
    </row>
    <row r="4722" spans="11:11" x14ac:dyDescent="0.3">
      <c r="K4722" t="s">
        <v>9301</v>
      </c>
    </row>
    <row r="4723" spans="11:11" x14ac:dyDescent="0.3">
      <c r="K4723" t="s">
        <v>6344</v>
      </c>
    </row>
    <row r="4724" spans="11:11" x14ac:dyDescent="0.3">
      <c r="K4724" t="s">
        <v>10477</v>
      </c>
    </row>
    <row r="4725" spans="11:11" x14ac:dyDescent="0.3">
      <c r="K4725" t="s">
        <v>6733</v>
      </c>
    </row>
    <row r="4726" spans="11:11" x14ac:dyDescent="0.3">
      <c r="K4726" t="s">
        <v>6689</v>
      </c>
    </row>
    <row r="4727" spans="11:11" x14ac:dyDescent="0.3">
      <c r="K4727" t="s">
        <v>6114</v>
      </c>
    </row>
    <row r="4728" spans="11:11" x14ac:dyDescent="0.3">
      <c r="K4728" t="s">
        <v>10040</v>
      </c>
    </row>
    <row r="4729" spans="11:11" x14ac:dyDescent="0.3">
      <c r="K4729" t="s">
        <v>6908</v>
      </c>
    </row>
    <row r="4730" spans="11:11" x14ac:dyDescent="0.3">
      <c r="K4730" t="s">
        <v>9738</v>
      </c>
    </row>
    <row r="4731" spans="11:11" x14ac:dyDescent="0.3">
      <c r="K4731" t="s">
        <v>6115</v>
      </c>
    </row>
    <row r="4732" spans="11:11" x14ac:dyDescent="0.3">
      <c r="K4732" t="s">
        <v>8462</v>
      </c>
    </row>
    <row r="4733" spans="11:11" x14ac:dyDescent="0.3">
      <c r="K4733" t="s">
        <v>8463</v>
      </c>
    </row>
    <row r="4734" spans="11:11" x14ac:dyDescent="0.3">
      <c r="K4734" t="s">
        <v>7098</v>
      </c>
    </row>
    <row r="4735" spans="11:11" x14ac:dyDescent="0.3">
      <c r="K4735" t="s">
        <v>9735</v>
      </c>
    </row>
    <row r="4736" spans="11:11" x14ac:dyDescent="0.3">
      <c r="K4736" t="s">
        <v>9302</v>
      </c>
    </row>
    <row r="4737" spans="11:11" x14ac:dyDescent="0.3">
      <c r="K4737" t="s">
        <v>8464</v>
      </c>
    </row>
    <row r="4738" spans="11:11" x14ac:dyDescent="0.3">
      <c r="K4738" t="s">
        <v>7099</v>
      </c>
    </row>
    <row r="4739" spans="11:11" x14ac:dyDescent="0.3">
      <c r="K4739" t="s">
        <v>10041</v>
      </c>
    </row>
    <row r="4740" spans="11:11" x14ac:dyDescent="0.3">
      <c r="K4740" t="s">
        <v>9739</v>
      </c>
    </row>
    <row r="4741" spans="11:11" x14ac:dyDescent="0.3">
      <c r="K4741" t="s">
        <v>9740</v>
      </c>
    </row>
    <row r="4742" spans="11:11" x14ac:dyDescent="0.3">
      <c r="K4742" t="s">
        <v>9741</v>
      </c>
    </row>
    <row r="4743" spans="11:11" x14ac:dyDescent="0.3">
      <c r="K4743" t="s">
        <v>10478</v>
      </c>
    </row>
    <row r="4744" spans="11:11" x14ac:dyDescent="0.3">
      <c r="K4744" t="s">
        <v>8465</v>
      </c>
    </row>
    <row r="4745" spans="11:11" x14ac:dyDescent="0.3">
      <c r="K4745" t="s">
        <v>9303</v>
      </c>
    </row>
    <row r="4746" spans="11:11" x14ac:dyDescent="0.3">
      <c r="K4746" t="s">
        <v>9742</v>
      </c>
    </row>
    <row r="4747" spans="11:11" x14ac:dyDescent="0.3">
      <c r="K4747" t="s">
        <v>7100</v>
      </c>
    </row>
    <row r="4748" spans="11:11" x14ac:dyDescent="0.3">
      <c r="K4748" t="s">
        <v>6909</v>
      </c>
    </row>
    <row r="4749" spans="11:11" x14ac:dyDescent="0.3">
      <c r="K4749" t="s">
        <v>7221</v>
      </c>
    </row>
    <row r="4750" spans="11:11" x14ac:dyDescent="0.3">
      <c r="K4750" t="s">
        <v>8466</v>
      </c>
    </row>
    <row r="4751" spans="11:11" x14ac:dyDescent="0.3">
      <c r="K4751" t="s">
        <v>8467</v>
      </c>
    </row>
    <row r="4752" spans="11:11" x14ac:dyDescent="0.3">
      <c r="K4752" t="s">
        <v>7222</v>
      </c>
    </row>
    <row r="4753" spans="11:11" x14ac:dyDescent="0.3">
      <c r="K4753" t="s">
        <v>8468</v>
      </c>
    </row>
    <row r="4754" spans="11:11" x14ac:dyDescent="0.3">
      <c r="K4754" t="s">
        <v>7669</v>
      </c>
    </row>
    <row r="4755" spans="11:11" x14ac:dyDescent="0.3">
      <c r="K4755" t="s">
        <v>10479</v>
      </c>
    </row>
    <row r="4756" spans="11:11" x14ac:dyDescent="0.3">
      <c r="K4756" t="s">
        <v>9743</v>
      </c>
    </row>
    <row r="4757" spans="11:11" x14ac:dyDescent="0.3">
      <c r="K4757" t="s">
        <v>6910</v>
      </c>
    </row>
    <row r="4758" spans="11:11" x14ac:dyDescent="0.3">
      <c r="K4758" t="s">
        <v>6911</v>
      </c>
    </row>
    <row r="4759" spans="11:11" x14ac:dyDescent="0.3">
      <c r="K4759" t="s">
        <v>6690</v>
      </c>
    </row>
    <row r="4760" spans="11:11" x14ac:dyDescent="0.3">
      <c r="K4760" t="s">
        <v>6913</v>
      </c>
    </row>
    <row r="4761" spans="11:11" x14ac:dyDescent="0.3">
      <c r="K4761" t="s">
        <v>6914</v>
      </c>
    </row>
    <row r="4762" spans="11:11" x14ac:dyDescent="0.3">
      <c r="K4762" t="s">
        <v>6116</v>
      </c>
    </row>
    <row r="4763" spans="11:11" x14ac:dyDescent="0.3">
      <c r="K4763" t="s">
        <v>8733</v>
      </c>
    </row>
    <row r="4764" spans="11:11" x14ac:dyDescent="0.3">
      <c r="K4764" t="s">
        <v>8469</v>
      </c>
    </row>
    <row r="4765" spans="11:11" x14ac:dyDescent="0.3">
      <c r="K4765" t="s">
        <v>9304</v>
      </c>
    </row>
    <row r="4766" spans="11:11" x14ac:dyDescent="0.3">
      <c r="K4766" t="s">
        <v>7101</v>
      </c>
    </row>
    <row r="4767" spans="11:11" x14ac:dyDescent="0.3">
      <c r="K4767" t="s">
        <v>6915</v>
      </c>
    </row>
    <row r="4768" spans="11:11" x14ac:dyDescent="0.3">
      <c r="K4768" t="s">
        <v>6916</v>
      </c>
    </row>
    <row r="4769" spans="11:11" x14ac:dyDescent="0.3">
      <c r="K4769" t="s">
        <v>8646</v>
      </c>
    </row>
    <row r="4770" spans="11:11" x14ac:dyDescent="0.3">
      <c r="K4770" t="s">
        <v>6691</v>
      </c>
    </row>
    <row r="4771" spans="11:11" x14ac:dyDescent="0.3">
      <c r="K4771" t="s">
        <v>10043</v>
      </c>
    </row>
    <row r="4772" spans="11:11" x14ac:dyDescent="0.3">
      <c r="K4772" t="s">
        <v>10044</v>
      </c>
    </row>
    <row r="4773" spans="11:11" x14ac:dyDescent="0.3">
      <c r="K4773" t="s">
        <v>8470</v>
      </c>
    </row>
    <row r="4774" spans="11:11" x14ac:dyDescent="0.3">
      <c r="K4774" t="s">
        <v>6345</v>
      </c>
    </row>
    <row r="4775" spans="11:11" x14ac:dyDescent="0.3">
      <c r="K4775" t="s">
        <v>7102</v>
      </c>
    </row>
    <row r="4776" spans="11:11" x14ac:dyDescent="0.3">
      <c r="K4776" t="s">
        <v>8471</v>
      </c>
    </row>
    <row r="4777" spans="11:11" x14ac:dyDescent="0.3">
      <c r="K4777" t="s">
        <v>10480</v>
      </c>
    </row>
    <row r="4778" spans="11:11" x14ac:dyDescent="0.3">
      <c r="K4778" t="s">
        <v>10481</v>
      </c>
    </row>
    <row r="4779" spans="11:11" x14ac:dyDescent="0.3">
      <c r="K4779" t="s">
        <v>10482</v>
      </c>
    </row>
    <row r="4780" spans="11:11" x14ac:dyDescent="0.3">
      <c r="K4780" t="s">
        <v>7670</v>
      </c>
    </row>
    <row r="4781" spans="11:11" x14ac:dyDescent="0.3">
      <c r="K4781" t="s">
        <v>8472</v>
      </c>
    </row>
    <row r="4782" spans="11:11" x14ac:dyDescent="0.3">
      <c r="K4782" t="s">
        <v>8473</v>
      </c>
    </row>
    <row r="4783" spans="11:11" x14ac:dyDescent="0.3">
      <c r="K4783" t="s">
        <v>10483</v>
      </c>
    </row>
    <row r="4784" spans="11:11" x14ac:dyDescent="0.3">
      <c r="K4784" t="s">
        <v>10484</v>
      </c>
    </row>
    <row r="4785" spans="11:11" x14ac:dyDescent="0.3">
      <c r="K4785" t="s">
        <v>6346</v>
      </c>
    </row>
    <row r="4786" spans="11:11" x14ac:dyDescent="0.3">
      <c r="K4786" t="s">
        <v>6347</v>
      </c>
    </row>
    <row r="4787" spans="11:11" x14ac:dyDescent="0.3">
      <c r="K4787" t="s">
        <v>10773</v>
      </c>
    </row>
    <row r="4788" spans="11:11" x14ac:dyDescent="0.3">
      <c r="K4788" t="s">
        <v>10774</v>
      </c>
    </row>
    <row r="4789" spans="11:11" x14ac:dyDescent="0.3">
      <c r="K4789" t="s">
        <v>9305</v>
      </c>
    </row>
    <row r="4790" spans="11:11" x14ac:dyDescent="0.3">
      <c r="K4790" t="s">
        <v>9306</v>
      </c>
    </row>
    <row r="4791" spans="11:11" x14ac:dyDescent="0.3">
      <c r="K4791" t="s">
        <v>6917</v>
      </c>
    </row>
    <row r="4792" spans="11:11" x14ac:dyDescent="0.3">
      <c r="K4792" t="s">
        <v>6692</v>
      </c>
    </row>
    <row r="4793" spans="11:11" x14ac:dyDescent="0.3">
      <c r="K4793" t="s">
        <v>10485</v>
      </c>
    </row>
    <row r="4794" spans="11:11" x14ac:dyDescent="0.3">
      <c r="K4794" t="s">
        <v>8734</v>
      </c>
    </row>
    <row r="4795" spans="11:11" x14ac:dyDescent="0.3">
      <c r="K4795" t="s">
        <v>10775</v>
      </c>
    </row>
    <row r="4796" spans="11:11" x14ac:dyDescent="0.3">
      <c r="K4796" t="s">
        <v>10486</v>
      </c>
    </row>
    <row r="4797" spans="11:11" x14ac:dyDescent="0.3">
      <c r="K4797" t="s">
        <v>6117</v>
      </c>
    </row>
    <row r="4798" spans="11:11" x14ac:dyDescent="0.3">
      <c r="K4798" t="s">
        <v>9307</v>
      </c>
    </row>
    <row r="4799" spans="11:11" x14ac:dyDescent="0.3">
      <c r="K4799" t="s">
        <v>6918</v>
      </c>
    </row>
    <row r="4800" spans="11:11" x14ac:dyDescent="0.3">
      <c r="K4800" t="s">
        <v>9744</v>
      </c>
    </row>
    <row r="4801" spans="11:11" x14ac:dyDescent="0.3">
      <c r="K4801" t="s">
        <v>10766</v>
      </c>
    </row>
    <row r="4802" spans="11:11" x14ac:dyDescent="0.3">
      <c r="K4802" t="s">
        <v>6912</v>
      </c>
    </row>
    <row r="4803" spans="11:11" x14ac:dyDescent="0.3">
      <c r="K4803" t="s">
        <v>10042</v>
      </c>
    </row>
    <row r="4804" spans="11:11" x14ac:dyDescent="0.3">
      <c r="K4804" t="s">
        <v>6348</v>
      </c>
    </row>
    <row r="4805" spans="11:11" x14ac:dyDescent="0.3">
      <c r="K4805" t="s">
        <v>10487</v>
      </c>
    </row>
    <row r="4806" spans="11:11" x14ac:dyDescent="0.3">
      <c r="K4806" t="s">
        <v>7103</v>
      </c>
    </row>
    <row r="4807" spans="11:11" x14ac:dyDescent="0.3">
      <c r="K4807" t="s">
        <v>9308</v>
      </c>
    </row>
    <row r="4808" spans="11:11" x14ac:dyDescent="0.3">
      <c r="K4808" t="s">
        <v>10045</v>
      </c>
    </row>
    <row r="4809" spans="11:11" x14ac:dyDescent="0.3">
      <c r="K4809" t="s">
        <v>6349</v>
      </c>
    </row>
    <row r="4810" spans="11:11" x14ac:dyDescent="0.3">
      <c r="K4810" t="s">
        <v>10488</v>
      </c>
    </row>
    <row r="4811" spans="11:11" x14ac:dyDescent="0.3">
      <c r="K4811" t="s">
        <v>8474</v>
      </c>
    </row>
    <row r="4812" spans="11:11" x14ac:dyDescent="0.3">
      <c r="K4812" t="s">
        <v>10046</v>
      </c>
    </row>
    <row r="4813" spans="11:11" x14ac:dyDescent="0.3">
      <c r="K4813" t="s">
        <v>11023</v>
      </c>
    </row>
    <row r="4814" spans="11:11" x14ac:dyDescent="0.3">
      <c r="K4814" t="s">
        <v>6537</v>
      </c>
    </row>
    <row r="4815" spans="11:11" x14ac:dyDescent="0.3">
      <c r="K4815" t="s">
        <v>9309</v>
      </c>
    </row>
    <row r="4816" spans="11:11" x14ac:dyDescent="0.3">
      <c r="K4816" t="s">
        <v>6350</v>
      </c>
    </row>
    <row r="4817" spans="11:11" x14ac:dyDescent="0.3">
      <c r="K4817" t="s">
        <v>7223</v>
      </c>
    </row>
    <row r="4818" spans="11:11" x14ac:dyDescent="0.3">
      <c r="K4818" t="s">
        <v>6119</v>
      </c>
    </row>
    <row r="4819" spans="11:11" x14ac:dyDescent="0.3">
      <c r="K4819" t="s">
        <v>6118</v>
      </c>
    </row>
    <row r="4820" spans="11:11" x14ac:dyDescent="0.3">
      <c r="K4820" t="s">
        <v>11024</v>
      </c>
    </row>
    <row r="4821" spans="11:11" x14ac:dyDescent="0.3">
      <c r="K4821" t="s">
        <v>10489</v>
      </c>
    </row>
    <row r="4822" spans="11:11" x14ac:dyDescent="0.3">
      <c r="K4822" t="s">
        <v>5632</v>
      </c>
    </row>
    <row r="4823" spans="11:11" x14ac:dyDescent="0.3">
      <c r="K4823" t="s">
        <v>6919</v>
      </c>
    </row>
    <row r="4824" spans="11:11" x14ac:dyDescent="0.3">
      <c r="K4824" t="s">
        <v>9745</v>
      </c>
    </row>
    <row r="4825" spans="11:11" x14ac:dyDescent="0.3">
      <c r="K4825" t="s">
        <v>9310</v>
      </c>
    </row>
    <row r="4826" spans="11:11" x14ac:dyDescent="0.3">
      <c r="K4826" t="s">
        <v>10490</v>
      </c>
    </row>
    <row r="4827" spans="11:11" x14ac:dyDescent="0.3">
      <c r="K4827" t="s">
        <v>10492</v>
      </c>
    </row>
    <row r="4828" spans="11:11" x14ac:dyDescent="0.3">
      <c r="K4828" t="s">
        <v>10491</v>
      </c>
    </row>
    <row r="4829" spans="11:11" x14ac:dyDescent="0.3">
      <c r="K4829" t="s">
        <v>10047</v>
      </c>
    </row>
    <row r="4830" spans="11:11" x14ac:dyDescent="0.3">
      <c r="K4830" t="s">
        <v>6120</v>
      </c>
    </row>
    <row r="4831" spans="11:11" x14ac:dyDescent="0.3">
      <c r="K4831" t="s">
        <v>9746</v>
      </c>
    </row>
    <row r="4832" spans="11:11" x14ac:dyDescent="0.3">
      <c r="K4832" t="s">
        <v>8647</v>
      </c>
    </row>
    <row r="4833" spans="11:11" x14ac:dyDescent="0.3">
      <c r="K4833" t="s">
        <v>9311</v>
      </c>
    </row>
    <row r="4834" spans="11:11" x14ac:dyDescent="0.3">
      <c r="K4834" t="s">
        <v>6351</v>
      </c>
    </row>
    <row r="4835" spans="11:11" x14ac:dyDescent="0.3">
      <c r="K4835" t="s">
        <v>10048</v>
      </c>
    </row>
    <row r="4836" spans="11:11" x14ac:dyDescent="0.3">
      <c r="K4836" t="s">
        <v>7671</v>
      </c>
    </row>
    <row r="4837" spans="11:11" x14ac:dyDescent="0.3">
      <c r="K4837" t="s">
        <v>10493</v>
      </c>
    </row>
    <row r="4838" spans="11:11" x14ac:dyDescent="0.3">
      <c r="K4838" t="s">
        <v>6920</v>
      </c>
    </row>
    <row r="4839" spans="11:11" x14ac:dyDescent="0.3">
      <c r="K4839" t="s">
        <v>7303</v>
      </c>
    </row>
    <row r="4840" spans="11:11" x14ac:dyDescent="0.3">
      <c r="K4840" t="s">
        <v>8475</v>
      </c>
    </row>
    <row r="4841" spans="11:11" x14ac:dyDescent="0.3">
      <c r="K4841" t="s">
        <v>11025</v>
      </c>
    </row>
    <row r="4842" spans="11:11" x14ac:dyDescent="0.3">
      <c r="K4842" t="s">
        <v>6352</v>
      </c>
    </row>
    <row r="4843" spans="11:11" x14ac:dyDescent="0.3">
      <c r="K4843" t="s">
        <v>6694</v>
      </c>
    </row>
    <row r="4844" spans="11:11" x14ac:dyDescent="0.3">
      <c r="K4844" t="s">
        <v>5759</v>
      </c>
    </row>
    <row r="4845" spans="11:11" x14ac:dyDescent="0.3">
      <c r="K4845" t="s">
        <v>5505</v>
      </c>
    </row>
    <row r="4846" spans="11:11" x14ac:dyDescent="0.3">
      <c r="K4846" t="s">
        <v>9747</v>
      </c>
    </row>
    <row r="4847" spans="11:11" x14ac:dyDescent="0.3">
      <c r="K4847" t="s">
        <v>10049</v>
      </c>
    </row>
    <row r="4848" spans="11:11" x14ac:dyDescent="0.3">
      <c r="K4848" t="s">
        <v>11026</v>
      </c>
    </row>
    <row r="4849" spans="11:11" x14ac:dyDescent="0.3">
      <c r="K4849" t="s">
        <v>6353</v>
      </c>
    </row>
    <row r="4850" spans="11:11" x14ac:dyDescent="0.3">
      <c r="K4850" t="s">
        <v>5916</v>
      </c>
    </row>
    <row r="4851" spans="11:11" x14ac:dyDescent="0.3">
      <c r="K4851" t="s">
        <v>7224</v>
      </c>
    </row>
    <row r="4852" spans="11:11" x14ac:dyDescent="0.3">
      <c r="K4852" t="s">
        <v>7225</v>
      </c>
    </row>
    <row r="4853" spans="11:11" x14ac:dyDescent="0.3">
      <c r="K4853" t="s">
        <v>6693</v>
      </c>
    </row>
    <row r="4854" spans="11:11" x14ac:dyDescent="0.3">
      <c r="K4854" t="s">
        <v>10494</v>
      </c>
    </row>
    <row r="4855" spans="11:11" x14ac:dyDescent="0.3">
      <c r="K4855" t="s">
        <v>11027</v>
      </c>
    </row>
    <row r="4856" spans="11:11" x14ac:dyDescent="0.3">
      <c r="K4856" t="s">
        <v>10495</v>
      </c>
    </row>
    <row r="4857" spans="11:11" x14ac:dyDescent="0.3">
      <c r="K4857" t="s">
        <v>5609</v>
      </c>
    </row>
    <row r="4858" spans="11:11" x14ac:dyDescent="0.3">
      <c r="K4858" t="s">
        <v>6695</v>
      </c>
    </row>
    <row r="4859" spans="11:11" x14ac:dyDescent="0.3">
      <c r="K4859" t="s">
        <v>9312</v>
      </c>
    </row>
    <row r="4860" spans="11:11" x14ac:dyDescent="0.3">
      <c r="K4860" t="s">
        <v>6121</v>
      </c>
    </row>
    <row r="4861" spans="11:11" x14ac:dyDescent="0.3">
      <c r="K4861" t="s">
        <v>8735</v>
      </c>
    </row>
    <row r="4862" spans="11:11" x14ac:dyDescent="0.3">
      <c r="K4862" t="s">
        <v>10776</v>
      </c>
    </row>
    <row r="4863" spans="11:11" x14ac:dyDescent="0.3">
      <c r="K4863" t="s">
        <v>10496</v>
      </c>
    </row>
    <row r="4864" spans="11:11" x14ac:dyDescent="0.3">
      <c r="K4864" t="s">
        <v>8476</v>
      </c>
    </row>
    <row r="4865" spans="11:11" x14ac:dyDescent="0.3">
      <c r="K4865" t="s">
        <v>10497</v>
      </c>
    </row>
    <row r="4866" spans="11:11" x14ac:dyDescent="0.3">
      <c r="K4866" t="s">
        <v>10050</v>
      </c>
    </row>
    <row r="4867" spans="11:11" x14ac:dyDescent="0.3">
      <c r="K4867" t="s">
        <v>10498</v>
      </c>
    </row>
    <row r="4868" spans="11:11" x14ac:dyDescent="0.3">
      <c r="K4868" t="s">
        <v>9748</v>
      </c>
    </row>
    <row r="4869" spans="11:11" x14ac:dyDescent="0.3">
      <c r="K4869" t="s">
        <v>9749</v>
      </c>
    </row>
    <row r="4870" spans="11:11" x14ac:dyDescent="0.3">
      <c r="K4870" t="s">
        <v>9750</v>
      </c>
    </row>
    <row r="4871" spans="11:11" x14ac:dyDescent="0.3">
      <c r="K4871" t="s">
        <v>6354</v>
      </c>
    </row>
    <row r="4872" spans="11:11" x14ac:dyDescent="0.3">
      <c r="K4872" t="s">
        <v>8478</v>
      </c>
    </row>
    <row r="4873" spans="11:11" x14ac:dyDescent="0.3">
      <c r="K4873" t="s">
        <v>10499</v>
      </c>
    </row>
    <row r="4874" spans="11:11" x14ac:dyDescent="0.3">
      <c r="K4874" t="s">
        <v>9314</v>
      </c>
    </row>
    <row r="4875" spans="11:11" x14ac:dyDescent="0.3">
      <c r="K4875" t="s">
        <v>6122</v>
      </c>
    </row>
    <row r="4876" spans="11:11" x14ac:dyDescent="0.3">
      <c r="K4876" t="s">
        <v>8477</v>
      </c>
    </row>
    <row r="4877" spans="11:11" x14ac:dyDescent="0.3">
      <c r="K4877" t="s">
        <v>6696</v>
      </c>
    </row>
    <row r="4878" spans="11:11" x14ac:dyDescent="0.3">
      <c r="K4878" t="s">
        <v>9313</v>
      </c>
    </row>
    <row r="4879" spans="11:11" x14ac:dyDescent="0.3">
      <c r="K4879" t="s">
        <v>6697</v>
      </c>
    </row>
    <row r="4880" spans="11:11" x14ac:dyDescent="0.3">
      <c r="K4880" t="s">
        <v>6123</v>
      </c>
    </row>
    <row r="4881" spans="11:11" x14ac:dyDescent="0.3">
      <c r="K4881" t="s">
        <v>6124</v>
      </c>
    </row>
    <row r="4882" spans="11:11" x14ac:dyDescent="0.3">
      <c r="K4882" t="s">
        <v>6355</v>
      </c>
    </row>
    <row r="4883" spans="11:11" x14ac:dyDescent="0.3">
      <c r="K4883" t="s">
        <v>6125</v>
      </c>
    </row>
    <row r="4884" spans="11:11" x14ac:dyDescent="0.3">
      <c r="K4884" t="s">
        <v>8479</v>
      </c>
    </row>
    <row r="4885" spans="11:11" x14ac:dyDescent="0.3">
      <c r="K4885" t="s">
        <v>8480</v>
      </c>
    </row>
    <row r="4886" spans="11:11" x14ac:dyDescent="0.3">
      <c r="K4886" t="s">
        <v>8648</v>
      </c>
    </row>
    <row r="4887" spans="11:11" x14ac:dyDescent="0.3">
      <c r="K4887" t="s">
        <v>9315</v>
      </c>
    </row>
    <row r="4888" spans="11:11" x14ac:dyDescent="0.3">
      <c r="K4888" t="s">
        <v>5917</v>
      </c>
    </row>
    <row r="4889" spans="11:11" x14ac:dyDescent="0.3">
      <c r="K4889" t="s">
        <v>9751</v>
      </c>
    </row>
    <row r="4890" spans="11:11" x14ac:dyDescent="0.3">
      <c r="K4890" t="s">
        <v>8481</v>
      </c>
    </row>
    <row r="4891" spans="11:11" x14ac:dyDescent="0.3">
      <c r="K4891" t="s">
        <v>5760</v>
      </c>
    </row>
    <row r="4892" spans="11:11" x14ac:dyDescent="0.3">
      <c r="K4892" t="s">
        <v>9317</v>
      </c>
    </row>
    <row r="4893" spans="11:11" x14ac:dyDescent="0.3">
      <c r="K4893" t="s">
        <v>8482</v>
      </c>
    </row>
    <row r="4894" spans="11:11" x14ac:dyDescent="0.3">
      <c r="K4894" t="s">
        <v>6921</v>
      </c>
    </row>
    <row r="4895" spans="11:11" x14ac:dyDescent="0.3">
      <c r="K4895" t="s">
        <v>8736</v>
      </c>
    </row>
    <row r="4896" spans="11:11" x14ac:dyDescent="0.3">
      <c r="K4896" t="s">
        <v>8483</v>
      </c>
    </row>
    <row r="4897" spans="11:11" x14ac:dyDescent="0.3">
      <c r="K4897" t="s">
        <v>10500</v>
      </c>
    </row>
    <row r="4898" spans="11:11" x14ac:dyDescent="0.3">
      <c r="K4898" t="s">
        <v>8484</v>
      </c>
    </row>
    <row r="4899" spans="11:11" x14ac:dyDescent="0.3">
      <c r="K4899" t="s">
        <v>8485</v>
      </c>
    </row>
    <row r="4900" spans="11:11" x14ac:dyDescent="0.3">
      <c r="K4900" t="s">
        <v>8486</v>
      </c>
    </row>
    <row r="4901" spans="11:11" x14ac:dyDescent="0.3">
      <c r="K4901" t="s">
        <v>7672</v>
      </c>
    </row>
    <row r="4902" spans="11:11" x14ac:dyDescent="0.3">
      <c r="K4902" t="s">
        <v>8487</v>
      </c>
    </row>
    <row r="4903" spans="11:11" x14ac:dyDescent="0.3">
      <c r="K4903" t="s">
        <v>8488</v>
      </c>
    </row>
    <row r="4904" spans="11:11" x14ac:dyDescent="0.3">
      <c r="K4904" t="s">
        <v>5918</v>
      </c>
    </row>
    <row r="4905" spans="11:11" x14ac:dyDescent="0.3">
      <c r="K4905" t="s">
        <v>5610</v>
      </c>
    </row>
    <row r="4906" spans="11:11" x14ac:dyDescent="0.3">
      <c r="K4906" t="s">
        <v>6922</v>
      </c>
    </row>
    <row r="4907" spans="11:11" x14ac:dyDescent="0.3">
      <c r="K4907" t="s">
        <v>7226</v>
      </c>
    </row>
    <row r="4908" spans="11:11" x14ac:dyDescent="0.3">
      <c r="K4908" t="s">
        <v>9316</v>
      </c>
    </row>
    <row r="4909" spans="11:11" x14ac:dyDescent="0.3">
      <c r="K4909" t="s">
        <v>10501</v>
      </c>
    </row>
    <row r="4910" spans="11:11" x14ac:dyDescent="0.3">
      <c r="K4910" t="s">
        <v>11028</v>
      </c>
    </row>
    <row r="4911" spans="11:11" x14ac:dyDescent="0.3">
      <c r="K4911" t="s">
        <v>9318</v>
      </c>
    </row>
    <row r="4912" spans="11:11" x14ac:dyDescent="0.3">
      <c r="K4912" t="s">
        <v>8491</v>
      </c>
    </row>
    <row r="4913" spans="11:11" x14ac:dyDescent="0.3">
      <c r="K4913" t="s">
        <v>8489</v>
      </c>
    </row>
    <row r="4914" spans="11:11" x14ac:dyDescent="0.3">
      <c r="K4914" t="s">
        <v>8490</v>
      </c>
    </row>
    <row r="4915" spans="11:11" x14ac:dyDescent="0.3">
      <c r="K4915" t="s">
        <v>9752</v>
      </c>
    </row>
    <row r="4916" spans="11:11" x14ac:dyDescent="0.3">
      <c r="K4916" t="s">
        <v>6698</v>
      </c>
    </row>
    <row r="4917" spans="11:11" x14ac:dyDescent="0.3">
      <c r="K4917" t="s">
        <v>10503</v>
      </c>
    </row>
    <row r="4918" spans="11:11" x14ac:dyDescent="0.3">
      <c r="K4918" t="s">
        <v>10502</v>
      </c>
    </row>
    <row r="4919" spans="11:11" x14ac:dyDescent="0.3">
      <c r="K4919" t="s">
        <v>5919</v>
      </c>
    </row>
    <row r="4920" spans="11:11" x14ac:dyDescent="0.3">
      <c r="K4920" t="s">
        <v>10504</v>
      </c>
    </row>
    <row r="4921" spans="11:11" x14ac:dyDescent="0.3">
      <c r="K4921" t="s">
        <v>10505</v>
      </c>
    </row>
    <row r="4922" spans="11:11" x14ac:dyDescent="0.3">
      <c r="K4922" t="s">
        <v>8492</v>
      </c>
    </row>
    <row r="4923" spans="11:11" x14ac:dyDescent="0.3">
      <c r="K4923" t="s">
        <v>10506</v>
      </c>
    </row>
    <row r="4924" spans="11:11" x14ac:dyDescent="0.3">
      <c r="K4924" t="s">
        <v>6126</v>
      </c>
    </row>
    <row r="4925" spans="11:11" x14ac:dyDescent="0.3">
      <c r="K4925" t="s">
        <v>7104</v>
      </c>
    </row>
    <row r="4926" spans="11:11" x14ac:dyDescent="0.3">
      <c r="K4926" t="s">
        <v>6699</v>
      </c>
    </row>
    <row r="4927" spans="11:11" x14ac:dyDescent="0.3">
      <c r="K4927" t="s">
        <v>9319</v>
      </c>
    </row>
    <row r="4928" spans="11:11" x14ac:dyDescent="0.3">
      <c r="K4928" t="s">
        <v>6923</v>
      </c>
    </row>
    <row r="4929" spans="11:11" x14ac:dyDescent="0.3">
      <c r="K4929" t="s">
        <v>7673</v>
      </c>
    </row>
    <row r="4930" spans="11:11" x14ac:dyDescent="0.3">
      <c r="K4930" t="s">
        <v>10787</v>
      </c>
    </row>
    <row r="4931" spans="11:11" x14ac:dyDescent="0.3">
      <c r="K4931" t="s">
        <v>10507</v>
      </c>
    </row>
    <row r="4932" spans="11:11" x14ac:dyDescent="0.3">
      <c r="K4932" t="s">
        <v>9753</v>
      </c>
    </row>
    <row r="4933" spans="11:11" x14ac:dyDescent="0.3">
      <c r="K4933" t="s">
        <v>10508</v>
      </c>
    </row>
    <row r="4934" spans="11:11" x14ac:dyDescent="0.3">
      <c r="K4934" t="s">
        <v>5761</v>
      </c>
    </row>
    <row r="4935" spans="11:11" x14ac:dyDescent="0.3">
      <c r="K4935" t="s">
        <v>8737</v>
      </c>
    </row>
    <row r="4936" spans="11:11" x14ac:dyDescent="0.3">
      <c r="K4936" t="s">
        <v>8493</v>
      </c>
    </row>
    <row r="4937" spans="11:11" x14ac:dyDescent="0.3">
      <c r="K4937" t="s">
        <v>8738</v>
      </c>
    </row>
    <row r="4938" spans="11:11" x14ac:dyDescent="0.3">
      <c r="K4938" t="s">
        <v>9754</v>
      </c>
    </row>
    <row r="4939" spans="11:11" x14ac:dyDescent="0.3">
      <c r="K4939" t="s">
        <v>10509</v>
      </c>
    </row>
    <row r="4940" spans="11:11" x14ac:dyDescent="0.3">
      <c r="K4940" t="s">
        <v>9320</v>
      </c>
    </row>
    <row r="4941" spans="11:11" x14ac:dyDescent="0.3">
      <c r="K4941" t="s">
        <v>8494</v>
      </c>
    </row>
    <row r="4942" spans="11:11" x14ac:dyDescent="0.3">
      <c r="K4942" t="s">
        <v>9321</v>
      </c>
    </row>
    <row r="4943" spans="11:11" x14ac:dyDescent="0.3">
      <c r="K4943" t="s">
        <v>8495</v>
      </c>
    </row>
    <row r="4944" spans="11:11" x14ac:dyDescent="0.3">
      <c r="K4944" t="s">
        <v>7674</v>
      </c>
    </row>
    <row r="4945" spans="11:11" x14ac:dyDescent="0.3">
      <c r="K4945" t="s">
        <v>7227</v>
      </c>
    </row>
    <row r="4946" spans="11:11" x14ac:dyDescent="0.3">
      <c r="K4946" t="s">
        <v>6127</v>
      </c>
    </row>
    <row r="4947" spans="11:11" x14ac:dyDescent="0.3">
      <c r="K4947" t="s">
        <v>7675</v>
      </c>
    </row>
    <row r="4948" spans="11:11" x14ac:dyDescent="0.3">
      <c r="K4948" t="s">
        <v>9755</v>
      </c>
    </row>
    <row r="4949" spans="11:11" x14ac:dyDescent="0.3">
      <c r="K4949" t="s">
        <v>10051</v>
      </c>
    </row>
    <row r="4950" spans="11:11" x14ac:dyDescent="0.3">
      <c r="K4950" t="s">
        <v>7676</v>
      </c>
    </row>
    <row r="4951" spans="11:11" x14ac:dyDescent="0.3">
      <c r="K4951" t="s">
        <v>10052</v>
      </c>
    </row>
    <row r="4952" spans="11:11" x14ac:dyDescent="0.3">
      <c r="K4952" t="s">
        <v>7677</v>
      </c>
    </row>
    <row r="4953" spans="11:11" x14ac:dyDescent="0.3">
      <c r="K4953" t="s">
        <v>10053</v>
      </c>
    </row>
    <row r="4954" spans="11:11" x14ac:dyDescent="0.3">
      <c r="K4954" t="s">
        <v>9322</v>
      </c>
    </row>
    <row r="4955" spans="11:11" x14ac:dyDescent="0.3">
      <c r="K4955" t="s">
        <v>6356</v>
      </c>
    </row>
    <row r="4956" spans="11:11" x14ac:dyDescent="0.3">
      <c r="K4956" t="s">
        <v>7678</v>
      </c>
    </row>
    <row r="4957" spans="11:11" x14ac:dyDescent="0.3">
      <c r="K4957" t="s">
        <v>6357</v>
      </c>
    </row>
    <row r="4958" spans="11:11" x14ac:dyDescent="0.3">
      <c r="K4958" t="s">
        <v>10510</v>
      </c>
    </row>
    <row r="4959" spans="11:11" x14ac:dyDescent="0.3">
      <c r="K4959" t="s">
        <v>10511</v>
      </c>
    </row>
    <row r="4960" spans="11:11" x14ac:dyDescent="0.3">
      <c r="K4960" t="s">
        <v>10512</v>
      </c>
    </row>
    <row r="4961" spans="11:11" x14ac:dyDescent="0.3">
      <c r="K4961" t="s">
        <v>10513</v>
      </c>
    </row>
    <row r="4962" spans="11:11" x14ac:dyDescent="0.3">
      <c r="K4962" t="s">
        <v>10657</v>
      </c>
    </row>
    <row r="4963" spans="11:11" x14ac:dyDescent="0.3">
      <c r="K4963" t="s">
        <v>8497</v>
      </c>
    </row>
    <row r="4964" spans="11:11" x14ac:dyDescent="0.3">
      <c r="K4964" t="s">
        <v>5553</v>
      </c>
    </row>
    <row r="4965" spans="11:11" x14ac:dyDescent="0.3">
      <c r="K4965" t="s">
        <v>6128</v>
      </c>
    </row>
    <row r="4966" spans="11:11" x14ac:dyDescent="0.3">
      <c r="K4966" t="s">
        <v>8498</v>
      </c>
    </row>
    <row r="4967" spans="11:11" x14ac:dyDescent="0.3">
      <c r="K4967" t="s">
        <v>11029</v>
      </c>
    </row>
    <row r="4968" spans="11:11" x14ac:dyDescent="0.3">
      <c r="K4968" t="s">
        <v>8499</v>
      </c>
    </row>
    <row r="4969" spans="11:11" x14ac:dyDescent="0.3">
      <c r="K4969" t="s">
        <v>6700</v>
      </c>
    </row>
    <row r="4970" spans="11:11" x14ac:dyDescent="0.3">
      <c r="K4970" t="s">
        <v>8500</v>
      </c>
    </row>
    <row r="4971" spans="11:11" x14ac:dyDescent="0.3">
      <c r="K4971" t="s">
        <v>6701</v>
      </c>
    </row>
    <row r="4972" spans="11:11" x14ac:dyDescent="0.3">
      <c r="K4972" t="s">
        <v>5552</v>
      </c>
    </row>
    <row r="4973" spans="11:11" x14ac:dyDescent="0.3">
      <c r="K4973" t="s">
        <v>8501</v>
      </c>
    </row>
    <row r="4974" spans="11:11" x14ac:dyDescent="0.3">
      <c r="K4974" t="s">
        <v>5762</v>
      </c>
    </row>
    <row r="4975" spans="11:11" x14ac:dyDescent="0.3">
      <c r="K4975" t="s">
        <v>6129</v>
      </c>
    </row>
    <row r="4976" spans="11:11" x14ac:dyDescent="0.3">
      <c r="K4976" t="s">
        <v>8502</v>
      </c>
    </row>
    <row r="4977" spans="11:11" x14ac:dyDescent="0.3">
      <c r="K4977" t="s">
        <v>6538</v>
      </c>
    </row>
    <row r="4978" spans="11:11" x14ac:dyDescent="0.3">
      <c r="K4978" t="s">
        <v>7228</v>
      </c>
    </row>
    <row r="4979" spans="11:11" x14ac:dyDescent="0.3">
      <c r="K4979" t="s">
        <v>6539</v>
      </c>
    </row>
    <row r="4980" spans="11:11" x14ac:dyDescent="0.3">
      <c r="K4980" t="s">
        <v>10514</v>
      </c>
    </row>
    <row r="4981" spans="11:11" x14ac:dyDescent="0.3">
      <c r="K4981" t="s">
        <v>9756</v>
      </c>
    </row>
    <row r="4982" spans="11:11" x14ac:dyDescent="0.3">
      <c r="K4982" t="s">
        <v>7679</v>
      </c>
    </row>
    <row r="4983" spans="11:11" x14ac:dyDescent="0.3">
      <c r="K4983" t="s">
        <v>8503</v>
      </c>
    </row>
    <row r="4984" spans="11:11" x14ac:dyDescent="0.3">
      <c r="K4984" t="s">
        <v>8504</v>
      </c>
    </row>
    <row r="4985" spans="11:11" x14ac:dyDescent="0.3">
      <c r="K4985" t="s">
        <v>8505</v>
      </c>
    </row>
    <row r="4986" spans="11:11" x14ac:dyDescent="0.3">
      <c r="K4986" t="s">
        <v>10515</v>
      </c>
    </row>
    <row r="4987" spans="11:11" x14ac:dyDescent="0.3">
      <c r="K4987" t="s">
        <v>7681</v>
      </c>
    </row>
    <row r="4988" spans="11:11" x14ac:dyDescent="0.3">
      <c r="K4988" t="s">
        <v>10516</v>
      </c>
    </row>
    <row r="4989" spans="11:11" x14ac:dyDescent="0.3">
      <c r="K4989" t="s">
        <v>8506</v>
      </c>
    </row>
    <row r="4990" spans="11:11" x14ac:dyDescent="0.3">
      <c r="K4990" t="s">
        <v>6924</v>
      </c>
    </row>
    <row r="4991" spans="11:11" x14ac:dyDescent="0.3">
      <c r="K4991" t="s">
        <v>5529</v>
      </c>
    </row>
    <row r="4992" spans="11:11" x14ac:dyDescent="0.3">
      <c r="K4992" t="s">
        <v>10517</v>
      </c>
    </row>
    <row r="4993" spans="11:11" x14ac:dyDescent="0.3">
      <c r="K4993" t="s">
        <v>8507</v>
      </c>
    </row>
    <row r="4994" spans="11:11" x14ac:dyDescent="0.3">
      <c r="K4994" t="s">
        <v>8739</v>
      </c>
    </row>
    <row r="4995" spans="11:11" x14ac:dyDescent="0.3">
      <c r="K4995" t="s">
        <v>10054</v>
      </c>
    </row>
    <row r="4996" spans="11:11" x14ac:dyDescent="0.3">
      <c r="K4996" t="s">
        <v>8508</v>
      </c>
    </row>
    <row r="4997" spans="11:11" x14ac:dyDescent="0.3">
      <c r="K4997" t="s">
        <v>9323</v>
      </c>
    </row>
    <row r="4998" spans="11:11" x14ac:dyDescent="0.3">
      <c r="K4998" t="s">
        <v>6925</v>
      </c>
    </row>
    <row r="4999" spans="11:11" x14ac:dyDescent="0.3">
      <c r="K4999" t="s">
        <v>6926</v>
      </c>
    </row>
    <row r="5000" spans="11:11" x14ac:dyDescent="0.3">
      <c r="K5000" t="s">
        <v>8509</v>
      </c>
    </row>
    <row r="5001" spans="11:11" x14ac:dyDescent="0.3">
      <c r="K5001" t="s">
        <v>6702</v>
      </c>
    </row>
    <row r="5002" spans="11:11" x14ac:dyDescent="0.3">
      <c r="K5002" t="s">
        <v>6703</v>
      </c>
    </row>
    <row r="5003" spans="11:11" x14ac:dyDescent="0.3">
      <c r="K5003" t="s">
        <v>5778</v>
      </c>
    </row>
    <row r="5004" spans="11:11" x14ac:dyDescent="0.3">
      <c r="K5004" t="s">
        <v>7680</v>
      </c>
    </row>
    <row r="5005" spans="11:11" x14ac:dyDescent="0.3">
      <c r="K5005" t="s">
        <v>8511</v>
      </c>
    </row>
    <row r="5006" spans="11:11" x14ac:dyDescent="0.3">
      <c r="K5006" t="s">
        <v>8510</v>
      </c>
    </row>
    <row r="5007" spans="11:11" x14ac:dyDescent="0.3">
      <c r="K5007" t="s">
        <v>7682</v>
      </c>
    </row>
    <row r="5008" spans="11:11" x14ac:dyDescent="0.3">
      <c r="K5008" t="s">
        <v>6927</v>
      </c>
    </row>
    <row r="5009" spans="11:11" x14ac:dyDescent="0.3">
      <c r="K5009" t="s">
        <v>6704</v>
      </c>
    </row>
    <row r="5010" spans="11:11" x14ac:dyDescent="0.3">
      <c r="K5010" t="s">
        <v>9325</v>
      </c>
    </row>
    <row r="5011" spans="11:11" x14ac:dyDescent="0.3">
      <c r="K5011" t="s">
        <v>10788</v>
      </c>
    </row>
    <row r="5012" spans="11:11" x14ac:dyDescent="0.3">
      <c r="K5012" t="s">
        <v>7683</v>
      </c>
    </row>
    <row r="5013" spans="11:11" x14ac:dyDescent="0.3">
      <c r="K5013" t="s">
        <v>6928</v>
      </c>
    </row>
    <row r="5014" spans="11:11" x14ac:dyDescent="0.3">
      <c r="K5014" t="s">
        <v>7105</v>
      </c>
    </row>
    <row r="5015" spans="11:11" x14ac:dyDescent="0.3">
      <c r="K5015" t="s">
        <v>8649</v>
      </c>
    </row>
    <row r="5016" spans="11:11" x14ac:dyDescent="0.3">
      <c r="K5016" t="s">
        <v>9324</v>
      </c>
    </row>
    <row r="5017" spans="11:11" x14ac:dyDescent="0.3">
      <c r="K5017" t="s">
        <v>8512</v>
      </c>
    </row>
    <row r="5018" spans="11:11" x14ac:dyDescent="0.3">
      <c r="K5018" t="s">
        <v>6130</v>
      </c>
    </row>
    <row r="5019" spans="11:11" x14ac:dyDescent="0.3">
      <c r="K5019" t="s">
        <v>8513</v>
      </c>
    </row>
    <row r="5020" spans="11:11" x14ac:dyDescent="0.3">
      <c r="K5020" t="s">
        <v>9757</v>
      </c>
    </row>
    <row r="5021" spans="11:11" x14ac:dyDescent="0.3">
      <c r="K5021" t="s">
        <v>11030</v>
      </c>
    </row>
    <row r="5022" spans="11:11" x14ac:dyDescent="0.3">
      <c r="K5022" t="s">
        <v>8514</v>
      </c>
    </row>
    <row r="5023" spans="11:11" x14ac:dyDescent="0.3">
      <c r="K5023" t="s">
        <v>6929</v>
      </c>
    </row>
    <row r="5024" spans="11:11" x14ac:dyDescent="0.3">
      <c r="K5024" t="s">
        <v>6706</v>
      </c>
    </row>
    <row r="5025" spans="11:11" x14ac:dyDescent="0.3">
      <c r="K5025" t="s">
        <v>7684</v>
      </c>
    </row>
    <row r="5026" spans="11:11" x14ac:dyDescent="0.3">
      <c r="K5026" t="s">
        <v>6705</v>
      </c>
    </row>
    <row r="5027" spans="11:11" x14ac:dyDescent="0.3">
      <c r="K5027" t="s">
        <v>7106</v>
      </c>
    </row>
    <row r="5028" spans="11:11" x14ac:dyDescent="0.3">
      <c r="K5028" t="s">
        <v>8515</v>
      </c>
    </row>
    <row r="5029" spans="11:11" x14ac:dyDescent="0.3">
      <c r="K5029" t="s">
        <v>7685</v>
      </c>
    </row>
    <row r="5030" spans="11:11" x14ac:dyDescent="0.3">
      <c r="K5030" t="s">
        <v>9758</v>
      </c>
    </row>
    <row r="5031" spans="11:11" x14ac:dyDescent="0.3">
      <c r="K5031" t="s">
        <v>7107</v>
      </c>
    </row>
    <row r="5032" spans="11:11" x14ac:dyDescent="0.3">
      <c r="K5032" t="s">
        <v>9759</v>
      </c>
    </row>
    <row r="5033" spans="11:11" x14ac:dyDescent="0.3">
      <c r="K5033" t="s">
        <v>10519</v>
      </c>
    </row>
    <row r="5034" spans="11:11" x14ac:dyDescent="0.3">
      <c r="K5034" t="s">
        <v>10518</v>
      </c>
    </row>
    <row r="5035" spans="11:11" x14ac:dyDescent="0.3">
      <c r="K5035" t="s">
        <v>6930</v>
      </c>
    </row>
    <row r="5036" spans="11:11" x14ac:dyDescent="0.3">
      <c r="K5036" t="s">
        <v>9326</v>
      </c>
    </row>
    <row r="5037" spans="11:11" x14ac:dyDescent="0.3">
      <c r="K5037" t="s">
        <v>9327</v>
      </c>
    </row>
    <row r="5038" spans="11:11" x14ac:dyDescent="0.3">
      <c r="K5038" t="s">
        <v>10520</v>
      </c>
    </row>
    <row r="5039" spans="11:11" x14ac:dyDescent="0.3">
      <c r="K5039" t="s">
        <v>8516</v>
      </c>
    </row>
    <row r="5040" spans="11:11" x14ac:dyDescent="0.3">
      <c r="K5040" t="s">
        <v>10656</v>
      </c>
    </row>
    <row r="5041" spans="11:11" x14ac:dyDescent="0.3">
      <c r="K5041" t="s">
        <v>8496</v>
      </c>
    </row>
    <row r="5042" spans="11:11" x14ac:dyDescent="0.3">
      <c r="K5042" t="s">
        <v>10521</v>
      </c>
    </row>
    <row r="5043" spans="11:11" x14ac:dyDescent="0.3">
      <c r="K5043" t="s">
        <v>6707</v>
      </c>
    </row>
    <row r="5044" spans="11:11" x14ac:dyDescent="0.3">
      <c r="K5044" t="s">
        <v>9328</v>
      </c>
    </row>
    <row r="5045" spans="11:11" x14ac:dyDescent="0.3">
      <c r="K5045" t="s">
        <v>10055</v>
      </c>
    </row>
    <row r="5046" spans="11:11" x14ac:dyDescent="0.3">
      <c r="K5046" t="s">
        <v>10658</v>
      </c>
    </row>
    <row r="5047" spans="11:11" x14ac:dyDescent="0.3">
      <c r="K5047" t="s">
        <v>6358</v>
      </c>
    </row>
    <row r="5048" spans="11:11" x14ac:dyDescent="0.3">
      <c r="K5048" t="s">
        <v>8740</v>
      </c>
    </row>
    <row r="5049" spans="11:11" x14ac:dyDescent="0.3">
      <c r="K5049" t="s">
        <v>11031</v>
      </c>
    </row>
    <row r="5050" spans="11:11" x14ac:dyDescent="0.3">
      <c r="K5050" t="s">
        <v>5920</v>
      </c>
    </row>
    <row r="5051" spans="11:11" x14ac:dyDescent="0.3">
      <c r="K5051" t="s">
        <v>10522</v>
      </c>
    </row>
    <row r="5052" spans="11:11" x14ac:dyDescent="0.3">
      <c r="K5052" t="s">
        <v>8517</v>
      </c>
    </row>
    <row r="5053" spans="11:11" x14ac:dyDescent="0.3">
      <c r="K5053" t="s">
        <v>9329</v>
      </c>
    </row>
    <row r="5054" spans="11:11" x14ac:dyDescent="0.3">
      <c r="K5054" t="s">
        <v>5611</v>
      </c>
    </row>
    <row r="5055" spans="11:11" x14ac:dyDescent="0.3">
      <c r="K5055" t="s">
        <v>8518</v>
      </c>
    </row>
    <row r="5056" spans="11:11" x14ac:dyDescent="0.3">
      <c r="K5056" t="s">
        <v>7304</v>
      </c>
    </row>
    <row r="5057" spans="11:11" x14ac:dyDescent="0.3">
      <c r="K5057" t="s">
        <v>8519</v>
      </c>
    </row>
    <row r="5058" spans="11:11" x14ac:dyDescent="0.3">
      <c r="K5058" t="s">
        <v>7686</v>
      </c>
    </row>
    <row r="5059" spans="11:11" x14ac:dyDescent="0.3">
      <c r="K5059" t="s">
        <v>6359</v>
      </c>
    </row>
    <row r="5060" spans="11:11" x14ac:dyDescent="0.3">
      <c r="K5060" t="s">
        <v>11032</v>
      </c>
    </row>
    <row r="5061" spans="11:11" x14ac:dyDescent="0.3">
      <c r="K5061" t="s">
        <v>8520</v>
      </c>
    </row>
    <row r="5062" spans="11:11" x14ac:dyDescent="0.3">
      <c r="K5062" t="s">
        <v>6360</v>
      </c>
    </row>
    <row r="5063" spans="11:11" x14ac:dyDescent="0.3">
      <c r="K5063" t="s">
        <v>10523</v>
      </c>
    </row>
    <row r="5064" spans="11:11" x14ac:dyDescent="0.3">
      <c r="K5064" t="s">
        <v>10789</v>
      </c>
    </row>
    <row r="5065" spans="11:11" x14ac:dyDescent="0.3">
      <c r="K5065" t="s">
        <v>9760</v>
      </c>
    </row>
    <row r="5066" spans="11:11" x14ac:dyDescent="0.3">
      <c r="K5066" t="s">
        <v>7108</v>
      </c>
    </row>
    <row r="5067" spans="11:11" x14ac:dyDescent="0.3">
      <c r="K5067" t="s">
        <v>7305</v>
      </c>
    </row>
    <row r="5068" spans="11:11" x14ac:dyDescent="0.3">
      <c r="K5068" t="s">
        <v>11033</v>
      </c>
    </row>
    <row r="5069" spans="11:11" x14ac:dyDescent="0.3">
      <c r="K5069" t="s">
        <v>7687</v>
      </c>
    </row>
    <row r="5070" spans="11:11" x14ac:dyDescent="0.3">
      <c r="K5070" t="s">
        <v>7688</v>
      </c>
    </row>
    <row r="5071" spans="11:11" x14ac:dyDescent="0.3">
      <c r="K5071" t="s">
        <v>5921</v>
      </c>
    </row>
    <row r="5072" spans="11:11" x14ac:dyDescent="0.3">
      <c r="K5072" t="s">
        <v>6131</v>
      </c>
    </row>
    <row r="5073" spans="11:11" x14ac:dyDescent="0.3">
      <c r="K5073" t="s">
        <v>6708</v>
      </c>
    </row>
    <row r="5074" spans="11:11" x14ac:dyDescent="0.3">
      <c r="K5074" t="s">
        <v>7689</v>
      </c>
    </row>
    <row r="5075" spans="11:11" x14ac:dyDescent="0.3">
      <c r="K5075" t="s">
        <v>10524</v>
      </c>
    </row>
    <row r="5076" spans="11:11" x14ac:dyDescent="0.3">
      <c r="K5076" t="s">
        <v>6931</v>
      </c>
    </row>
    <row r="5077" spans="11:11" x14ac:dyDescent="0.3">
      <c r="K5077" t="s">
        <v>6540</v>
      </c>
    </row>
    <row r="5078" spans="11:11" x14ac:dyDescent="0.3">
      <c r="K5078" t="s">
        <v>8521</v>
      </c>
    </row>
    <row r="5079" spans="11:11" x14ac:dyDescent="0.3">
      <c r="K5079" t="s">
        <v>6361</v>
      </c>
    </row>
    <row r="5080" spans="11:11" x14ac:dyDescent="0.3">
      <c r="K5080" t="s">
        <v>9330</v>
      </c>
    </row>
    <row r="5081" spans="11:11" x14ac:dyDescent="0.3">
      <c r="K5081" t="s">
        <v>6932</v>
      </c>
    </row>
    <row r="5082" spans="11:11" x14ac:dyDescent="0.3">
      <c r="K5082" t="s">
        <v>8522</v>
      </c>
    </row>
    <row r="5083" spans="11:11" x14ac:dyDescent="0.3">
      <c r="K5083" t="s">
        <v>6933</v>
      </c>
    </row>
    <row r="5084" spans="11:11" x14ac:dyDescent="0.3">
      <c r="K5084" t="s">
        <v>10525</v>
      </c>
    </row>
    <row r="5085" spans="11:11" x14ac:dyDescent="0.3">
      <c r="K5085" t="s">
        <v>7110</v>
      </c>
    </row>
    <row r="5086" spans="11:11" x14ac:dyDescent="0.3">
      <c r="K5086" t="s">
        <v>6541</v>
      </c>
    </row>
    <row r="5087" spans="11:11" x14ac:dyDescent="0.3">
      <c r="K5087" t="s">
        <v>10056</v>
      </c>
    </row>
    <row r="5088" spans="11:11" x14ac:dyDescent="0.3">
      <c r="K5088" t="s">
        <v>10659</v>
      </c>
    </row>
    <row r="5089" spans="11:11" x14ac:dyDescent="0.3">
      <c r="K5089" t="s">
        <v>8650</v>
      </c>
    </row>
    <row r="5090" spans="11:11" x14ac:dyDescent="0.3">
      <c r="K5090" t="s">
        <v>9331</v>
      </c>
    </row>
    <row r="5091" spans="11:11" x14ac:dyDescent="0.3">
      <c r="K5091" t="s">
        <v>10790</v>
      </c>
    </row>
    <row r="5092" spans="11:11" x14ac:dyDescent="0.3">
      <c r="K5092" t="s">
        <v>6934</v>
      </c>
    </row>
    <row r="5093" spans="11:11" x14ac:dyDescent="0.3">
      <c r="K5093" t="s">
        <v>5763</v>
      </c>
    </row>
    <row r="5094" spans="11:11" x14ac:dyDescent="0.3">
      <c r="K5094" t="s">
        <v>6935</v>
      </c>
    </row>
    <row r="5095" spans="11:11" x14ac:dyDescent="0.3">
      <c r="K5095" t="s">
        <v>7690</v>
      </c>
    </row>
    <row r="5096" spans="11:11" x14ac:dyDescent="0.3">
      <c r="K5096" t="s">
        <v>6132</v>
      </c>
    </row>
    <row r="5097" spans="11:11" x14ac:dyDescent="0.3">
      <c r="K5097" t="s">
        <v>6133</v>
      </c>
    </row>
    <row r="5098" spans="11:11" x14ac:dyDescent="0.3">
      <c r="K5098" t="s">
        <v>5922</v>
      </c>
    </row>
    <row r="5099" spans="11:11" x14ac:dyDescent="0.3">
      <c r="K5099" t="s">
        <v>9332</v>
      </c>
    </row>
    <row r="5100" spans="11:11" x14ac:dyDescent="0.3">
      <c r="K5100" t="s">
        <v>10057</v>
      </c>
    </row>
    <row r="5101" spans="11:11" x14ac:dyDescent="0.3">
      <c r="K5101" t="s">
        <v>9761</v>
      </c>
    </row>
    <row r="5102" spans="11:11" x14ac:dyDescent="0.3">
      <c r="K5102" t="s">
        <v>9333</v>
      </c>
    </row>
    <row r="5103" spans="11:11" x14ac:dyDescent="0.3">
      <c r="K5103" t="s">
        <v>6936</v>
      </c>
    </row>
    <row r="5104" spans="11:11" x14ac:dyDescent="0.3">
      <c r="K5104" t="s">
        <v>8741</v>
      </c>
    </row>
    <row r="5105" spans="11:11" x14ac:dyDescent="0.3">
      <c r="K5105" t="s">
        <v>7111</v>
      </c>
    </row>
    <row r="5106" spans="11:11" x14ac:dyDescent="0.3">
      <c r="K5106" t="s">
        <v>6362</v>
      </c>
    </row>
    <row r="5107" spans="11:11" x14ac:dyDescent="0.3">
      <c r="K5107" t="s">
        <v>9335</v>
      </c>
    </row>
    <row r="5108" spans="11:11" x14ac:dyDescent="0.3">
      <c r="K5108" t="s">
        <v>9334</v>
      </c>
    </row>
    <row r="5109" spans="11:11" x14ac:dyDescent="0.3">
      <c r="K5109" t="s">
        <v>10526</v>
      </c>
    </row>
    <row r="5110" spans="11:11" x14ac:dyDescent="0.3">
      <c r="K5110" t="s">
        <v>10791</v>
      </c>
    </row>
    <row r="5111" spans="11:11" x14ac:dyDescent="0.3">
      <c r="K5111" t="s">
        <v>9336</v>
      </c>
    </row>
    <row r="5112" spans="11:11" x14ac:dyDescent="0.3">
      <c r="K5112" t="s">
        <v>5612</v>
      </c>
    </row>
    <row r="5113" spans="11:11" x14ac:dyDescent="0.3">
      <c r="K5113" t="s">
        <v>9337</v>
      </c>
    </row>
    <row r="5114" spans="11:11" x14ac:dyDescent="0.3">
      <c r="K5114" t="s">
        <v>7112</v>
      </c>
    </row>
    <row r="5115" spans="11:11" x14ac:dyDescent="0.3">
      <c r="K5115" t="s">
        <v>9338</v>
      </c>
    </row>
    <row r="5116" spans="11:11" x14ac:dyDescent="0.3">
      <c r="K5116" t="s">
        <v>7691</v>
      </c>
    </row>
    <row r="5117" spans="11:11" x14ac:dyDescent="0.3">
      <c r="K5117" t="s">
        <v>6709</v>
      </c>
    </row>
    <row r="5118" spans="11:11" x14ac:dyDescent="0.3">
      <c r="K5118" t="s">
        <v>6542</v>
      </c>
    </row>
    <row r="5119" spans="11:11" x14ac:dyDescent="0.3">
      <c r="K5119" t="s">
        <v>8523</v>
      </c>
    </row>
    <row r="5120" spans="11:11" x14ac:dyDescent="0.3">
      <c r="K5120" t="s">
        <v>7113</v>
      </c>
    </row>
    <row r="5121" spans="11:11" x14ac:dyDescent="0.3">
      <c r="K5121" t="s">
        <v>7114</v>
      </c>
    </row>
    <row r="5122" spans="11:11" x14ac:dyDescent="0.3">
      <c r="K5122" t="s">
        <v>9339</v>
      </c>
    </row>
    <row r="5123" spans="11:11" x14ac:dyDescent="0.3">
      <c r="K5123" t="s">
        <v>10660</v>
      </c>
    </row>
    <row r="5124" spans="11:11" x14ac:dyDescent="0.3">
      <c r="K5124" t="s">
        <v>9340</v>
      </c>
    </row>
    <row r="5125" spans="11:11" x14ac:dyDescent="0.3">
      <c r="K5125" t="s">
        <v>5923</v>
      </c>
    </row>
    <row r="5126" spans="11:11" x14ac:dyDescent="0.3">
      <c r="K5126" t="s">
        <v>9341</v>
      </c>
    </row>
    <row r="5127" spans="11:11" x14ac:dyDescent="0.3">
      <c r="K5127" t="s">
        <v>5764</v>
      </c>
    </row>
    <row r="5128" spans="11:11" x14ac:dyDescent="0.3">
      <c r="K5128" t="s">
        <v>10058</v>
      </c>
    </row>
    <row r="5129" spans="11:11" x14ac:dyDescent="0.3">
      <c r="K5129" t="s">
        <v>8524</v>
      </c>
    </row>
    <row r="5130" spans="11:11" x14ac:dyDescent="0.3">
      <c r="K5130" t="s">
        <v>5924</v>
      </c>
    </row>
    <row r="5131" spans="11:11" x14ac:dyDescent="0.3">
      <c r="K5131" t="s">
        <v>6710</v>
      </c>
    </row>
    <row r="5132" spans="11:11" x14ac:dyDescent="0.3">
      <c r="K5132" t="s">
        <v>9342</v>
      </c>
    </row>
    <row r="5133" spans="11:11" x14ac:dyDescent="0.3">
      <c r="K5133" t="s">
        <v>5925</v>
      </c>
    </row>
    <row r="5134" spans="11:11" x14ac:dyDescent="0.3">
      <c r="K5134" t="s">
        <v>7115</v>
      </c>
    </row>
    <row r="5135" spans="11:11" x14ac:dyDescent="0.3">
      <c r="K5135" t="s">
        <v>9762</v>
      </c>
    </row>
    <row r="5136" spans="11:11" x14ac:dyDescent="0.3">
      <c r="K5136" t="s">
        <v>9343</v>
      </c>
    </row>
    <row r="5137" spans="11:11" x14ac:dyDescent="0.3">
      <c r="K5137" t="s">
        <v>9763</v>
      </c>
    </row>
    <row r="5138" spans="11:11" x14ac:dyDescent="0.3">
      <c r="K5138" t="s">
        <v>6363</v>
      </c>
    </row>
    <row r="5139" spans="11:11" x14ac:dyDescent="0.3">
      <c r="K5139" t="s">
        <v>6543</v>
      </c>
    </row>
    <row r="5140" spans="11:11" x14ac:dyDescent="0.3">
      <c r="K5140" t="s">
        <v>9344</v>
      </c>
    </row>
    <row r="5141" spans="11:11" x14ac:dyDescent="0.3">
      <c r="K5141" t="s">
        <v>10792</v>
      </c>
    </row>
    <row r="5142" spans="11:11" x14ac:dyDescent="0.3">
      <c r="K5142" t="s">
        <v>6711</v>
      </c>
    </row>
    <row r="5143" spans="11:11" x14ac:dyDescent="0.3">
      <c r="K5143" t="s">
        <v>10059</v>
      </c>
    </row>
    <row r="5144" spans="11:11" x14ac:dyDescent="0.3">
      <c r="K5144" t="s">
        <v>8742</v>
      </c>
    </row>
    <row r="5145" spans="11:11" x14ac:dyDescent="0.3">
      <c r="K5145" t="s">
        <v>7692</v>
      </c>
    </row>
    <row r="5146" spans="11:11" x14ac:dyDescent="0.3">
      <c r="K5146" t="s">
        <v>7229</v>
      </c>
    </row>
    <row r="5147" spans="11:11" x14ac:dyDescent="0.3">
      <c r="K5147" t="s">
        <v>6364</v>
      </c>
    </row>
    <row r="5148" spans="11:11" x14ac:dyDescent="0.3">
      <c r="K5148" t="s">
        <v>7693</v>
      </c>
    </row>
    <row r="5149" spans="11:11" x14ac:dyDescent="0.3">
      <c r="K5149" t="s">
        <v>7694</v>
      </c>
    </row>
    <row r="5150" spans="11:11" x14ac:dyDescent="0.3">
      <c r="K5150" t="s">
        <v>8525</v>
      </c>
    </row>
    <row r="5151" spans="11:11" x14ac:dyDescent="0.3">
      <c r="K5151" t="s">
        <v>5613</v>
      </c>
    </row>
    <row r="5152" spans="11:11" x14ac:dyDescent="0.3">
      <c r="K5152" t="s">
        <v>9764</v>
      </c>
    </row>
    <row r="5153" spans="11:11" x14ac:dyDescent="0.3">
      <c r="K5153" t="s">
        <v>10527</v>
      </c>
    </row>
    <row r="5154" spans="11:11" x14ac:dyDescent="0.3">
      <c r="K5154" t="s">
        <v>10528</v>
      </c>
    </row>
    <row r="5155" spans="11:11" x14ac:dyDescent="0.3">
      <c r="K5155" t="s">
        <v>7695</v>
      </c>
    </row>
    <row r="5156" spans="11:11" x14ac:dyDescent="0.3">
      <c r="K5156" t="s">
        <v>6938</v>
      </c>
    </row>
    <row r="5157" spans="11:11" x14ac:dyDescent="0.3">
      <c r="K5157" t="s">
        <v>10529</v>
      </c>
    </row>
    <row r="5158" spans="11:11" x14ac:dyDescent="0.3">
      <c r="K5158" t="s">
        <v>8526</v>
      </c>
    </row>
    <row r="5159" spans="11:11" x14ac:dyDescent="0.3">
      <c r="K5159" t="s">
        <v>9765</v>
      </c>
    </row>
    <row r="5160" spans="11:11" x14ac:dyDescent="0.3">
      <c r="K5160" t="s">
        <v>8527</v>
      </c>
    </row>
    <row r="5161" spans="11:11" x14ac:dyDescent="0.3">
      <c r="K5161" t="s">
        <v>9345</v>
      </c>
    </row>
    <row r="5162" spans="11:11" x14ac:dyDescent="0.3">
      <c r="K5162" t="s">
        <v>7696</v>
      </c>
    </row>
    <row r="5163" spans="11:11" x14ac:dyDescent="0.3">
      <c r="K5163" t="s">
        <v>9346</v>
      </c>
    </row>
    <row r="5164" spans="11:11" x14ac:dyDescent="0.3">
      <c r="K5164" t="s">
        <v>10793</v>
      </c>
    </row>
    <row r="5165" spans="11:11" x14ac:dyDescent="0.3">
      <c r="K5165" t="s">
        <v>10530</v>
      </c>
    </row>
    <row r="5166" spans="11:11" x14ac:dyDescent="0.3">
      <c r="K5166" t="s">
        <v>8528</v>
      </c>
    </row>
    <row r="5167" spans="11:11" x14ac:dyDescent="0.3">
      <c r="K5167" t="s">
        <v>11034</v>
      </c>
    </row>
    <row r="5168" spans="11:11" x14ac:dyDescent="0.3">
      <c r="K5168" t="s">
        <v>9347</v>
      </c>
    </row>
    <row r="5169" spans="11:11" x14ac:dyDescent="0.3">
      <c r="K5169" t="s">
        <v>7230</v>
      </c>
    </row>
    <row r="5170" spans="11:11" x14ac:dyDescent="0.3">
      <c r="K5170" t="s">
        <v>10531</v>
      </c>
    </row>
    <row r="5171" spans="11:11" x14ac:dyDescent="0.3">
      <c r="K5171" t="s">
        <v>7116</v>
      </c>
    </row>
    <row r="5172" spans="11:11" x14ac:dyDescent="0.3">
      <c r="K5172" t="s">
        <v>9348</v>
      </c>
    </row>
    <row r="5173" spans="11:11" x14ac:dyDescent="0.3">
      <c r="K5173" t="s">
        <v>9349</v>
      </c>
    </row>
    <row r="5174" spans="11:11" x14ac:dyDescent="0.3">
      <c r="K5174" t="s">
        <v>9350</v>
      </c>
    </row>
    <row r="5175" spans="11:11" x14ac:dyDescent="0.3">
      <c r="K5175" t="s">
        <v>10532</v>
      </c>
    </row>
    <row r="5176" spans="11:11" x14ac:dyDescent="0.3">
      <c r="K5176" t="s">
        <v>10661</v>
      </c>
    </row>
    <row r="5177" spans="11:11" x14ac:dyDescent="0.3">
      <c r="K5177" t="s">
        <v>9351</v>
      </c>
    </row>
    <row r="5178" spans="11:11" x14ac:dyDescent="0.3">
      <c r="K5178" t="s">
        <v>5554</v>
      </c>
    </row>
    <row r="5179" spans="11:11" x14ac:dyDescent="0.3">
      <c r="K5179" t="s">
        <v>6544</v>
      </c>
    </row>
    <row r="5180" spans="11:11" x14ac:dyDescent="0.3">
      <c r="K5180" t="s">
        <v>5792</v>
      </c>
    </row>
    <row r="5181" spans="11:11" x14ac:dyDescent="0.3">
      <c r="K5181" t="s">
        <v>9352</v>
      </c>
    </row>
    <row r="5182" spans="11:11" x14ac:dyDescent="0.3">
      <c r="K5182" t="s">
        <v>8529</v>
      </c>
    </row>
    <row r="5183" spans="11:11" x14ac:dyDescent="0.3">
      <c r="K5183" t="s">
        <v>6134</v>
      </c>
    </row>
    <row r="5184" spans="11:11" x14ac:dyDescent="0.3">
      <c r="K5184" t="s">
        <v>9353</v>
      </c>
    </row>
    <row r="5185" spans="11:11" x14ac:dyDescent="0.3">
      <c r="K5185" t="s">
        <v>6545</v>
      </c>
    </row>
    <row r="5186" spans="11:11" x14ac:dyDescent="0.3">
      <c r="K5186" t="s">
        <v>9354</v>
      </c>
    </row>
    <row r="5187" spans="11:11" x14ac:dyDescent="0.3">
      <c r="K5187" t="s">
        <v>6939</v>
      </c>
    </row>
    <row r="5188" spans="11:11" x14ac:dyDescent="0.3">
      <c r="K5188" t="s">
        <v>10533</v>
      </c>
    </row>
    <row r="5189" spans="11:11" x14ac:dyDescent="0.3">
      <c r="K5189" t="s">
        <v>5614</v>
      </c>
    </row>
    <row r="5190" spans="11:11" x14ac:dyDescent="0.3">
      <c r="K5190" t="s">
        <v>7697</v>
      </c>
    </row>
    <row r="5191" spans="11:11" x14ac:dyDescent="0.3">
      <c r="K5191" t="s">
        <v>9766</v>
      </c>
    </row>
    <row r="5192" spans="11:11" x14ac:dyDescent="0.3">
      <c r="K5192" t="s">
        <v>6940</v>
      </c>
    </row>
    <row r="5193" spans="11:11" x14ac:dyDescent="0.3">
      <c r="K5193" t="s">
        <v>8530</v>
      </c>
    </row>
    <row r="5194" spans="11:11" x14ac:dyDescent="0.3">
      <c r="K5194" t="s">
        <v>5530</v>
      </c>
    </row>
    <row r="5195" spans="11:11" x14ac:dyDescent="0.3">
      <c r="K5195" t="s">
        <v>6546</v>
      </c>
    </row>
    <row r="5196" spans="11:11" x14ac:dyDescent="0.3">
      <c r="K5196" t="s">
        <v>9355</v>
      </c>
    </row>
    <row r="5197" spans="11:11" x14ac:dyDescent="0.3">
      <c r="K5197" t="s">
        <v>9767</v>
      </c>
    </row>
    <row r="5198" spans="11:11" x14ac:dyDescent="0.3">
      <c r="K5198" t="s">
        <v>7306</v>
      </c>
    </row>
    <row r="5199" spans="11:11" x14ac:dyDescent="0.3">
      <c r="K5199" t="s">
        <v>6712</v>
      </c>
    </row>
    <row r="5200" spans="11:11" x14ac:dyDescent="0.3">
      <c r="K5200" t="s">
        <v>6713</v>
      </c>
    </row>
    <row r="5201" spans="11:11" x14ac:dyDescent="0.3">
      <c r="K5201" t="s">
        <v>10534</v>
      </c>
    </row>
    <row r="5202" spans="11:11" x14ac:dyDescent="0.3">
      <c r="K5202" t="s">
        <v>6941</v>
      </c>
    </row>
    <row r="5203" spans="11:11" x14ac:dyDescent="0.3">
      <c r="K5203" t="s">
        <v>7698</v>
      </c>
    </row>
    <row r="5204" spans="11:11" x14ac:dyDescent="0.3">
      <c r="K5204" t="s">
        <v>9356</v>
      </c>
    </row>
    <row r="5205" spans="11:11" x14ac:dyDescent="0.3">
      <c r="K5205" t="s">
        <v>7699</v>
      </c>
    </row>
    <row r="5206" spans="11:11" x14ac:dyDescent="0.3">
      <c r="K5206" t="s">
        <v>8531</v>
      </c>
    </row>
    <row r="5207" spans="11:11" x14ac:dyDescent="0.3">
      <c r="K5207" t="s">
        <v>7700</v>
      </c>
    </row>
    <row r="5208" spans="11:11" x14ac:dyDescent="0.3">
      <c r="K5208" t="s">
        <v>7231</v>
      </c>
    </row>
    <row r="5209" spans="11:11" x14ac:dyDescent="0.3">
      <c r="K5209" t="s">
        <v>10662</v>
      </c>
    </row>
    <row r="5210" spans="11:11" x14ac:dyDescent="0.3">
      <c r="K5210" t="s">
        <v>11035</v>
      </c>
    </row>
    <row r="5211" spans="11:11" x14ac:dyDescent="0.3">
      <c r="K5211" t="s">
        <v>6365</v>
      </c>
    </row>
    <row r="5212" spans="11:11" x14ac:dyDescent="0.3">
      <c r="K5212" t="s">
        <v>8743</v>
      </c>
    </row>
    <row r="5213" spans="11:11" x14ac:dyDescent="0.3">
      <c r="K5213" t="s">
        <v>7117</v>
      </c>
    </row>
    <row r="5214" spans="11:11" x14ac:dyDescent="0.3">
      <c r="K5214" t="s">
        <v>11036</v>
      </c>
    </row>
    <row r="5215" spans="11:11" x14ac:dyDescent="0.3">
      <c r="K5215" t="s">
        <v>5765</v>
      </c>
    </row>
    <row r="5216" spans="11:11" x14ac:dyDescent="0.3">
      <c r="K5216" t="s">
        <v>9768</v>
      </c>
    </row>
    <row r="5217" spans="11:11" x14ac:dyDescent="0.3">
      <c r="K5217" t="s">
        <v>10535</v>
      </c>
    </row>
    <row r="5218" spans="11:11" x14ac:dyDescent="0.3">
      <c r="K5218" t="s">
        <v>10794</v>
      </c>
    </row>
    <row r="5219" spans="11:11" x14ac:dyDescent="0.3">
      <c r="K5219" t="s">
        <v>7701</v>
      </c>
    </row>
    <row r="5220" spans="11:11" x14ac:dyDescent="0.3">
      <c r="K5220" t="s">
        <v>7118</v>
      </c>
    </row>
    <row r="5221" spans="11:11" x14ac:dyDescent="0.3">
      <c r="K5221" t="s">
        <v>9769</v>
      </c>
    </row>
    <row r="5222" spans="11:11" x14ac:dyDescent="0.3">
      <c r="K5222" t="s">
        <v>9770</v>
      </c>
    </row>
    <row r="5223" spans="11:11" x14ac:dyDescent="0.3">
      <c r="K5223" t="s">
        <v>9357</v>
      </c>
    </row>
    <row r="5224" spans="11:11" x14ac:dyDescent="0.3">
      <c r="K5224" t="s">
        <v>5766</v>
      </c>
    </row>
    <row r="5225" spans="11:11" x14ac:dyDescent="0.3">
      <c r="K5225" t="s">
        <v>10795</v>
      </c>
    </row>
    <row r="5226" spans="11:11" x14ac:dyDescent="0.3">
      <c r="K5226" t="s">
        <v>10536</v>
      </c>
    </row>
    <row r="5227" spans="11:11" x14ac:dyDescent="0.3">
      <c r="K5227" t="s">
        <v>5531</v>
      </c>
    </row>
    <row r="5228" spans="11:11" x14ac:dyDescent="0.3">
      <c r="K5228" t="s">
        <v>6547</v>
      </c>
    </row>
    <row r="5229" spans="11:11" x14ac:dyDescent="0.3">
      <c r="K5229" t="s">
        <v>9771</v>
      </c>
    </row>
    <row r="5230" spans="11:11" x14ac:dyDescent="0.3">
      <c r="K5230" t="s">
        <v>6714</v>
      </c>
    </row>
    <row r="5231" spans="11:11" x14ac:dyDescent="0.3">
      <c r="K5231" t="s">
        <v>6678</v>
      </c>
    </row>
    <row r="5232" spans="11:11" x14ac:dyDescent="0.3">
      <c r="K5232" t="s">
        <v>9358</v>
      </c>
    </row>
    <row r="5233" spans="11:11" x14ac:dyDescent="0.3">
      <c r="K5233" t="s">
        <v>10060</v>
      </c>
    </row>
    <row r="5234" spans="11:11" x14ac:dyDescent="0.3">
      <c r="K5234" t="s">
        <v>9772</v>
      </c>
    </row>
    <row r="5235" spans="11:11" x14ac:dyDescent="0.3">
      <c r="K5235" t="s">
        <v>10061</v>
      </c>
    </row>
    <row r="5236" spans="11:11" x14ac:dyDescent="0.3">
      <c r="K5236" t="s">
        <v>6715</v>
      </c>
    </row>
    <row r="5237" spans="11:11" x14ac:dyDescent="0.3">
      <c r="K5237" t="s">
        <v>7119</v>
      </c>
    </row>
    <row r="5238" spans="11:11" x14ac:dyDescent="0.3">
      <c r="K5238" t="s">
        <v>10062</v>
      </c>
    </row>
    <row r="5239" spans="11:11" x14ac:dyDescent="0.3">
      <c r="K5239" t="s">
        <v>6135</v>
      </c>
    </row>
    <row r="5240" spans="11:11" x14ac:dyDescent="0.3">
      <c r="K5240" t="s">
        <v>10064</v>
      </c>
    </row>
    <row r="5241" spans="11:11" x14ac:dyDescent="0.3">
      <c r="K5241" t="s">
        <v>10063</v>
      </c>
    </row>
    <row r="5242" spans="11:11" x14ac:dyDescent="0.3">
      <c r="K5242" t="s">
        <v>9359</v>
      </c>
    </row>
    <row r="5243" spans="11:11" x14ac:dyDescent="0.3">
      <c r="K5243" t="s">
        <v>6136</v>
      </c>
    </row>
    <row r="5244" spans="11:11" x14ac:dyDescent="0.3">
      <c r="K5244" t="s">
        <v>8532</v>
      </c>
    </row>
    <row r="5245" spans="11:11" x14ac:dyDescent="0.3">
      <c r="K5245" t="s">
        <v>10537</v>
      </c>
    </row>
    <row r="5246" spans="11:11" x14ac:dyDescent="0.3">
      <c r="K5246" t="s">
        <v>10538</v>
      </c>
    </row>
    <row r="5247" spans="11:11" x14ac:dyDescent="0.3">
      <c r="K5247" t="s">
        <v>8533</v>
      </c>
    </row>
    <row r="5248" spans="11:11" x14ac:dyDescent="0.3">
      <c r="K5248" t="s">
        <v>8534</v>
      </c>
    </row>
    <row r="5249" spans="11:11" x14ac:dyDescent="0.3">
      <c r="K5249" t="s">
        <v>7307</v>
      </c>
    </row>
    <row r="5250" spans="11:11" x14ac:dyDescent="0.3">
      <c r="K5250" t="s">
        <v>5927</v>
      </c>
    </row>
    <row r="5251" spans="11:11" x14ac:dyDescent="0.3">
      <c r="K5251" t="s">
        <v>5928</v>
      </c>
    </row>
    <row r="5252" spans="11:11" x14ac:dyDescent="0.3">
      <c r="K5252" t="s">
        <v>8535</v>
      </c>
    </row>
    <row r="5253" spans="11:11" x14ac:dyDescent="0.3">
      <c r="K5253" t="s">
        <v>8536</v>
      </c>
    </row>
    <row r="5254" spans="11:11" x14ac:dyDescent="0.3">
      <c r="K5254" t="s">
        <v>8537</v>
      </c>
    </row>
    <row r="5255" spans="11:11" x14ac:dyDescent="0.3">
      <c r="K5255" t="s">
        <v>9773</v>
      </c>
    </row>
    <row r="5256" spans="11:11" x14ac:dyDescent="0.3">
      <c r="K5256" t="s">
        <v>7308</v>
      </c>
    </row>
    <row r="5257" spans="11:11" x14ac:dyDescent="0.3">
      <c r="K5257" t="s">
        <v>9774</v>
      </c>
    </row>
    <row r="5258" spans="11:11" x14ac:dyDescent="0.3">
      <c r="K5258" t="s">
        <v>8538</v>
      </c>
    </row>
    <row r="5259" spans="11:11" x14ac:dyDescent="0.3">
      <c r="K5259" t="s">
        <v>5767</v>
      </c>
    </row>
    <row r="5260" spans="11:11" x14ac:dyDescent="0.3">
      <c r="K5260" t="s">
        <v>5615</v>
      </c>
    </row>
    <row r="5261" spans="11:11" x14ac:dyDescent="0.3">
      <c r="K5261" t="s">
        <v>7120</v>
      </c>
    </row>
    <row r="5262" spans="11:11" x14ac:dyDescent="0.3">
      <c r="K5262" t="s">
        <v>10796</v>
      </c>
    </row>
    <row r="5263" spans="11:11" x14ac:dyDescent="0.3">
      <c r="K5263" t="s">
        <v>10539</v>
      </c>
    </row>
    <row r="5264" spans="11:11" x14ac:dyDescent="0.3">
      <c r="K5264" t="s">
        <v>9360</v>
      </c>
    </row>
    <row r="5265" spans="11:11" x14ac:dyDescent="0.3">
      <c r="K5265" t="s">
        <v>10540</v>
      </c>
    </row>
    <row r="5266" spans="11:11" x14ac:dyDescent="0.3">
      <c r="K5266" t="s">
        <v>9361</v>
      </c>
    </row>
    <row r="5267" spans="11:11" x14ac:dyDescent="0.3">
      <c r="K5267" t="s">
        <v>6716</v>
      </c>
    </row>
    <row r="5268" spans="11:11" x14ac:dyDescent="0.3">
      <c r="K5268" t="s">
        <v>9362</v>
      </c>
    </row>
    <row r="5269" spans="11:11" x14ac:dyDescent="0.3">
      <c r="K5269" t="s">
        <v>5768</v>
      </c>
    </row>
    <row r="5270" spans="11:11" x14ac:dyDescent="0.3">
      <c r="K5270" t="s">
        <v>7121</v>
      </c>
    </row>
    <row r="5271" spans="11:11" x14ac:dyDescent="0.3">
      <c r="K5271" t="s">
        <v>7232</v>
      </c>
    </row>
    <row r="5272" spans="11:11" x14ac:dyDescent="0.3">
      <c r="K5272" t="s">
        <v>5769</v>
      </c>
    </row>
    <row r="5273" spans="11:11" x14ac:dyDescent="0.3">
      <c r="K5273" t="s">
        <v>6548</v>
      </c>
    </row>
    <row r="5274" spans="11:11" x14ac:dyDescent="0.3">
      <c r="K5274" t="s">
        <v>8744</v>
      </c>
    </row>
    <row r="5275" spans="11:11" x14ac:dyDescent="0.3">
      <c r="K5275" t="s">
        <v>10541</v>
      </c>
    </row>
    <row r="5276" spans="11:11" x14ac:dyDescent="0.3">
      <c r="K5276" t="s">
        <v>10542</v>
      </c>
    </row>
    <row r="5277" spans="11:11" x14ac:dyDescent="0.3">
      <c r="K5277" t="s">
        <v>7702</v>
      </c>
    </row>
    <row r="5278" spans="11:11" x14ac:dyDescent="0.3">
      <c r="K5278" t="s">
        <v>9363</v>
      </c>
    </row>
    <row r="5279" spans="11:11" x14ac:dyDescent="0.3">
      <c r="K5279" t="s">
        <v>10543</v>
      </c>
    </row>
    <row r="5280" spans="11:11" x14ac:dyDescent="0.3">
      <c r="K5280" t="s">
        <v>9775</v>
      </c>
    </row>
    <row r="5281" spans="11:11" x14ac:dyDescent="0.3">
      <c r="K5281" t="s">
        <v>10065</v>
      </c>
    </row>
    <row r="5282" spans="11:11" x14ac:dyDescent="0.3">
      <c r="K5282" t="s">
        <v>10544</v>
      </c>
    </row>
    <row r="5283" spans="11:11" x14ac:dyDescent="0.3">
      <c r="K5283" t="s">
        <v>8539</v>
      </c>
    </row>
    <row r="5284" spans="11:11" x14ac:dyDescent="0.3">
      <c r="K5284" t="s">
        <v>10545</v>
      </c>
    </row>
    <row r="5285" spans="11:11" x14ac:dyDescent="0.3">
      <c r="K5285" t="s">
        <v>10546</v>
      </c>
    </row>
    <row r="5286" spans="11:11" x14ac:dyDescent="0.3">
      <c r="K5286" t="s">
        <v>10547</v>
      </c>
    </row>
    <row r="5287" spans="11:11" x14ac:dyDescent="0.3">
      <c r="K5287" t="s">
        <v>9364</v>
      </c>
    </row>
    <row r="5288" spans="11:11" x14ac:dyDescent="0.3">
      <c r="K5288" t="s">
        <v>10663</v>
      </c>
    </row>
    <row r="5289" spans="11:11" x14ac:dyDescent="0.3">
      <c r="K5289" t="s">
        <v>8540</v>
      </c>
    </row>
    <row r="5290" spans="11:11" x14ac:dyDescent="0.3">
      <c r="K5290" t="s">
        <v>10548</v>
      </c>
    </row>
    <row r="5291" spans="11:11" x14ac:dyDescent="0.3">
      <c r="K5291" t="s">
        <v>10549</v>
      </c>
    </row>
    <row r="5292" spans="11:11" x14ac:dyDescent="0.3">
      <c r="K5292" t="s">
        <v>8541</v>
      </c>
    </row>
    <row r="5293" spans="11:11" x14ac:dyDescent="0.3">
      <c r="K5293" t="s">
        <v>11037</v>
      </c>
    </row>
    <row r="5294" spans="11:11" x14ac:dyDescent="0.3">
      <c r="K5294" t="s">
        <v>8745</v>
      </c>
    </row>
    <row r="5295" spans="11:11" x14ac:dyDescent="0.3">
      <c r="K5295" t="s">
        <v>10066</v>
      </c>
    </row>
    <row r="5296" spans="11:11" x14ac:dyDescent="0.3">
      <c r="K5296" t="s">
        <v>10067</v>
      </c>
    </row>
    <row r="5297" spans="11:11" x14ac:dyDescent="0.3">
      <c r="K5297" t="s">
        <v>10068</v>
      </c>
    </row>
    <row r="5298" spans="11:11" x14ac:dyDescent="0.3">
      <c r="K5298" t="s">
        <v>10550</v>
      </c>
    </row>
    <row r="5299" spans="11:11" x14ac:dyDescent="0.3">
      <c r="K5299" t="s">
        <v>11038</v>
      </c>
    </row>
    <row r="5300" spans="11:11" x14ac:dyDescent="0.3">
      <c r="K5300" t="s">
        <v>7122</v>
      </c>
    </row>
    <row r="5301" spans="11:11" x14ac:dyDescent="0.3">
      <c r="K5301" t="s">
        <v>6717</v>
      </c>
    </row>
    <row r="5302" spans="11:11" x14ac:dyDescent="0.3">
      <c r="K5302" t="s">
        <v>6942</v>
      </c>
    </row>
    <row r="5303" spans="11:11" x14ac:dyDescent="0.3">
      <c r="K5303" t="s">
        <v>7123</v>
      </c>
    </row>
    <row r="5304" spans="11:11" x14ac:dyDescent="0.3">
      <c r="K5304" t="s">
        <v>10551</v>
      </c>
    </row>
    <row r="5305" spans="11:11" x14ac:dyDescent="0.3">
      <c r="K5305" t="s">
        <v>6137</v>
      </c>
    </row>
    <row r="5306" spans="11:11" x14ac:dyDescent="0.3">
      <c r="K5306" t="s">
        <v>11039</v>
      </c>
    </row>
    <row r="5307" spans="11:11" x14ac:dyDescent="0.3">
      <c r="K5307" t="s">
        <v>10069</v>
      </c>
    </row>
    <row r="5308" spans="11:11" x14ac:dyDescent="0.3">
      <c r="K5308" t="s">
        <v>10070</v>
      </c>
    </row>
    <row r="5309" spans="11:11" x14ac:dyDescent="0.3">
      <c r="K5309" t="s">
        <v>7703</v>
      </c>
    </row>
    <row r="5310" spans="11:11" x14ac:dyDescent="0.3">
      <c r="K5310" t="s">
        <v>5770</v>
      </c>
    </row>
    <row r="5311" spans="11:11" x14ac:dyDescent="0.3">
      <c r="K5311" t="s">
        <v>10552</v>
      </c>
    </row>
    <row r="5312" spans="11:11" x14ac:dyDescent="0.3">
      <c r="K5312" t="s">
        <v>5771</v>
      </c>
    </row>
    <row r="5313" spans="11:11" x14ac:dyDescent="0.3">
      <c r="K5313" t="s">
        <v>6138</v>
      </c>
    </row>
    <row r="5314" spans="11:11" x14ac:dyDescent="0.3">
      <c r="K5314" t="s">
        <v>9365</v>
      </c>
    </row>
    <row r="5315" spans="11:11" x14ac:dyDescent="0.3">
      <c r="K5315" t="s">
        <v>8542</v>
      </c>
    </row>
    <row r="5316" spans="11:11" x14ac:dyDescent="0.3">
      <c r="K5316" t="s">
        <v>10071</v>
      </c>
    </row>
    <row r="5317" spans="11:11" x14ac:dyDescent="0.3">
      <c r="K5317" t="s">
        <v>9776</v>
      </c>
    </row>
    <row r="5318" spans="11:11" x14ac:dyDescent="0.3">
      <c r="K5318" t="s">
        <v>10553</v>
      </c>
    </row>
    <row r="5319" spans="11:11" x14ac:dyDescent="0.3">
      <c r="K5319" t="s">
        <v>9777</v>
      </c>
    </row>
    <row r="5320" spans="11:11" x14ac:dyDescent="0.3">
      <c r="K5320" t="s">
        <v>6139</v>
      </c>
    </row>
    <row r="5321" spans="11:11" x14ac:dyDescent="0.3">
      <c r="K5321" t="s">
        <v>9366</v>
      </c>
    </row>
    <row r="5322" spans="11:11" x14ac:dyDescent="0.3">
      <c r="K5322" t="s">
        <v>8543</v>
      </c>
    </row>
    <row r="5323" spans="11:11" x14ac:dyDescent="0.3">
      <c r="K5323" t="s">
        <v>7124</v>
      </c>
    </row>
    <row r="5324" spans="11:11" x14ac:dyDescent="0.3">
      <c r="K5324" t="s">
        <v>10554</v>
      </c>
    </row>
    <row r="5325" spans="11:11" x14ac:dyDescent="0.3">
      <c r="K5325" t="s">
        <v>10555</v>
      </c>
    </row>
    <row r="5326" spans="11:11" x14ac:dyDescent="0.3">
      <c r="K5326" t="s">
        <v>10556</v>
      </c>
    </row>
    <row r="5327" spans="11:11" x14ac:dyDescent="0.3">
      <c r="K5327" t="s">
        <v>10557</v>
      </c>
    </row>
    <row r="5328" spans="11:11" x14ac:dyDescent="0.3">
      <c r="K5328" t="s">
        <v>7125</v>
      </c>
    </row>
    <row r="5329" spans="11:11" x14ac:dyDescent="0.3">
      <c r="K5329" t="s">
        <v>9778</v>
      </c>
    </row>
    <row r="5330" spans="11:11" x14ac:dyDescent="0.3">
      <c r="K5330" t="s">
        <v>9367</v>
      </c>
    </row>
    <row r="5331" spans="11:11" x14ac:dyDescent="0.3">
      <c r="K5331" t="s">
        <v>5929</v>
      </c>
    </row>
    <row r="5332" spans="11:11" x14ac:dyDescent="0.3">
      <c r="K5332" t="s">
        <v>5930</v>
      </c>
    </row>
    <row r="5333" spans="11:11" x14ac:dyDescent="0.3">
      <c r="K5333" t="s">
        <v>6140</v>
      </c>
    </row>
    <row r="5334" spans="11:11" x14ac:dyDescent="0.3">
      <c r="K5334" t="s">
        <v>6141</v>
      </c>
    </row>
    <row r="5335" spans="11:11" x14ac:dyDescent="0.3">
      <c r="K5335" t="s">
        <v>9368</v>
      </c>
    </row>
    <row r="5336" spans="11:11" x14ac:dyDescent="0.3">
      <c r="K5336" t="s">
        <v>8544</v>
      </c>
    </row>
    <row r="5337" spans="11:11" x14ac:dyDescent="0.3">
      <c r="K5337" t="s">
        <v>9369</v>
      </c>
    </row>
    <row r="5338" spans="11:11" x14ac:dyDescent="0.3">
      <c r="K5338" t="s">
        <v>10558</v>
      </c>
    </row>
    <row r="5339" spans="11:11" x14ac:dyDescent="0.3">
      <c r="K5339" t="s">
        <v>6549</v>
      </c>
    </row>
    <row r="5340" spans="11:11" x14ac:dyDescent="0.3">
      <c r="K5340" t="s">
        <v>11040</v>
      </c>
    </row>
    <row r="5341" spans="11:11" x14ac:dyDescent="0.3">
      <c r="K5341" t="s">
        <v>11041</v>
      </c>
    </row>
    <row r="5342" spans="11:11" x14ac:dyDescent="0.3">
      <c r="K5342" t="s">
        <v>9779</v>
      </c>
    </row>
    <row r="5343" spans="11:11" x14ac:dyDescent="0.3">
      <c r="K5343" t="s">
        <v>10072</v>
      </c>
    </row>
    <row r="5344" spans="11:11" x14ac:dyDescent="0.3">
      <c r="K5344" t="s">
        <v>8545</v>
      </c>
    </row>
    <row r="5345" spans="11:11" x14ac:dyDescent="0.3">
      <c r="K5345" t="s">
        <v>6142</v>
      </c>
    </row>
    <row r="5346" spans="11:11" x14ac:dyDescent="0.3">
      <c r="K5346" t="s">
        <v>5616</v>
      </c>
    </row>
    <row r="5347" spans="11:11" x14ac:dyDescent="0.3">
      <c r="K5347" t="s">
        <v>7704</v>
      </c>
    </row>
    <row r="5348" spans="11:11" x14ac:dyDescent="0.3">
      <c r="K5348" t="s">
        <v>8546</v>
      </c>
    </row>
    <row r="5349" spans="11:11" x14ac:dyDescent="0.3">
      <c r="K5349" t="s">
        <v>8547</v>
      </c>
    </row>
    <row r="5350" spans="11:11" x14ac:dyDescent="0.3">
      <c r="K5350" t="s">
        <v>7705</v>
      </c>
    </row>
    <row r="5351" spans="11:11" x14ac:dyDescent="0.3">
      <c r="K5351" t="s">
        <v>7706</v>
      </c>
    </row>
    <row r="5352" spans="11:11" x14ac:dyDescent="0.3">
      <c r="K5352" t="s">
        <v>6550</v>
      </c>
    </row>
    <row r="5353" spans="11:11" x14ac:dyDescent="0.3">
      <c r="K5353" t="s">
        <v>8548</v>
      </c>
    </row>
    <row r="5354" spans="11:11" x14ac:dyDescent="0.3">
      <c r="K5354" t="s">
        <v>9370</v>
      </c>
    </row>
    <row r="5355" spans="11:11" x14ac:dyDescent="0.3">
      <c r="K5355" t="s">
        <v>7707</v>
      </c>
    </row>
    <row r="5356" spans="11:11" x14ac:dyDescent="0.3">
      <c r="K5356" t="s">
        <v>9371</v>
      </c>
    </row>
    <row r="5357" spans="11:11" x14ac:dyDescent="0.3">
      <c r="K5357" t="s">
        <v>8549</v>
      </c>
    </row>
    <row r="5358" spans="11:11" x14ac:dyDescent="0.3">
      <c r="K5358" t="s">
        <v>8550</v>
      </c>
    </row>
    <row r="5359" spans="11:11" x14ac:dyDescent="0.3">
      <c r="K5359" t="s">
        <v>9372</v>
      </c>
    </row>
    <row r="5360" spans="11:11" x14ac:dyDescent="0.3">
      <c r="K5360" t="s">
        <v>9780</v>
      </c>
    </row>
    <row r="5361" spans="11:11" x14ac:dyDescent="0.3">
      <c r="K5361" t="s">
        <v>10559</v>
      </c>
    </row>
    <row r="5362" spans="11:11" x14ac:dyDescent="0.3">
      <c r="K5362" t="s">
        <v>9373</v>
      </c>
    </row>
    <row r="5363" spans="11:11" x14ac:dyDescent="0.3">
      <c r="K5363" t="s">
        <v>7708</v>
      </c>
    </row>
    <row r="5364" spans="11:11" x14ac:dyDescent="0.3">
      <c r="K5364" t="s">
        <v>5633</v>
      </c>
    </row>
    <row r="5365" spans="11:11" x14ac:dyDescent="0.3">
      <c r="K5365" t="s">
        <v>11042</v>
      </c>
    </row>
    <row r="5366" spans="11:11" x14ac:dyDescent="0.3">
      <c r="K5366" t="s">
        <v>6943</v>
      </c>
    </row>
    <row r="5367" spans="11:11" x14ac:dyDescent="0.3">
      <c r="K5367" t="s">
        <v>5772</v>
      </c>
    </row>
    <row r="5368" spans="11:11" x14ac:dyDescent="0.3">
      <c r="K5368" t="s">
        <v>6551</v>
      </c>
    </row>
    <row r="5369" spans="11:11" x14ac:dyDescent="0.3">
      <c r="K5369" t="s">
        <v>6718</v>
      </c>
    </row>
    <row r="5370" spans="11:11" x14ac:dyDescent="0.3">
      <c r="K5370" t="s">
        <v>7309</v>
      </c>
    </row>
    <row r="5371" spans="11:11" x14ac:dyDescent="0.3">
      <c r="K5371" t="s">
        <v>7709</v>
      </c>
    </row>
    <row r="5372" spans="11:11" x14ac:dyDescent="0.3">
      <c r="K5372" t="s">
        <v>8551</v>
      </c>
    </row>
    <row r="5373" spans="11:11" x14ac:dyDescent="0.3">
      <c r="K5373" t="s">
        <v>6944</v>
      </c>
    </row>
    <row r="5374" spans="11:11" x14ac:dyDescent="0.3">
      <c r="K5374" t="s">
        <v>6552</v>
      </c>
    </row>
    <row r="5375" spans="11:11" x14ac:dyDescent="0.3">
      <c r="K5375" t="s">
        <v>9781</v>
      </c>
    </row>
    <row r="5376" spans="11:11" x14ac:dyDescent="0.3">
      <c r="K5376" t="s">
        <v>7710</v>
      </c>
    </row>
    <row r="5377" spans="11:11" x14ac:dyDescent="0.3">
      <c r="K5377" t="s">
        <v>8552</v>
      </c>
    </row>
    <row r="5378" spans="11:11" x14ac:dyDescent="0.3">
      <c r="K5378" t="s">
        <v>10560</v>
      </c>
    </row>
    <row r="5379" spans="11:11" x14ac:dyDescent="0.3">
      <c r="K5379" t="s">
        <v>9782</v>
      </c>
    </row>
    <row r="5380" spans="11:11" x14ac:dyDescent="0.3">
      <c r="K5380" t="s">
        <v>8553</v>
      </c>
    </row>
    <row r="5381" spans="11:11" x14ac:dyDescent="0.3">
      <c r="K5381" t="s">
        <v>10073</v>
      </c>
    </row>
    <row r="5382" spans="11:11" x14ac:dyDescent="0.3">
      <c r="K5382" t="s">
        <v>10797</v>
      </c>
    </row>
    <row r="5383" spans="11:11" x14ac:dyDescent="0.3">
      <c r="K5383" t="s">
        <v>7233</v>
      </c>
    </row>
    <row r="5384" spans="11:11" x14ac:dyDescent="0.3">
      <c r="K5384" t="s">
        <v>9374</v>
      </c>
    </row>
    <row r="5385" spans="11:11" x14ac:dyDescent="0.3">
      <c r="K5385" t="s">
        <v>6366</v>
      </c>
    </row>
    <row r="5386" spans="11:11" x14ac:dyDescent="0.3">
      <c r="K5386" t="s">
        <v>9783</v>
      </c>
    </row>
    <row r="5387" spans="11:11" x14ac:dyDescent="0.3">
      <c r="K5387" t="s">
        <v>10561</v>
      </c>
    </row>
    <row r="5388" spans="11:11" x14ac:dyDescent="0.3">
      <c r="K5388" t="s">
        <v>6719</v>
      </c>
    </row>
    <row r="5389" spans="11:11" x14ac:dyDescent="0.3">
      <c r="K5389" t="s">
        <v>9784</v>
      </c>
    </row>
    <row r="5390" spans="11:11" x14ac:dyDescent="0.3">
      <c r="K5390" t="s">
        <v>7711</v>
      </c>
    </row>
    <row r="5391" spans="11:11" x14ac:dyDescent="0.3">
      <c r="K5391" t="s">
        <v>9375</v>
      </c>
    </row>
    <row r="5392" spans="11:11" x14ac:dyDescent="0.3">
      <c r="K5392" t="s">
        <v>6143</v>
      </c>
    </row>
    <row r="5393" spans="11:11" x14ac:dyDescent="0.3">
      <c r="K5393" t="s">
        <v>9376</v>
      </c>
    </row>
    <row r="5394" spans="11:11" x14ac:dyDescent="0.3">
      <c r="K5394" t="s">
        <v>11043</v>
      </c>
    </row>
    <row r="5395" spans="11:11" x14ac:dyDescent="0.3">
      <c r="K5395" t="s">
        <v>8554</v>
      </c>
    </row>
    <row r="5396" spans="11:11" x14ac:dyDescent="0.3">
      <c r="K5396" t="s">
        <v>11044</v>
      </c>
    </row>
    <row r="5397" spans="11:11" x14ac:dyDescent="0.3">
      <c r="K5397" t="s">
        <v>5773</v>
      </c>
    </row>
    <row r="5398" spans="11:11" x14ac:dyDescent="0.3">
      <c r="K5398" t="s">
        <v>10074</v>
      </c>
    </row>
    <row r="5399" spans="11:11" x14ac:dyDescent="0.3">
      <c r="K5399" t="s">
        <v>6553</v>
      </c>
    </row>
    <row r="5400" spans="11:11" x14ac:dyDescent="0.3">
      <c r="K5400" t="s">
        <v>8555</v>
      </c>
    </row>
    <row r="5401" spans="11:11" x14ac:dyDescent="0.3">
      <c r="K5401" t="s">
        <v>5617</v>
      </c>
    </row>
    <row r="5402" spans="11:11" x14ac:dyDescent="0.3">
      <c r="K5402" t="s">
        <v>7712</v>
      </c>
    </row>
    <row r="5403" spans="11:11" x14ac:dyDescent="0.3">
      <c r="K5403" t="s">
        <v>6367</v>
      </c>
    </row>
    <row r="5404" spans="11:11" x14ac:dyDescent="0.3">
      <c r="K5404" t="s">
        <v>8556</v>
      </c>
    </row>
    <row r="5405" spans="11:11" x14ac:dyDescent="0.3">
      <c r="K5405" t="s">
        <v>5618</v>
      </c>
    </row>
    <row r="5406" spans="11:11" x14ac:dyDescent="0.3">
      <c r="K5406" t="s">
        <v>10562</v>
      </c>
    </row>
    <row r="5407" spans="11:11" x14ac:dyDescent="0.3">
      <c r="K5407" t="s">
        <v>6554</v>
      </c>
    </row>
    <row r="5408" spans="11:11" x14ac:dyDescent="0.3">
      <c r="K5408" t="s">
        <v>5532</v>
      </c>
    </row>
    <row r="5409" spans="11:11" x14ac:dyDescent="0.3">
      <c r="K5409" t="s">
        <v>10075</v>
      </c>
    </row>
    <row r="5410" spans="11:11" x14ac:dyDescent="0.3">
      <c r="K5410" t="s">
        <v>9377</v>
      </c>
    </row>
    <row r="5411" spans="11:11" x14ac:dyDescent="0.3">
      <c r="K5411" t="s">
        <v>10076</v>
      </c>
    </row>
    <row r="5412" spans="11:11" x14ac:dyDescent="0.3">
      <c r="K5412" t="s">
        <v>11045</v>
      </c>
    </row>
    <row r="5413" spans="11:11" x14ac:dyDescent="0.3">
      <c r="K5413" t="s">
        <v>7713</v>
      </c>
    </row>
    <row r="5414" spans="11:11" x14ac:dyDescent="0.3">
      <c r="K5414" t="s">
        <v>10563</v>
      </c>
    </row>
    <row r="5415" spans="11:11" x14ac:dyDescent="0.3">
      <c r="K5415" t="s">
        <v>10798</v>
      </c>
    </row>
    <row r="5416" spans="11:11" x14ac:dyDescent="0.3">
      <c r="K5416" t="s">
        <v>5533</v>
      </c>
    </row>
    <row r="5417" spans="11:11" x14ac:dyDescent="0.3">
      <c r="K5417" t="s">
        <v>5534</v>
      </c>
    </row>
    <row r="5418" spans="11:11" x14ac:dyDescent="0.3">
      <c r="K5418" t="s">
        <v>10565</v>
      </c>
    </row>
    <row r="5419" spans="11:11" x14ac:dyDescent="0.3">
      <c r="K5419" t="s">
        <v>10566</v>
      </c>
    </row>
    <row r="5420" spans="11:11" x14ac:dyDescent="0.3">
      <c r="K5420" t="s">
        <v>10564</v>
      </c>
    </row>
    <row r="5421" spans="11:11" x14ac:dyDescent="0.3">
      <c r="K5421" t="s">
        <v>6368</v>
      </c>
    </row>
    <row r="5422" spans="11:11" x14ac:dyDescent="0.3">
      <c r="K5422" t="s">
        <v>7714</v>
      </c>
    </row>
    <row r="5423" spans="11:11" x14ac:dyDescent="0.3">
      <c r="K5423" t="s">
        <v>8746</v>
      </c>
    </row>
    <row r="5424" spans="11:11" x14ac:dyDescent="0.3">
      <c r="K5424" t="s">
        <v>7715</v>
      </c>
    </row>
    <row r="5425" spans="11:11" x14ac:dyDescent="0.3">
      <c r="K5425" t="s">
        <v>9378</v>
      </c>
    </row>
    <row r="5426" spans="11:11" x14ac:dyDescent="0.3">
      <c r="K5426" t="s">
        <v>9379</v>
      </c>
    </row>
    <row r="5427" spans="11:11" x14ac:dyDescent="0.3">
      <c r="K5427" t="s">
        <v>11046</v>
      </c>
    </row>
    <row r="5428" spans="11:11" x14ac:dyDescent="0.3">
      <c r="K5428" t="s">
        <v>9380</v>
      </c>
    </row>
    <row r="5429" spans="11:11" x14ac:dyDescent="0.3">
      <c r="K5429" t="s">
        <v>10567</v>
      </c>
    </row>
    <row r="5430" spans="11:11" x14ac:dyDescent="0.3">
      <c r="K5430" t="s">
        <v>10077</v>
      </c>
    </row>
    <row r="5431" spans="11:11" x14ac:dyDescent="0.3">
      <c r="K5431" t="s">
        <v>8557</v>
      </c>
    </row>
    <row r="5432" spans="11:11" x14ac:dyDescent="0.3">
      <c r="K5432" t="s">
        <v>8651</v>
      </c>
    </row>
    <row r="5433" spans="11:11" x14ac:dyDescent="0.3">
      <c r="K5433" t="s">
        <v>8558</v>
      </c>
    </row>
    <row r="5434" spans="11:11" x14ac:dyDescent="0.3">
      <c r="K5434" t="s">
        <v>10079</v>
      </c>
    </row>
    <row r="5435" spans="11:11" x14ac:dyDescent="0.3">
      <c r="K5435" t="s">
        <v>8559</v>
      </c>
    </row>
    <row r="5436" spans="11:11" x14ac:dyDescent="0.3">
      <c r="K5436" t="s">
        <v>9382</v>
      </c>
    </row>
    <row r="5437" spans="11:11" x14ac:dyDescent="0.3">
      <c r="K5437" t="s">
        <v>9383</v>
      </c>
    </row>
    <row r="5438" spans="11:11" x14ac:dyDescent="0.3">
      <c r="K5438" t="s">
        <v>6144</v>
      </c>
    </row>
    <row r="5439" spans="11:11" x14ac:dyDescent="0.3">
      <c r="K5439" t="s">
        <v>10078</v>
      </c>
    </row>
    <row r="5440" spans="11:11" x14ac:dyDescent="0.3">
      <c r="K5440" t="s">
        <v>9381</v>
      </c>
    </row>
    <row r="5441" spans="11:11" x14ac:dyDescent="0.3">
      <c r="K5441" t="s">
        <v>8560</v>
      </c>
    </row>
    <row r="5442" spans="11:11" x14ac:dyDescent="0.3">
      <c r="K5442" t="s">
        <v>8561</v>
      </c>
    </row>
    <row r="5443" spans="11:11" x14ac:dyDescent="0.3">
      <c r="K5443" t="s">
        <v>11047</v>
      </c>
    </row>
    <row r="5444" spans="11:11" x14ac:dyDescent="0.3">
      <c r="K5444" t="s">
        <v>6555</v>
      </c>
    </row>
    <row r="5445" spans="11:11" x14ac:dyDescent="0.3">
      <c r="K5445" t="s">
        <v>8747</v>
      </c>
    </row>
    <row r="5446" spans="11:11" x14ac:dyDescent="0.3">
      <c r="K5446" t="s">
        <v>6556</v>
      </c>
    </row>
    <row r="5447" spans="11:11" x14ac:dyDescent="0.3">
      <c r="K5447" t="s">
        <v>6369</v>
      </c>
    </row>
    <row r="5448" spans="11:11" x14ac:dyDescent="0.3">
      <c r="K5448" t="s">
        <v>8562</v>
      </c>
    </row>
    <row r="5449" spans="11:11" x14ac:dyDescent="0.3">
      <c r="K5449" t="s">
        <v>7716</v>
      </c>
    </row>
    <row r="5450" spans="11:11" x14ac:dyDescent="0.3">
      <c r="K5450" t="s">
        <v>7717</v>
      </c>
    </row>
    <row r="5451" spans="11:11" x14ac:dyDescent="0.3">
      <c r="K5451" t="s">
        <v>10799</v>
      </c>
    </row>
    <row r="5452" spans="11:11" x14ac:dyDescent="0.3">
      <c r="K5452" t="s">
        <v>6370</v>
      </c>
    </row>
    <row r="5453" spans="11:11" x14ac:dyDescent="0.3">
      <c r="K5453" t="s">
        <v>7718</v>
      </c>
    </row>
    <row r="5454" spans="11:11" x14ac:dyDescent="0.3">
      <c r="K5454" t="s">
        <v>9384</v>
      </c>
    </row>
    <row r="5455" spans="11:11" x14ac:dyDescent="0.3">
      <c r="K5455" t="s">
        <v>6945</v>
      </c>
    </row>
    <row r="5456" spans="11:11" x14ac:dyDescent="0.3">
      <c r="K5456" t="s">
        <v>6720</v>
      </c>
    </row>
    <row r="5457" spans="11:11" x14ac:dyDescent="0.3">
      <c r="K5457" t="s">
        <v>7719</v>
      </c>
    </row>
    <row r="5458" spans="11:11" x14ac:dyDescent="0.3">
      <c r="K5458" t="s">
        <v>8563</v>
      </c>
    </row>
    <row r="5459" spans="11:11" x14ac:dyDescent="0.3">
      <c r="K5459" t="s">
        <v>8748</v>
      </c>
    </row>
    <row r="5460" spans="11:11" x14ac:dyDescent="0.3">
      <c r="K5460" t="s">
        <v>8564</v>
      </c>
    </row>
    <row r="5461" spans="11:11" x14ac:dyDescent="0.3">
      <c r="K5461" t="s">
        <v>10568</v>
      </c>
    </row>
    <row r="5462" spans="11:11" x14ac:dyDescent="0.3">
      <c r="K5462" t="s">
        <v>8652</v>
      </c>
    </row>
    <row r="5463" spans="11:11" x14ac:dyDescent="0.3">
      <c r="K5463" t="s">
        <v>6721</v>
      </c>
    </row>
    <row r="5464" spans="11:11" x14ac:dyDescent="0.3">
      <c r="K5464" t="s">
        <v>9786</v>
      </c>
    </row>
    <row r="5465" spans="11:11" x14ac:dyDescent="0.3">
      <c r="K5465" t="s">
        <v>7126</v>
      </c>
    </row>
    <row r="5466" spans="11:11" x14ac:dyDescent="0.3">
      <c r="K5466" t="s">
        <v>9787</v>
      </c>
    </row>
    <row r="5467" spans="11:11" x14ac:dyDescent="0.3">
      <c r="K5467" t="s">
        <v>7720</v>
      </c>
    </row>
    <row r="5468" spans="11:11" x14ac:dyDescent="0.3">
      <c r="K5468" t="s">
        <v>6722</v>
      </c>
    </row>
    <row r="5469" spans="11:11" x14ac:dyDescent="0.3">
      <c r="K5469" t="s">
        <v>10569</v>
      </c>
    </row>
    <row r="5470" spans="11:11" x14ac:dyDescent="0.3">
      <c r="K5470" t="s">
        <v>9385</v>
      </c>
    </row>
    <row r="5471" spans="11:11" x14ac:dyDescent="0.3">
      <c r="K5471" t="s">
        <v>6371</v>
      </c>
    </row>
    <row r="5472" spans="11:11" x14ac:dyDescent="0.3">
      <c r="K5472" t="s">
        <v>10800</v>
      </c>
    </row>
    <row r="5473" spans="11:11" x14ac:dyDescent="0.3">
      <c r="K5473" t="s">
        <v>10570</v>
      </c>
    </row>
    <row r="5474" spans="11:11" x14ac:dyDescent="0.3">
      <c r="K5474" t="s">
        <v>7127</v>
      </c>
    </row>
    <row r="5475" spans="11:11" x14ac:dyDescent="0.3">
      <c r="K5475" t="s">
        <v>8565</v>
      </c>
    </row>
    <row r="5476" spans="11:11" x14ac:dyDescent="0.3">
      <c r="K5476" t="s">
        <v>9788</v>
      </c>
    </row>
    <row r="5477" spans="11:11" x14ac:dyDescent="0.3">
      <c r="K5477" t="s">
        <v>7721</v>
      </c>
    </row>
    <row r="5478" spans="11:11" x14ac:dyDescent="0.3">
      <c r="K5478" t="s">
        <v>8566</v>
      </c>
    </row>
    <row r="5479" spans="11:11" x14ac:dyDescent="0.3">
      <c r="K5479" t="s">
        <v>8567</v>
      </c>
    </row>
    <row r="5480" spans="11:11" x14ac:dyDescent="0.3">
      <c r="K5480" t="s">
        <v>8568</v>
      </c>
    </row>
    <row r="5481" spans="11:11" x14ac:dyDescent="0.3">
      <c r="K5481" t="s">
        <v>7128</v>
      </c>
    </row>
    <row r="5482" spans="11:11" x14ac:dyDescent="0.3">
      <c r="K5482" t="s">
        <v>7129</v>
      </c>
    </row>
    <row r="5483" spans="11:11" x14ac:dyDescent="0.3">
      <c r="K5483" t="s">
        <v>10571</v>
      </c>
    </row>
    <row r="5484" spans="11:11" x14ac:dyDescent="0.3">
      <c r="K5484" t="s">
        <v>8569</v>
      </c>
    </row>
    <row r="5485" spans="11:11" x14ac:dyDescent="0.3">
      <c r="K5485" t="s">
        <v>10572</v>
      </c>
    </row>
    <row r="5486" spans="11:11" x14ac:dyDescent="0.3">
      <c r="K5486" t="s">
        <v>10573</v>
      </c>
    </row>
    <row r="5487" spans="11:11" x14ac:dyDescent="0.3">
      <c r="K5487" t="s">
        <v>8653</v>
      </c>
    </row>
    <row r="5488" spans="11:11" x14ac:dyDescent="0.3">
      <c r="K5488" t="s">
        <v>6145</v>
      </c>
    </row>
    <row r="5489" spans="11:11" x14ac:dyDescent="0.3">
      <c r="K5489" t="s">
        <v>11048</v>
      </c>
    </row>
    <row r="5490" spans="11:11" x14ac:dyDescent="0.3">
      <c r="K5490" t="s">
        <v>7130</v>
      </c>
    </row>
    <row r="5491" spans="11:11" x14ac:dyDescent="0.3">
      <c r="K5491" t="s">
        <v>10574</v>
      </c>
    </row>
    <row r="5492" spans="11:11" x14ac:dyDescent="0.3">
      <c r="K5492" t="s">
        <v>10664</v>
      </c>
    </row>
    <row r="5493" spans="11:11" x14ac:dyDescent="0.3">
      <c r="K5493" t="s">
        <v>11049</v>
      </c>
    </row>
    <row r="5494" spans="11:11" x14ac:dyDescent="0.3">
      <c r="K5494" t="s">
        <v>6557</v>
      </c>
    </row>
    <row r="5495" spans="11:11" x14ac:dyDescent="0.3">
      <c r="K5495" t="s">
        <v>7234</v>
      </c>
    </row>
    <row r="5496" spans="11:11" x14ac:dyDescent="0.3">
      <c r="K5496" t="s">
        <v>8570</v>
      </c>
    </row>
    <row r="5497" spans="11:11" x14ac:dyDescent="0.3">
      <c r="K5497" t="s">
        <v>6723</v>
      </c>
    </row>
    <row r="5498" spans="11:11" x14ac:dyDescent="0.3">
      <c r="K5498" t="s">
        <v>10575</v>
      </c>
    </row>
    <row r="5499" spans="11:11" x14ac:dyDescent="0.3">
      <c r="K5499" t="s">
        <v>10080</v>
      </c>
    </row>
    <row r="5500" spans="11:11" x14ac:dyDescent="0.3">
      <c r="K5500" t="s">
        <v>10081</v>
      </c>
    </row>
    <row r="5501" spans="11:11" x14ac:dyDescent="0.3">
      <c r="K5501" t="s">
        <v>8571</v>
      </c>
    </row>
    <row r="5502" spans="11:11" x14ac:dyDescent="0.3">
      <c r="K5502" t="s">
        <v>6946</v>
      </c>
    </row>
    <row r="5503" spans="11:11" x14ac:dyDescent="0.3">
      <c r="K5503" t="s">
        <v>5774</v>
      </c>
    </row>
    <row r="5504" spans="11:11" x14ac:dyDescent="0.3">
      <c r="K5504" t="s">
        <v>9789</v>
      </c>
    </row>
    <row r="5505" spans="11:11" x14ac:dyDescent="0.3">
      <c r="K5505" t="s">
        <v>10729</v>
      </c>
    </row>
    <row r="5506" spans="11:11" x14ac:dyDescent="0.3">
      <c r="K5506" t="s">
        <v>11050</v>
      </c>
    </row>
    <row r="5507" spans="11:11" x14ac:dyDescent="0.3">
      <c r="K5507" t="s">
        <v>6724</v>
      </c>
    </row>
    <row r="5508" spans="11:11" x14ac:dyDescent="0.3">
      <c r="K5508" t="s">
        <v>10576</v>
      </c>
    </row>
    <row r="5509" spans="11:11" x14ac:dyDescent="0.3">
      <c r="K5509" t="s">
        <v>10577</v>
      </c>
    </row>
    <row r="5510" spans="11:11" x14ac:dyDescent="0.3">
      <c r="K5510" t="s">
        <v>10578</v>
      </c>
    </row>
    <row r="5511" spans="11:11" x14ac:dyDescent="0.3">
      <c r="K5511" t="s">
        <v>6372</v>
      </c>
    </row>
    <row r="5512" spans="11:11" x14ac:dyDescent="0.3">
      <c r="K5512" t="s">
        <v>10579</v>
      </c>
    </row>
    <row r="5513" spans="11:11" x14ac:dyDescent="0.3">
      <c r="K5513" t="s">
        <v>6146</v>
      </c>
    </row>
    <row r="5514" spans="11:11" x14ac:dyDescent="0.3">
      <c r="K5514" t="s">
        <v>8654</v>
      </c>
    </row>
    <row r="5515" spans="11:11" x14ac:dyDescent="0.3">
      <c r="K5515" t="s">
        <v>11051</v>
      </c>
    </row>
    <row r="5516" spans="11:11" x14ac:dyDescent="0.3">
      <c r="K5516" t="s">
        <v>10801</v>
      </c>
    </row>
    <row r="5517" spans="11:11" x14ac:dyDescent="0.3">
      <c r="K5517" t="s">
        <v>8655</v>
      </c>
    </row>
    <row r="5518" spans="11:11" x14ac:dyDescent="0.3">
      <c r="K5518" t="s">
        <v>8656</v>
      </c>
    </row>
    <row r="5519" spans="11:11" x14ac:dyDescent="0.3">
      <c r="K5519" t="s">
        <v>5504</v>
      </c>
    </row>
    <row r="5520" spans="11:11" x14ac:dyDescent="0.3">
      <c r="K5520" t="s">
        <v>9386</v>
      </c>
    </row>
    <row r="5521" spans="11:11" x14ac:dyDescent="0.3">
      <c r="K5521" t="s">
        <v>9387</v>
      </c>
    </row>
    <row r="5522" spans="11:11" x14ac:dyDescent="0.3">
      <c r="K5522" t="s">
        <v>8573</v>
      </c>
    </row>
    <row r="5523" spans="11:11" x14ac:dyDescent="0.3">
      <c r="K5523" t="s">
        <v>8574</v>
      </c>
    </row>
    <row r="5524" spans="11:11" x14ac:dyDescent="0.3">
      <c r="K5524" t="s">
        <v>8575</v>
      </c>
    </row>
    <row r="5525" spans="11:11" x14ac:dyDescent="0.3">
      <c r="K5525" t="s">
        <v>8576</v>
      </c>
    </row>
    <row r="5526" spans="11:11" x14ac:dyDescent="0.3">
      <c r="K5526" t="s">
        <v>9791</v>
      </c>
    </row>
    <row r="5527" spans="11:11" x14ac:dyDescent="0.3">
      <c r="K5527" t="s">
        <v>8577</v>
      </c>
    </row>
    <row r="5528" spans="11:11" x14ac:dyDescent="0.3">
      <c r="K5528" t="s">
        <v>5775</v>
      </c>
    </row>
    <row r="5529" spans="11:11" x14ac:dyDescent="0.3">
      <c r="K5529" t="s">
        <v>9388</v>
      </c>
    </row>
    <row r="5530" spans="11:11" x14ac:dyDescent="0.3">
      <c r="K5530" t="s">
        <v>10581</v>
      </c>
    </row>
    <row r="5531" spans="11:11" x14ac:dyDescent="0.3">
      <c r="K5531" t="s">
        <v>10580</v>
      </c>
    </row>
    <row r="5532" spans="11:11" x14ac:dyDescent="0.3">
      <c r="K5532" t="s">
        <v>10582</v>
      </c>
    </row>
    <row r="5533" spans="11:11" x14ac:dyDescent="0.3">
      <c r="K5533" t="s">
        <v>6799</v>
      </c>
    </row>
    <row r="5534" spans="11:11" x14ac:dyDescent="0.3">
      <c r="K5534" t="s">
        <v>10082</v>
      </c>
    </row>
    <row r="5535" spans="11:11" x14ac:dyDescent="0.3">
      <c r="K5535" t="s">
        <v>9389</v>
      </c>
    </row>
    <row r="5536" spans="11:11" x14ac:dyDescent="0.3">
      <c r="K5536" t="s">
        <v>7722</v>
      </c>
    </row>
    <row r="5537" spans="11:11" x14ac:dyDescent="0.3">
      <c r="K5537" t="s">
        <v>10583</v>
      </c>
    </row>
    <row r="5538" spans="11:11" x14ac:dyDescent="0.3">
      <c r="K5538" t="s">
        <v>7131</v>
      </c>
    </row>
    <row r="5539" spans="11:11" x14ac:dyDescent="0.3">
      <c r="K5539" t="s">
        <v>5793</v>
      </c>
    </row>
    <row r="5540" spans="11:11" x14ac:dyDescent="0.3">
      <c r="K5540" t="s">
        <v>6147</v>
      </c>
    </row>
    <row r="5541" spans="11:11" x14ac:dyDescent="0.3">
      <c r="K5541" t="s">
        <v>5776</v>
      </c>
    </row>
    <row r="5542" spans="11:11" x14ac:dyDescent="0.3">
      <c r="K5542" t="s">
        <v>8657</v>
      </c>
    </row>
    <row r="5543" spans="11:11" x14ac:dyDescent="0.3">
      <c r="K5543" t="s">
        <v>6148</v>
      </c>
    </row>
    <row r="5544" spans="11:11" x14ac:dyDescent="0.3">
      <c r="K5544" t="s">
        <v>9792</v>
      </c>
    </row>
    <row r="5545" spans="11:11" x14ac:dyDescent="0.3">
      <c r="K5545" t="s">
        <v>8578</v>
      </c>
    </row>
    <row r="5546" spans="11:11" x14ac:dyDescent="0.3">
      <c r="K5546" t="s">
        <v>8749</v>
      </c>
    </row>
    <row r="5547" spans="11:11" x14ac:dyDescent="0.3">
      <c r="K5547" t="s">
        <v>9390</v>
      </c>
    </row>
    <row r="5548" spans="11:11" x14ac:dyDescent="0.3">
      <c r="K5548" t="s">
        <v>9391</v>
      </c>
    </row>
    <row r="5549" spans="11:11" x14ac:dyDescent="0.3">
      <c r="K5549" t="s">
        <v>7723</v>
      </c>
    </row>
    <row r="5550" spans="11:11" x14ac:dyDescent="0.3">
      <c r="K5550" t="s">
        <v>6373</v>
      </c>
    </row>
    <row r="5551" spans="11:11" x14ac:dyDescent="0.3">
      <c r="K5551" t="s">
        <v>5931</v>
      </c>
    </row>
    <row r="5552" spans="11:11" x14ac:dyDescent="0.3">
      <c r="K5552" t="s">
        <v>7724</v>
      </c>
    </row>
    <row r="5553" spans="11:11" x14ac:dyDescent="0.3">
      <c r="K5553" t="s">
        <v>8579</v>
      </c>
    </row>
    <row r="5554" spans="11:11" x14ac:dyDescent="0.3">
      <c r="K5554" t="s">
        <v>9785</v>
      </c>
    </row>
    <row r="5555" spans="11:11" x14ac:dyDescent="0.3">
      <c r="K5555" t="s">
        <v>7725</v>
      </c>
    </row>
    <row r="5556" spans="11:11" x14ac:dyDescent="0.3">
      <c r="K5556" t="s">
        <v>10584</v>
      </c>
    </row>
    <row r="5557" spans="11:11" x14ac:dyDescent="0.3">
      <c r="K5557" t="s">
        <v>10083</v>
      </c>
    </row>
    <row r="5558" spans="11:11" x14ac:dyDescent="0.3">
      <c r="K5558" t="s">
        <v>5932</v>
      </c>
    </row>
    <row r="5559" spans="11:11" x14ac:dyDescent="0.3">
      <c r="K5559" t="s">
        <v>9793</v>
      </c>
    </row>
    <row r="5560" spans="11:11" x14ac:dyDescent="0.3">
      <c r="K5560" t="s">
        <v>10585</v>
      </c>
    </row>
    <row r="5561" spans="11:11" x14ac:dyDescent="0.3">
      <c r="K5561" t="s">
        <v>10084</v>
      </c>
    </row>
    <row r="5562" spans="11:11" x14ac:dyDescent="0.3">
      <c r="K5562" t="s">
        <v>5555</v>
      </c>
    </row>
    <row r="5563" spans="11:11" x14ac:dyDescent="0.3">
      <c r="K5563" t="s">
        <v>10085</v>
      </c>
    </row>
    <row r="5564" spans="11:11" x14ac:dyDescent="0.3">
      <c r="K5564" t="s">
        <v>10086</v>
      </c>
    </row>
    <row r="5565" spans="11:11" x14ac:dyDescent="0.3">
      <c r="K5565" t="s">
        <v>7132</v>
      </c>
    </row>
    <row r="5566" spans="11:11" x14ac:dyDescent="0.3">
      <c r="K5566" t="s">
        <v>5777</v>
      </c>
    </row>
    <row r="5567" spans="11:11" x14ac:dyDescent="0.3">
      <c r="K5567" t="s">
        <v>7726</v>
      </c>
    </row>
    <row r="5568" spans="11:11" x14ac:dyDescent="0.3">
      <c r="K5568" t="s">
        <v>6947</v>
      </c>
    </row>
    <row r="5569" spans="11:11" x14ac:dyDescent="0.3">
      <c r="K5569" t="s">
        <v>9392</v>
      </c>
    </row>
    <row r="5570" spans="11:11" x14ac:dyDescent="0.3">
      <c r="K5570" t="s">
        <v>6149</v>
      </c>
    </row>
    <row r="5571" spans="11:11" x14ac:dyDescent="0.3">
      <c r="K5571" t="s">
        <v>10087</v>
      </c>
    </row>
  </sheetData>
  <sheetProtection selectLockedCells="1" selectUnlockedCells="1"/>
  <sortState xmlns:xlrd2="http://schemas.microsoft.com/office/spreadsheetml/2017/richdata2" ref="G2:G20">
    <sortCondition ref="G2:G20"/>
  </sortState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13E23-D3AC-4DD9-8B7A-6CE210AD6CD4}">
  <sheetPr codeName="Planilha3"/>
  <dimension ref="A1:F232"/>
  <sheetViews>
    <sheetView workbookViewId="0">
      <selection activeCell="A23" sqref="A23"/>
    </sheetView>
  </sheetViews>
  <sheetFormatPr defaultRowHeight="14.4" x14ac:dyDescent="0.3"/>
  <cols>
    <col min="2" max="2" width="14" bestFit="1" customWidth="1"/>
    <col min="3" max="3" width="11.6640625" bestFit="1" customWidth="1"/>
    <col min="4" max="4" width="10.6640625" bestFit="1" customWidth="1"/>
    <col min="5" max="5" width="10.6640625" customWidth="1"/>
    <col min="6" max="6" width="15.88671875" bestFit="1" customWidth="1"/>
    <col min="11" max="11" width="11" bestFit="1" customWidth="1"/>
  </cols>
  <sheetData>
    <row r="1" spans="1:6" x14ac:dyDescent="0.3">
      <c r="A1" t="s">
        <v>2</v>
      </c>
      <c r="B1" t="s">
        <v>1</v>
      </c>
      <c r="C1" t="s">
        <v>5443</v>
      </c>
      <c r="D1" t="s">
        <v>4</v>
      </c>
      <c r="E1" t="s">
        <v>5461</v>
      </c>
      <c r="F1" t="s">
        <v>17</v>
      </c>
    </row>
    <row r="2" spans="1:6" x14ac:dyDescent="0.3">
      <c r="A2" t="s">
        <v>11143</v>
      </c>
      <c r="B2" s="5" t="s">
        <v>11144</v>
      </c>
      <c r="C2" s="5" t="s">
        <v>11145</v>
      </c>
      <c r="D2" t="s">
        <v>11146</v>
      </c>
      <c r="E2" t="s">
        <v>11054</v>
      </c>
      <c r="F2" s="4">
        <v>45756</v>
      </c>
    </row>
    <row r="3" spans="1:6" x14ac:dyDescent="0.3">
      <c r="B3" s="5"/>
      <c r="C3" s="5"/>
    </row>
    <row r="4" spans="1:6" x14ac:dyDescent="0.3">
      <c r="B4" s="5"/>
      <c r="C4" s="5"/>
    </row>
    <row r="5" spans="1:6" x14ac:dyDescent="0.3">
      <c r="B5" s="5"/>
      <c r="C5" s="5"/>
    </row>
    <row r="6" spans="1:6" x14ac:dyDescent="0.3">
      <c r="B6" s="5"/>
      <c r="C6" s="5"/>
    </row>
    <row r="7" spans="1:6" x14ac:dyDescent="0.3">
      <c r="B7" s="5"/>
      <c r="C7" s="5"/>
    </row>
    <row r="8" spans="1:6" x14ac:dyDescent="0.3">
      <c r="B8" s="5"/>
      <c r="C8" s="5"/>
    </row>
    <row r="9" spans="1:6" x14ac:dyDescent="0.3">
      <c r="B9" s="5"/>
      <c r="C9" s="5"/>
    </row>
    <row r="10" spans="1:6" x14ac:dyDescent="0.3">
      <c r="B10" s="5"/>
      <c r="C10" s="5"/>
    </row>
    <row r="11" spans="1:6" x14ac:dyDescent="0.3">
      <c r="B11" s="5"/>
      <c r="C11" s="5"/>
    </row>
    <row r="12" spans="1:6" x14ac:dyDescent="0.3">
      <c r="B12" s="5"/>
      <c r="C12" s="5"/>
    </row>
    <row r="13" spans="1:6" x14ac:dyDescent="0.3">
      <c r="B13" s="5"/>
      <c r="C13" s="5"/>
    </row>
    <row r="14" spans="1:6" x14ac:dyDescent="0.3">
      <c r="B14" s="5"/>
      <c r="C14" s="5"/>
    </row>
    <row r="15" spans="1:6" x14ac:dyDescent="0.3">
      <c r="B15" s="5"/>
      <c r="C15" s="5"/>
    </row>
    <row r="16" spans="1:6" x14ac:dyDescent="0.3">
      <c r="B16" s="5"/>
      <c r="C16" s="5"/>
    </row>
    <row r="17" spans="2:3" x14ac:dyDescent="0.3">
      <c r="B17" s="5"/>
      <c r="C17" s="5"/>
    </row>
    <row r="18" spans="2:3" x14ac:dyDescent="0.3">
      <c r="B18" s="5"/>
      <c r="C18" s="5"/>
    </row>
    <row r="19" spans="2:3" x14ac:dyDescent="0.3">
      <c r="B19" s="5"/>
      <c r="C19" s="5"/>
    </row>
    <row r="20" spans="2:3" x14ac:dyDescent="0.3">
      <c r="B20" s="5"/>
      <c r="C20" s="5"/>
    </row>
    <row r="21" spans="2:3" x14ac:dyDescent="0.3">
      <c r="B21" s="5"/>
      <c r="C21" s="5"/>
    </row>
    <row r="22" spans="2:3" x14ac:dyDescent="0.3">
      <c r="B22" s="5"/>
      <c r="C22" s="5"/>
    </row>
    <row r="23" spans="2:3" x14ac:dyDescent="0.3">
      <c r="B23" s="5"/>
      <c r="C23" s="5"/>
    </row>
    <row r="24" spans="2:3" x14ac:dyDescent="0.3">
      <c r="B24" s="5"/>
      <c r="C24" s="5"/>
    </row>
    <row r="25" spans="2:3" x14ac:dyDescent="0.3">
      <c r="B25" s="5"/>
      <c r="C25" s="5"/>
    </row>
    <row r="26" spans="2:3" x14ac:dyDescent="0.3">
      <c r="B26" s="5"/>
      <c r="C26" s="5"/>
    </row>
    <row r="27" spans="2:3" x14ac:dyDescent="0.3">
      <c r="B27" s="5"/>
      <c r="C27" s="5"/>
    </row>
    <row r="28" spans="2:3" x14ac:dyDescent="0.3">
      <c r="B28" s="5"/>
      <c r="C28" s="5"/>
    </row>
    <row r="29" spans="2:3" x14ac:dyDescent="0.3">
      <c r="B29" s="5"/>
      <c r="C29" s="5"/>
    </row>
    <row r="30" spans="2:3" x14ac:dyDescent="0.3">
      <c r="B30" s="5"/>
      <c r="C30" s="5"/>
    </row>
    <row r="31" spans="2:3" x14ac:dyDescent="0.3">
      <c r="B31" s="5"/>
      <c r="C31" s="5"/>
    </row>
    <row r="32" spans="2:3" x14ac:dyDescent="0.3">
      <c r="B32" s="5"/>
      <c r="C32" s="5"/>
    </row>
    <row r="33" spans="2:3" x14ac:dyDescent="0.3">
      <c r="B33" s="5"/>
      <c r="C33" s="5"/>
    </row>
    <row r="34" spans="2:3" x14ac:dyDescent="0.3">
      <c r="B34" s="5"/>
      <c r="C34" s="5"/>
    </row>
    <row r="35" spans="2:3" x14ac:dyDescent="0.3">
      <c r="B35" s="5"/>
      <c r="C35" s="5"/>
    </row>
    <row r="36" spans="2:3" x14ac:dyDescent="0.3">
      <c r="B36" s="5"/>
      <c r="C36" s="5"/>
    </row>
    <row r="37" spans="2:3" x14ac:dyDescent="0.3">
      <c r="B37" s="5"/>
      <c r="C37" s="5"/>
    </row>
    <row r="38" spans="2:3" x14ac:dyDescent="0.3">
      <c r="B38" s="5"/>
      <c r="C38" s="5"/>
    </row>
    <row r="39" spans="2:3" x14ac:dyDescent="0.3">
      <c r="B39" s="5"/>
      <c r="C39" s="5"/>
    </row>
    <row r="40" spans="2:3" x14ac:dyDescent="0.3">
      <c r="B40" s="5"/>
      <c r="C40" s="5"/>
    </row>
    <row r="41" spans="2:3" x14ac:dyDescent="0.3">
      <c r="B41" s="5"/>
      <c r="C41" s="5"/>
    </row>
    <row r="42" spans="2:3" x14ac:dyDescent="0.3">
      <c r="B42" s="5"/>
      <c r="C42" s="5"/>
    </row>
    <row r="43" spans="2:3" x14ac:dyDescent="0.3">
      <c r="B43" s="5"/>
      <c r="C43" s="5"/>
    </row>
    <row r="44" spans="2:3" x14ac:dyDescent="0.3">
      <c r="B44" s="5"/>
      <c r="C44" s="5"/>
    </row>
    <row r="45" spans="2:3" x14ac:dyDescent="0.3">
      <c r="B45" s="5"/>
      <c r="C45" s="5"/>
    </row>
    <row r="46" spans="2:3" x14ac:dyDescent="0.3">
      <c r="B46" s="5"/>
      <c r="C46" s="5"/>
    </row>
    <row r="47" spans="2:3" x14ac:dyDescent="0.3">
      <c r="B47" s="5"/>
      <c r="C47" s="5"/>
    </row>
    <row r="48" spans="2:3" x14ac:dyDescent="0.3">
      <c r="B48" s="5"/>
      <c r="C48" s="5"/>
    </row>
    <row r="49" spans="2:3" x14ac:dyDescent="0.3">
      <c r="B49" s="5"/>
      <c r="C49" s="5"/>
    </row>
    <row r="50" spans="2:3" x14ac:dyDescent="0.3">
      <c r="B50" s="5"/>
      <c r="C50" s="5"/>
    </row>
    <row r="51" spans="2:3" x14ac:dyDescent="0.3">
      <c r="B51" s="5"/>
      <c r="C51" s="5"/>
    </row>
    <row r="52" spans="2:3" x14ac:dyDescent="0.3">
      <c r="B52" s="5"/>
      <c r="C52" s="5"/>
    </row>
    <row r="53" spans="2:3" x14ac:dyDescent="0.3">
      <c r="B53" s="5"/>
      <c r="C53" s="5"/>
    </row>
    <row r="54" spans="2:3" x14ac:dyDescent="0.3">
      <c r="B54" s="5"/>
      <c r="C54" s="5"/>
    </row>
    <row r="55" spans="2:3" x14ac:dyDescent="0.3">
      <c r="B55" s="5"/>
      <c r="C55" s="5"/>
    </row>
    <row r="56" spans="2:3" x14ac:dyDescent="0.3">
      <c r="B56" s="5"/>
      <c r="C56" s="5"/>
    </row>
    <row r="57" spans="2:3" x14ac:dyDescent="0.3">
      <c r="B57" s="5"/>
      <c r="C57" s="5"/>
    </row>
    <row r="58" spans="2:3" x14ac:dyDescent="0.3">
      <c r="B58" s="5"/>
      <c r="C58" s="5"/>
    </row>
    <row r="59" spans="2:3" x14ac:dyDescent="0.3">
      <c r="B59" s="5"/>
      <c r="C59" s="5"/>
    </row>
    <row r="60" spans="2:3" x14ac:dyDescent="0.3">
      <c r="B60" s="5"/>
      <c r="C60" s="5"/>
    </row>
    <row r="61" spans="2:3" x14ac:dyDescent="0.3">
      <c r="B61" s="5"/>
      <c r="C61" s="5"/>
    </row>
    <row r="62" spans="2:3" x14ac:dyDescent="0.3">
      <c r="B62" s="5"/>
      <c r="C62" s="5"/>
    </row>
    <row r="63" spans="2:3" x14ac:dyDescent="0.3">
      <c r="B63" s="5"/>
      <c r="C63" s="5"/>
    </row>
    <row r="64" spans="2:3" x14ac:dyDescent="0.3">
      <c r="B64" s="5"/>
      <c r="C64" s="5"/>
    </row>
    <row r="65" spans="2:3" x14ac:dyDescent="0.3">
      <c r="B65" s="5"/>
      <c r="C65" s="5"/>
    </row>
    <row r="66" spans="2:3" x14ac:dyDescent="0.3">
      <c r="B66" s="5"/>
      <c r="C66" s="5"/>
    </row>
    <row r="67" spans="2:3" x14ac:dyDescent="0.3">
      <c r="B67" s="3"/>
      <c r="C67" s="5"/>
    </row>
    <row r="68" spans="2:3" x14ac:dyDescent="0.3">
      <c r="B68" s="3"/>
      <c r="C68" s="5"/>
    </row>
    <row r="69" spans="2:3" x14ac:dyDescent="0.3">
      <c r="B69" s="3"/>
      <c r="C69" s="5"/>
    </row>
    <row r="70" spans="2:3" x14ac:dyDescent="0.3">
      <c r="B70" s="3"/>
      <c r="C70" s="5"/>
    </row>
    <row r="71" spans="2:3" x14ac:dyDescent="0.3">
      <c r="B71" s="3"/>
      <c r="C71" s="5"/>
    </row>
    <row r="72" spans="2:3" x14ac:dyDescent="0.3">
      <c r="B72" s="3"/>
      <c r="C72" s="5"/>
    </row>
    <row r="73" spans="2:3" x14ac:dyDescent="0.3">
      <c r="B73" s="3"/>
      <c r="C73" s="5"/>
    </row>
    <row r="74" spans="2:3" x14ac:dyDescent="0.3">
      <c r="B74" s="3"/>
      <c r="C74" s="5"/>
    </row>
    <row r="75" spans="2:3" x14ac:dyDescent="0.3">
      <c r="B75" s="3"/>
      <c r="C75" s="5"/>
    </row>
    <row r="76" spans="2:3" x14ac:dyDescent="0.3">
      <c r="B76" s="3"/>
      <c r="C76" s="5"/>
    </row>
    <row r="77" spans="2:3" x14ac:dyDescent="0.3">
      <c r="B77" s="3"/>
      <c r="C77" s="5"/>
    </row>
    <row r="78" spans="2:3" x14ac:dyDescent="0.3">
      <c r="B78" s="3"/>
      <c r="C78" s="5"/>
    </row>
    <row r="79" spans="2:3" x14ac:dyDescent="0.3">
      <c r="B79" s="3"/>
      <c r="C79" s="5"/>
    </row>
    <row r="80" spans="2:3" x14ac:dyDescent="0.3">
      <c r="B80" s="3"/>
      <c r="C80" s="5"/>
    </row>
    <row r="81" spans="2:3" x14ac:dyDescent="0.3">
      <c r="B81" s="3"/>
      <c r="C81" s="5"/>
    </row>
    <row r="82" spans="2:3" x14ac:dyDescent="0.3">
      <c r="B82" s="3"/>
      <c r="C82" s="5"/>
    </row>
    <row r="83" spans="2:3" x14ac:dyDescent="0.3">
      <c r="B83" s="3"/>
      <c r="C83" s="5"/>
    </row>
    <row r="84" spans="2:3" x14ac:dyDescent="0.3">
      <c r="B84" s="3"/>
      <c r="C84" s="5"/>
    </row>
    <row r="85" spans="2:3" x14ac:dyDescent="0.3">
      <c r="B85" s="3"/>
      <c r="C85" s="5"/>
    </row>
    <row r="86" spans="2:3" x14ac:dyDescent="0.3">
      <c r="B86" s="3"/>
      <c r="C86" s="5"/>
    </row>
    <row r="87" spans="2:3" x14ac:dyDescent="0.3">
      <c r="B87" s="3"/>
      <c r="C87" s="5"/>
    </row>
    <row r="88" spans="2:3" x14ac:dyDescent="0.3">
      <c r="B88" s="3"/>
      <c r="C88" s="5"/>
    </row>
    <row r="89" spans="2:3" x14ac:dyDescent="0.3">
      <c r="B89" s="3"/>
      <c r="C89" s="5"/>
    </row>
    <row r="90" spans="2:3" x14ac:dyDescent="0.3">
      <c r="B90" s="3"/>
      <c r="C90" s="5"/>
    </row>
    <row r="91" spans="2:3" x14ac:dyDescent="0.3">
      <c r="B91" s="3"/>
      <c r="C91" s="5"/>
    </row>
    <row r="92" spans="2:3" x14ac:dyDescent="0.3">
      <c r="B92" s="3"/>
      <c r="C92" s="5"/>
    </row>
    <row r="93" spans="2:3" x14ac:dyDescent="0.3">
      <c r="B93" s="3"/>
      <c r="C93" s="5"/>
    </row>
    <row r="94" spans="2:3" x14ac:dyDescent="0.3">
      <c r="B94" s="3"/>
      <c r="C94" s="5"/>
    </row>
    <row r="95" spans="2:3" x14ac:dyDescent="0.3">
      <c r="B95" s="3"/>
      <c r="C95" s="5"/>
    </row>
    <row r="96" spans="2:3" x14ac:dyDescent="0.3">
      <c r="B96" s="3"/>
      <c r="C96" s="5"/>
    </row>
    <row r="97" spans="2:3" x14ac:dyDescent="0.3">
      <c r="B97" s="3"/>
      <c r="C97" s="5"/>
    </row>
    <row r="98" spans="2:3" x14ac:dyDescent="0.3">
      <c r="B98" s="3"/>
      <c r="C98" s="5"/>
    </row>
    <row r="99" spans="2:3" x14ac:dyDescent="0.3">
      <c r="B99" s="3"/>
      <c r="C99" s="5"/>
    </row>
    <row r="100" spans="2:3" x14ac:dyDescent="0.3">
      <c r="B100" s="3"/>
      <c r="C100" s="5"/>
    </row>
    <row r="101" spans="2:3" x14ac:dyDescent="0.3">
      <c r="B101" s="3"/>
      <c r="C101" s="5"/>
    </row>
    <row r="102" spans="2:3" x14ac:dyDescent="0.3">
      <c r="B102" s="3"/>
      <c r="C102" s="5"/>
    </row>
    <row r="103" spans="2:3" x14ac:dyDescent="0.3">
      <c r="B103" s="3"/>
      <c r="C103" s="5"/>
    </row>
    <row r="104" spans="2:3" x14ac:dyDescent="0.3">
      <c r="B104" s="3"/>
      <c r="C104" s="5"/>
    </row>
    <row r="105" spans="2:3" x14ac:dyDescent="0.3">
      <c r="B105" s="3"/>
      <c r="C105" s="5"/>
    </row>
    <row r="106" spans="2:3" x14ac:dyDescent="0.3">
      <c r="B106" s="3"/>
      <c r="C106" s="5"/>
    </row>
    <row r="107" spans="2:3" x14ac:dyDescent="0.3">
      <c r="B107" s="3"/>
      <c r="C107" s="5"/>
    </row>
    <row r="108" spans="2:3" x14ac:dyDescent="0.3">
      <c r="B108" s="3"/>
      <c r="C108" s="5"/>
    </row>
    <row r="109" spans="2:3" x14ac:dyDescent="0.3">
      <c r="B109" s="3"/>
      <c r="C109" s="5"/>
    </row>
    <row r="110" spans="2:3" x14ac:dyDescent="0.3">
      <c r="B110" s="3"/>
      <c r="C110" s="5"/>
    </row>
    <row r="111" spans="2:3" x14ac:dyDescent="0.3">
      <c r="B111" s="3"/>
      <c r="C111" s="5"/>
    </row>
    <row r="112" spans="2:3" x14ac:dyDescent="0.3">
      <c r="B112" s="3"/>
      <c r="C112" s="5"/>
    </row>
    <row r="113" spans="2:3" x14ac:dyDescent="0.3">
      <c r="B113" s="3"/>
      <c r="C113" s="5"/>
    </row>
    <row r="114" spans="2:3" x14ac:dyDescent="0.3">
      <c r="B114" s="3"/>
      <c r="C114" s="5"/>
    </row>
    <row r="115" spans="2:3" x14ac:dyDescent="0.3">
      <c r="B115" s="3"/>
      <c r="C115" s="5"/>
    </row>
    <row r="116" spans="2:3" x14ac:dyDescent="0.3">
      <c r="B116" s="3"/>
      <c r="C116" s="5"/>
    </row>
    <row r="117" spans="2:3" x14ac:dyDescent="0.3">
      <c r="B117" s="3"/>
      <c r="C117" s="5"/>
    </row>
    <row r="118" spans="2:3" x14ac:dyDescent="0.3">
      <c r="B118" s="3"/>
      <c r="C118" s="5"/>
    </row>
    <row r="119" spans="2:3" x14ac:dyDescent="0.3">
      <c r="B119" s="3"/>
      <c r="C119" s="5"/>
    </row>
    <row r="120" spans="2:3" x14ac:dyDescent="0.3">
      <c r="B120" s="3"/>
      <c r="C120" s="5"/>
    </row>
    <row r="121" spans="2:3" x14ac:dyDescent="0.3">
      <c r="B121" s="3"/>
      <c r="C121" s="5"/>
    </row>
    <row r="122" spans="2:3" x14ac:dyDescent="0.3">
      <c r="B122" s="3"/>
      <c r="C122" s="5"/>
    </row>
    <row r="123" spans="2:3" x14ac:dyDescent="0.3">
      <c r="B123" s="3"/>
      <c r="C123" s="5"/>
    </row>
    <row r="124" spans="2:3" x14ac:dyDescent="0.3">
      <c r="B124" s="3"/>
      <c r="C124" s="5"/>
    </row>
    <row r="125" spans="2:3" x14ac:dyDescent="0.3">
      <c r="B125" s="3"/>
      <c r="C125" s="5"/>
    </row>
    <row r="126" spans="2:3" x14ac:dyDescent="0.3">
      <c r="B126" s="3"/>
      <c r="C126" s="5"/>
    </row>
    <row r="127" spans="2:3" x14ac:dyDescent="0.3">
      <c r="B127" s="3"/>
      <c r="C127" s="5"/>
    </row>
    <row r="128" spans="2:3" x14ac:dyDescent="0.3">
      <c r="B128" s="3"/>
      <c r="C128" s="5"/>
    </row>
    <row r="129" spans="2:3" x14ac:dyDescent="0.3">
      <c r="B129" s="3"/>
      <c r="C129" s="5"/>
    </row>
    <row r="130" spans="2:3" x14ac:dyDescent="0.3">
      <c r="B130" s="3"/>
      <c r="C130" s="5"/>
    </row>
    <row r="131" spans="2:3" x14ac:dyDescent="0.3">
      <c r="B131" s="3"/>
      <c r="C131" s="5"/>
    </row>
    <row r="132" spans="2:3" x14ac:dyDescent="0.3">
      <c r="B132" s="3"/>
      <c r="C132" s="5"/>
    </row>
    <row r="133" spans="2:3" x14ac:dyDescent="0.3">
      <c r="B133" s="3"/>
      <c r="C133" s="5"/>
    </row>
    <row r="134" spans="2:3" x14ac:dyDescent="0.3">
      <c r="B134" s="3"/>
      <c r="C134" s="5"/>
    </row>
    <row r="135" spans="2:3" x14ac:dyDescent="0.3">
      <c r="B135" s="3"/>
      <c r="C135" s="5"/>
    </row>
    <row r="136" spans="2:3" x14ac:dyDescent="0.3">
      <c r="B136" s="3"/>
      <c r="C136" s="5"/>
    </row>
    <row r="137" spans="2:3" x14ac:dyDescent="0.3">
      <c r="B137" s="3"/>
      <c r="C137" s="5"/>
    </row>
    <row r="138" spans="2:3" x14ac:dyDescent="0.3">
      <c r="B138" s="3"/>
      <c r="C138" s="5"/>
    </row>
    <row r="139" spans="2:3" x14ac:dyDescent="0.3">
      <c r="B139" s="3"/>
      <c r="C139" s="5"/>
    </row>
    <row r="140" spans="2:3" x14ac:dyDescent="0.3">
      <c r="B140" s="3"/>
      <c r="C140" s="5"/>
    </row>
    <row r="141" spans="2:3" x14ac:dyDescent="0.3">
      <c r="B141" s="3"/>
      <c r="C141" s="5"/>
    </row>
    <row r="142" spans="2:3" x14ac:dyDescent="0.3">
      <c r="B142" s="3"/>
      <c r="C142" s="5"/>
    </row>
    <row r="143" spans="2:3" x14ac:dyDescent="0.3">
      <c r="B143" s="3"/>
      <c r="C143" s="5"/>
    </row>
    <row r="144" spans="2:3" x14ac:dyDescent="0.3">
      <c r="B144" s="3"/>
      <c r="C144" s="5"/>
    </row>
    <row r="145" spans="2:3" x14ac:dyDescent="0.3">
      <c r="B145" s="3"/>
      <c r="C145" s="5"/>
    </row>
    <row r="146" spans="2:3" x14ac:dyDescent="0.3">
      <c r="B146" s="3"/>
      <c r="C146" s="5"/>
    </row>
    <row r="147" spans="2:3" x14ac:dyDescent="0.3">
      <c r="B147" s="3"/>
      <c r="C147" s="5"/>
    </row>
    <row r="148" spans="2:3" x14ac:dyDescent="0.3">
      <c r="B148" s="3"/>
      <c r="C148" s="5"/>
    </row>
    <row r="149" spans="2:3" x14ac:dyDescent="0.3">
      <c r="B149" s="3"/>
      <c r="C149" s="5"/>
    </row>
    <row r="150" spans="2:3" x14ac:dyDescent="0.3">
      <c r="B150" s="3"/>
      <c r="C150" s="5"/>
    </row>
    <row r="151" spans="2:3" x14ac:dyDescent="0.3">
      <c r="B151" s="3"/>
      <c r="C151" s="5"/>
    </row>
    <row r="152" spans="2:3" x14ac:dyDescent="0.3">
      <c r="B152" s="3"/>
      <c r="C152" s="5"/>
    </row>
    <row r="153" spans="2:3" x14ac:dyDescent="0.3">
      <c r="B153" s="3"/>
      <c r="C153" s="5"/>
    </row>
    <row r="154" spans="2:3" x14ac:dyDescent="0.3">
      <c r="B154" s="3"/>
      <c r="C154" s="5"/>
    </row>
    <row r="155" spans="2:3" x14ac:dyDescent="0.3">
      <c r="B155" s="3"/>
      <c r="C155" s="5"/>
    </row>
    <row r="156" spans="2:3" x14ac:dyDescent="0.3">
      <c r="B156" s="3"/>
      <c r="C156" s="5"/>
    </row>
    <row r="157" spans="2:3" x14ac:dyDescent="0.3">
      <c r="B157" s="3"/>
      <c r="C157" s="5"/>
    </row>
    <row r="158" spans="2:3" x14ac:dyDescent="0.3">
      <c r="B158" s="3"/>
      <c r="C158" s="5"/>
    </row>
    <row r="159" spans="2:3" x14ac:dyDescent="0.3">
      <c r="B159" s="3"/>
      <c r="C159" s="5"/>
    </row>
    <row r="160" spans="2:3" x14ac:dyDescent="0.3">
      <c r="B160" s="3"/>
      <c r="C160" s="5"/>
    </row>
    <row r="161" spans="2:3" x14ac:dyDescent="0.3">
      <c r="B161" s="3"/>
      <c r="C161" s="5"/>
    </row>
    <row r="162" spans="2:3" x14ac:dyDescent="0.3">
      <c r="B162" s="3"/>
      <c r="C162" s="5"/>
    </row>
    <row r="163" spans="2:3" x14ac:dyDescent="0.3">
      <c r="B163" s="3"/>
      <c r="C163" s="5"/>
    </row>
    <row r="164" spans="2:3" x14ac:dyDescent="0.3">
      <c r="B164" s="3"/>
      <c r="C164" s="5"/>
    </row>
    <row r="165" spans="2:3" x14ac:dyDescent="0.3">
      <c r="B165" s="3"/>
      <c r="C165" s="5"/>
    </row>
    <row r="166" spans="2:3" x14ac:dyDescent="0.3">
      <c r="B166" s="3"/>
      <c r="C166" s="5"/>
    </row>
    <row r="167" spans="2:3" x14ac:dyDescent="0.3">
      <c r="B167" s="3"/>
      <c r="C167" s="5"/>
    </row>
    <row r="168" spans="2:3" x14ac:dyDescent="0.3">
      <c r="B168" s="3"/>
      <c r="C168" s="5"/>
    </row>
    <row r="169" spans="2:3" x14ac:dyDescent="0.3">
      <c r="B169" s="3"/>
      <c r="C169" s="5"/>
    </row>
    <row r="170" spans="2:3" x14ac:dyDescent="0.3">
      <c r="B170" s="3"/>
      <c r="C170" s="5"/>
    </row>
    <row r="171" spans="2:3" x14ac:dyDescent="0.3">
      <c r="B171" s="3"/>
      <c r="C171" s="5"/>
    </row>
    <row r="172" spans="2:3" x14ac:dyDescent="0.3">
      <c r="B172" s="3"/>
      <c r="C172" s="5"/>
    </row>
    <row r="173" spans="2:3" x14ac:dyDescent="0.3">
      <c r="B173" s="3"/>
      <c r="C173" s="5"/>
    </row>
    <row r="174" spans="2:3" x14ac:dyDescent="0.3">
      <c r="B174" s="3"/>
      <c r="C174" s="5"/>
    </row>
    <row r="175" spans="2:3" x14ac:dyDescent="0.3">
      <c r="B175" s="3"/>
      <c r="C175" s="5"/>
    </row>
    <row r="176" spans="2:3" x14ac:dyDescent="0.3">
      <c r="B176" s="3"/>
      <c r="C176" s="5"/>
    </row>
    <row r="177" spans="2:3" x14ac:dyDescent="0.3">
      <c r="B177" s="3"/>
      <c r="C177" s="5"/>
    </row>
    <row r="178" spans="2:3" x14ac:dyDescent="0.3">
      <c r="B178" s="3"/>
      <c r="C178" s="5"/>
    </row>
    <row r="179" spans="2:3" x14ac:dyDescent="0.3">
      <c r="B179" s="3"/>
      <c r="C179" s="5"/>
    </row>
    <row r="180" spans="2:3" x14ac:dyDescent="0.3">
      <c r="B180" s="3"/>
      <c r="C180" s="5"/>
    </row>
    <row r="181" spans="2:3" x14ac:dyDescent="0.3">
      <c r="B181" s="3"/>
      <c r="C181" s="5"/>
    </row>
    <row r="182" spans="2:3" x14ac:dyDescent="0.3">
      <c r="B182" s="3"/>
      <c r="C182" s="5"/>
    </row>
    <row r="183" spans="2:3" x14ac:dyDescent="0.3">
      <c r="B183" s="3"/>
      <c r="C183" s="5"/>
    </row>
    <row r="184" spans="2:3" x14ac:dyDescent="0.3">
      <c r="B184" s="3"/>
      <c r="C184" s="5"/>
    </row>
    <row r="185" spans="2:3" x14ac:dyDescent="0.3">
      <c r="B185" s="3"/>
      <c r="C185" s="5"/>
    </row>
    <row r="186" spans="2:3" x14ac:dyDescent="0.3">
      <c r="B186" s="3"/>
      <c r="C186" s="5"/>
    </row>
    <row r="187" spans="2:3" x14ac:dyDescent="0.3">
      <c r="B187" s="3"/>
      <c r="C187" s="5"/>
    </row>
    <row r="188" spans="2:3" x14ac:dyDescent="0.3">
      <c r="B188" s="3"/>
      <c r="C188" s="5"/>
    </row>
    <row r="189" spans="2:3" x14ac:dyDescent="0.3">
      <c r="B189" s="3"/>
      <c r="C189" s="5"/>
    </row>
    <row r="190" spans="2:3" x14ac:dyDescent="0.3">
      <c r="B190" s="3"/>
      <c r="C190" s="5"/>
    </row>
    <row r="191" spans="2:3" x14ac:dyDescent="0.3">
      <c r="B191" s="3"/>
      <c r="C191" s="5"/>
    </row>
    <row r="192" spans="2:3" x14ac:dyDescent="0.3">
      <c r="B192" s="3"/>
      <c r="C192" s="5"/>
    </row>
    <row r="193" spans="2:3" x14ac:dyDescent="0.3">
      <c r="B193" s="3"/>
      <c r="C193" s="5"/>
    </row>
    <row r="194" spans="2:3" x14ac:dyDescent="0.3">
      <c r="B194" s="3"/>
      <c r="C194" s="5"/>
    </row>
    <row r="195" spans="2:3" x14ac:dyDescent="0.3">
      <c r="B195" s="3"/>
      <c r="C195" s="5"/>
    </row>
    <row r="196" spans="2:3" x14ac:dyDescent="0.3">
      <c r="B196" s="3"/>
      <c r="C196" s="5"/>
    </row>
    <row r="197" spans="2:3" x14ac:dyDescent="0.3">
      <c r="B197" s="3"/>
      <c r="C197" s="5"/>
    </row>
    <row r="198" spans="2:3" x14ac:dyDescent="0.3">
      <c r="B198" s="3"/>
      <c r="C198" s="5"/>
    </row>
    <row r="199" spans="2:3" x14ac:dyDescent="0.3">
      <c r="B199" s="3"/>
      <c r="C199" s="5"/>
    </row>
    <row r="200" spans="2:3" x14ac:dyDescent="0.3">
      <c r="B200" s="3"/>
      <c r="C200" s="5"/>
    </row>
    <row r="201" spans="2:3" x14ac:dyDescent="0.3">
      <c r="B201" s="3"/>
      <c r="C201" s="5"/>
    </row>
    <row r="202" spans="2:3" x14ac:dyDescent="0.3">
      <c r="B202" s="3"/>
      <c r="C202" s="5"/>
    </row>
    <row r="203" spans="2:3" x14ac:dyDescent="0.3">
      <c r="B203" s="3"/>
      <c r="C203" s="5"/>
    </row>
    <row r="204" spans="2:3" x14ac:dyDescent="0.3">
      <c r="B204" s="3"/>
      <c r="C204" s="5"/>
    </row>
    <row r="205" spans="2:3" x14ac:dyDescent="0.3">
      <c r="B205" s="3"/>
      <c r="C205" s="5"/>
    </row>
    <row r="206" spans="2:3" x14ac:dyDescent="0.3">
      <c r="B206" s="3"/>
      <c r="C206" s="5"/>
    </row>
    <row r="207" spans="2:3" x14ac:dyDescent="0.3">
      <c r="B207" s="3"/>
      <c r="C207" s="5"/>
    </row>
    <row r="208" spans="2:3" x14ac:dyDescent="0.3">
      <c r="B208" s="3"/>
      <c r="C208" s="5"/>
    </row>
    <row r="209" spans="2:3" x14ac:dyDescent="0.3">
      <c r="B209" s="3"/>
      <c r="C209" s="5"/>
    </row>
    <row r="210" spans="2:3" x14ac:dyDescent="0.3">
      <c r="B210" s="3"/>
      <c r="C210" s="5"/>
    </row>
    <row r="211" spans="2:3" x14ac:dyDescent="0.3">
      <c r="B211" s="3"/>
      <c r="C211" s="5"/>
    </row>
    <row r="212" spans="2:3" x14ac:dyDescent="0.3">
      <c r="B212" s="3"/>
      <c r="C212" s="5"/>
    </row>
    <row r="213" spans="2:3" x14ac:dyDescent="0.3">
      <c r="B213" s="3"/>
      <c r="C213" s="5"/>
    </row>
    <row r="214" spans="2:3" x14ac:dyDescent="0.3">
      <c r="B214" s="3"/>
      <c r="C214" s="5"/>
    </row>
    <row r="215" spans="2:3" x14ac:dyDescent="0.3">
      <c r="B215" s="3"/>
      <c r="C215" s="5"/>
    </row>
    <row r="216" spans="2:3" x14ac:dyDescent="0.3">
      <c r="B216" s="3"/>
      <c r="C216" s="5"/>
    </row>
    <row r="217" spans="2:3" x14ac:dyDescent="0.3">
      <c r="B217" s="3"/>
      <c r="C217" s="5"/>
    </row>
    <row r="218" spans="2:3" x14ac:dyDescent="0.3">
      <c r="B218" s="3"/>
      <c r="C218" s="5"/>
    </row>
    <row r="219" spans="2:3" x14ac:dyDescent="0.3">
      <c r="B219" s="3"/>
      <c r="C219" s="5"/>
    </row>
    <row r="220" spans="2:3" x14ac:dyDescent="0.3">
      <c r="B220" s="3"/>
      <c r="C220" s="5"/>
    </row>
    <row r="221" spans="2:3" x14ac:dyDescent="0.3">
      <c r="B221" s="3"/>
      <c r="C221" s="5"/>
    </row>
    <row r="222" spans="2:3" x14ac:dyDescent="0.3">
      <c r="B222" s="3"/>
      <c r="C222" s="5"/>
    </row>
    <row r="223" spans="2:3" x14ac:dyDescent="0.3">
      <c r="B223" s="3"/>
    </row>
    <row r="224" spans="2:3" x14ac:dyDescent="0.3">
      <c r="B224" s="3"/>
    </row>
    <row r="225" spans="2:2" x14ac:dyDescent="0.3">
      <c r="B225" s="3"/>
    </row>
    <row r="226" spans="2:2" x14ac:dyDescent="0.3">
      <c r="B226" s="3"/>
    </row>
    <row r="227" spans="2:2" x14ac:dyDescent="0.3">
      <c r="B227" s="3"/>
    </row>
    <row r="228" spans="2:2" x14ac:dyDescent="0.3">
      <c r="B228" s="3"/>
    </row>
    <row r="229" spans="2:2" x14ac:dyDescent="0.3">
      <c r="B229" s="3"/>
    </row>
    <row r="230" spans="2:2" x14ac:dyDescent="0.3">
      <c r="B230" s="3"/>
    </row>
    <row r="231" spans="2:2" x14ac:dyDescent="0.3">
      <c r="B231" s="3"/>
    </row>
    <row r="232" spans="2:2" x14ac:dyDescent="0.3">
      <c r="B232" s="3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778FE-FBB0-445F-9E36-0D4C7818F733}">
  <sheetPr codeName="Planilha5"/>
  <dimension ref="A1:J15"/>
  <sheetViews>
    <sheetView workbookViewId="0">
      <selection activeCell="K3" sqref="K3"/>
    </sheetView>
  </sheetViews>
  <sheetFormatPr defaultRowHeight="14.4" x14ac:dyDescent="0.3"/>
  <cols>
    <col min="1" max="1" width="17.6640625" bestFit="1" customWidth="1"/>
    <col min="2" max="2" width="14.44140625" bestFit="1" customWidth="1"/>
    <col min="4" max="4" width="13.44140625" bestFit="1" customWidth="1"/>
    <col min="6" max="6" width="15.5546875" bestFit="1" customWidth="1"/>
    <col min="8" max="8" width="12.33203125" bestFit="1" customWidth="1"/>
    <col min="9" max="9" width="15.88671875" bestFit="1" customWidth="1"/>
  </cols>
  <sheetData>
    <row r="1" spans="1:10" x14ac:dyDescent="0.3">
      <c r="A1" t="s">
        <v>54</v>
      </c>
      <c r="B1" t="s">
        <v>5471</v>
      </c>
      <c r="C1" t="s">
        <v>11</v>
      </c>
      <c r="D1" t="s">
        <v>12</v>
      </c>
      <c r="E1" t="s">
        <v>13</v>
      </c>
      <c r="F1" t="s">
        <v>14</v>
      </c>
      <c r="G1" t="s">
        <v>15</v>
      </c>
      <c r="H1" t="s">
        <v>16</v>
      </c>
      <c r="I1" t="s">
        <v>18</v>
      </c>
      <c r="J1" t="s">
        <v>46</v>
      </c>
    </row>
    <row r="2" spans="1:10" x14ac:dyDescent="0.3">
      <c r="B2" s="7"/>
      <c r="I2" s="4"/>
    </row>
    <row r="3" spans="1:10" x14ac:dyDescent="0.3">
      <c r="B3" s="7"/>
      <c r="I3" s="4"/>
    </row>
    <row r="4" spans="1:10" x14ac:dyDescent="0.3">
      <c r="B4" s="7"/>
      <c r="I4" s="6"/>
    </row>
    <row r="5" spans="1:10" x14ac:dyDescent="0.3">
      <c r="B5" s="7"/>
      <c r="I5" s="6"/>
    </row>
    <row r="6" spans="1:10" x14ac:dyDescent="0.3">
      <c r="B6" s="7"/>
      <c r="I6" s="6"/>
    </row>
    <row r="7" spans="1:10" x14ac:dyDescent="0.3">
      <c r="B7" s="7"/>
      <c r="I7" s="6"/>
    </row>
    <row r="8" spans="1:10" x14ac:dyDescent="0.3">
      <c r="B8" s="7"/>
      <c r="I8" s="6"/>
    </row>
    <row r="9" spans="1:10" x14ac:dyDescent="0.3">
      <c r="B9" s="7"/>
      <c r="I9" s="6"/>
    </row>
    <row r="10" spans="1:10" x14ac:dyDescent="0.3">
      <c r="B10" s="7"/>
      <c r="I10" s="6"/>
    </row>
    <row r="11" spans="1:10" x14ac:dyDescent="0.3">
      <c r="B11" s="7"/>
      <c r="I11" s="6"/>
    </row>
    <row r="12" spans="1:10" x14ac:dyDescent="0.3">
      <c r="I12" s="6"/>
    </row>
    <row r="13" spans="1:10" x14ac:dyDescent="0.3">
      <c r="I13" s="6"/>
    </row>
    <row r="14" spans="1:10" x14ac:dyDescent="0.3">
      <c r="I14" s="6"/>
    </row>
    <row r="15" spans="1:10" x14ac:dyDescent="0.3">
      <c r="I15" s="6"/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17079-7612-4CE5-9D49-66C1CC19C116}">
  <sheetPr codeName="Planilha12"/>
  <dimension ref="A1:G3"/>
  <sheetViews>
    <sheetView workbookViewId="0">
      <selection activeCell="A2" sqref="A2"/>
    </sheetView>
  </sheetViews>
  <sheetFormatPr defaultRowHeight="14.4" x14ac:dyDescent="0.3"/>
  <cols>
    <col min="6" max="6" width="12.44140625" bestFit="1" customWidth="1"/>
    <col min="7" max="7" width="15.88671875" bestFit="1" customWidth="1"/>
  </cols>
  <sheetData>
    <row r="1" spans="1:7" x14ac:dyDescent="0.3">
      <c r="A1" t="s">
        <v>88</v>
      </c>
      <c r="B1" t="s">
        <v>5428</v>
      </c>
      <c r="C1" t="s">
        <v>5447</v>
      </c>
      <c r="D1" t="s">
        <v>5448</v>
      </c>
      <c r="E1" t="s">
        <v>5449</v>
      </c>
      <c r="F1" t="s">
        <v>89</v>
      </c>
      <c r="G1" t="s">
        <v>5450</v>
      </c>
    </row>
    <row r="2" spans="1:7" x14ac:dyDescent="0.3">
      <c r="G2" s="6"/>
    </row>
    <row r="3" spans="1:7" x14ac:dyDescent="0.3">
      <c r="G3" s="6"/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42486-2408-40D5-8F4E-68DB260B60A6}">
  <sheetPr codeName="Planilha7"/>
  <dimension ref="A1:O7"/>
  <sheetViews>
    <sheetView workbookViewId="0">
      <selection activeCell="L5" sqref="L5"/>
    </sheetView>
  </sheetViews>
  <sheetFormatPr defaultRowHeight="14.4" x14ac:dyDescent="0.3"/>
  <cols>
    <col min="2" max="6" width="20.5546875" customWidth="1"/>
    <col min="14" max="14" width="15.88671875" bestFit="1" customWidth="1"/>
  </cols>
  <sheetData>
    <row r="1" spans="1:15" x14ac:dyDescent="0.3">
      <c r="A1" t="s">
        <v>5439</v>
      </c>
      <c r="B1" t="s">
        <v>87</v>
      </c>
      <c r="C1" t="s">
        <v>88</v>
      </c>
      <c r="D1" t="s">
        <v>89</v>
      </c>
      <c r="E1" t="s">
        <v>90</v>
      </c>
      <c r="F1" t="s">
        <v>91</v>
      </c>
      <c r="G1" t="s">
        <v>92</v>
      </c>
      <c r="H1" t="s">
        <v>93</v>
      </c>
      <c r="I1" t="s">
        <v>94</v>
      </c>
      <c r="J1" t="s">
        <v>95</v>
      </c>
      <c r="K1" t="s">
        <v>5440</v>
      </c>
      <c r="L1" t="s">
        <v>5441</v>
      </c>
      <c r="M1" t="s">
        <v>5442</v>
      </c>
      <c r="N1" t="s">
        <v>96</v>
      </c>
      <c r="O1" t="s">
        <v>46</v>
      </c>
    </row>
    <row r="2" spans="1:15" x14ac:dyDescent="0.3">
      <c r="D2" s="7"/>
      <c r="E2" s="7"/>
      <c r="F2" s="7"/>
      <c r="N2" s="6"/>
    </row>
    <row r="3" spans="1:15" x14ac:dyDescent="0.3">
      <c r="D3" s="7"/>
      <c r="E3" s="7"/>
      <c r="F3" s="7"/>
      <c r="N3" s="6"/>
    </row>
    <row r="4" spans="1:15" x14ac:dyDescent="0.3">
      <c r="D4" s="7"/>
      <c r="E4" s="7"/>
      <c r="F4" s="7"/>
      <c r="N4" s="6"/>
    </row>
    <row r="5" spans="1:15" x14ac:dyDescent="0.3">
      <c r="D5" s="7"/>
      <c r="E5" s="7"/>
      <c r="F5" s="7"/>
      <c r="N5" s="6"/>
    </row>
    <row r="6" spans="1:15" x14ac:dyDescent="0.3">
      <c r="D6" s="7"/>
      <c r="E6" s="7"/>
      <c r="F6" s="7"/>
      <c r="N6" s="6"/>
    </row>
    <row r="7" spans="1:15" x14ac:dyDescent="0.3">
      <c r="D7" s="7"/>
      <c r="E7" s="7"/>
      <c r="F7" s="7"/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BE744-6FF7-46A5-9A77-66883A5B33B0}">
  <sheetPr codeName="Planilha8"/>
  <dimension ref="A1:Q24"/>
  <sheetViews>
    <sheetView workbookViewId="0">
      <selection activeCell="L5" sqref="L5"/>
    </sheetView>
  </sheetViews>
  <sheetFormatPr defaultRowHeight="14.4" x14ac:dyDescent="0.3"/>
  <cols>
    <col min="1" max="5" width="20.5546875" customWidth="1"/>
    <col min="11" max="11" width="15.88671875" bestFit="1" customWidth="1"/>
    <col min="14" max="14" width="14" bestFit="1" customWidth="1"/>
  </cols>
  <sheetData>
    <row r="1" spans="1:17" x14ac:dyDescent="0.3">
      <c r="A1" t="s">
        <v>5439</v>
      </c>
      <c r="B1" t="s">
        <v>87</v>
      </c>
      <c r="C1" t="s">
        <v>88</v>
      </c>
      <c r="D1" t="s">
        <v>89</v>
      </c>
      <c r="E1" t="s">
        <v>90</v>
      </c>
      <c r="F1" t="s">
        <v>91</v>
      </c>
      <c r="N1" t="str" cm="1">
        <f t="array" aca="1" ref="N1:N3" ca="1">_xlfn.UNIQUE(IF(A:A&lt;&gt;"",A:A,""))</f>
        <v>Fazenda</v>
      </c>
      <c r="Q1" t="s">
        <v>97</v>
      </c>
    </row>
    <row r="2" spans="1:17" x14ac:dyDescent="0.3">
      <c r="A2" s="8" cm="1">
        <f t="array" aca="1" ref="A2" ca="1">IFERROR(_xlfn._xlws.SORT(IF(producao_sim=1,graos_sim,""),{1;2;3},{-1;1;1}),0)</f>
        <v>0</v>
      </c>
      <c r="C2" s="7"/>
      <c r="D2" s="7"/>
      <c r="E2" s="7"/>
      <c r="N2">
        <f ca="1"/>
        <v>0</v>
      </c>
      <c r="O2" cm="1">
        <f t="array" aca="1" ref="O2" ca="1">IF(N2="","",SUM(--ISERROR(MATCH(N2&amp;$Q$2:$Q$6,$A$2:$A$39&amp;$B$2:$B$39,0))))</f>
        <v>5</v>
      </c>
      <c r="Q2" t="str">
        <f ca="1">TEXT(EDATE(TODAY(),(ROW()-4)*12),"AA")&amp;"/"&amp;TEXT(EDATE(TODAY(),((ROW()-3)*12)),"AA")</f>
        <v>23/24</v>
      </c>
    </row>
    <row r="3" spans="1:17" x14ac:dyDescent="0.3">
      <c r="C3" s="7"/>
      <c r="D3" s="7"/>
      <c r="E3" s="7"/>
      <c r="K3" s="7"/>
      <c r="N3" t="str">
        <f ca="1"/>
        <v/>
      </c>
      <c r="O3" t="str" cm="1">
        <f t="array" aca="1" ref="O3" ca="1">IF(N3="","",SUM(--ISERROR(MATCH(N3&amp;$Q$2:$Q$6,$A$2:$A$39&amp;$B$2:$B$39,0))))</f>
        <v/>
      </c>
      <c r="Q3" t="str">
        <f ca="1">TEXT(EDATE(TODAY(),(ROW()-4)*12),"AA")&amp;"/"&amp;TEXT(EDATE(TODAY(),((ROW()-3)*12)),"AA")</f>
        <v>24/25</v>
      </c>
    </row>
    <row r="4" spans="1:17" x14ac:dyDescent="0.3">
      <c r="C4" s="7"/>
      <c r="D4" s="7"/>
      <c r="E4" s="7"/>
      <c r="K4" s="7"/>
      <c r="O4" t="str" cm="1">
        <f t="array" ref="O4">IF(N4="","",SUM(--ISERROR(MATCH(N4&amp;$Q$2:$Q$6,$A$2:$A$39&amp;$B$2:$B$39,0))))</f>
        <v/>
      </c>
      <c r="Q4" t="str">
        <f ca="1">TEXT(EDATE(TODAY(),(ROW()-4)*12),"AA")&amp;"/"&amp;TEXT(EDATE(TODAY(),((ROW()-3)*12)),"AA")</f>
        <v>25/26</v>
      </c>
    </row>
    <row r="5" spans="1:17" x14ac:dyDescent="0.3">
      <c r="C5" s="7"/>
      <c r="D5" s="7"/>
      <c r="E5" s="7"/>
      <c r="K5" s="7"/>
      <c r="O5" t="str" cm="1">
        <f t="array" ref="O5">IF(N5="","",SUM(--ISERROR(MATCH(N5&amp;$Q$2:$Q$6,$A$2:$A$39&amp;$B$2:$B$39,0))))</f>
        <v/>
      </c>
      <c r="Q5" t="str">
        <f ca="1">TEXT(EDATE(TODAY(),(ROW()-4)*12),"AA")&amp;"/"&amp;TEXT(EDATE(TODAY(),((ROW()-3)*12)),"AA")</f>
        <v>26/27</v>
      </c>
    </row>
    <row r="6" spans="1:17" x14ac:dyDescent="0.3">
      <c r="C6" s="7"/>
      <c r="D6" s="7"/>
      <c r="E6" s="7"/>
      <c r="K6" s="7"/>
      <c r="O6" t="str" cm="1">
        <f t="array" ref="O6">IF(N6="","",SUM(--ISERROR(MATCH(N6&amp;$Q$2:$Q$6,$A$2:$A$39&amp;$B$2:$B$39,0))))</f>
        <v/>
      </c>
      <c r="Q6" t="str">
        <f ca="1">TEXT(EDATE(TODAY(),(ROW()-4)*12),"AA")&amp;"/"&amp;TEXT(EDATE(TODAY(),((ROW()-3)*12)),"AA")</f>
        <v>27/28</v>
      </c>
    </row>
    <row r="7" spans="1:17" x14ac:dyDescent="0.3">
      <c r="C7" s="7"/>
      <c r="D7" s="7"/>
      <c r="E7" s="7"/>
      <c r="K7" s="7"/>
      <c r="O7" t="str" cm="1">
        <f t="array" ref="O7">IF(N7="","",SUM(--ISERROR(MATCH(N7&amp;$Q$2:$Q$6,$A$2:$A$39&amp;$B$2:$B$39,0))))</f>
        <v/>
      </c>
    </row>
    <row r="8" spans="1:17" x14ac:dyDescent="0.3">
      <c r="C8" s="7"/>
      <c r="D8" s="7"/>
      <c r="E8" s="7"/>
      <c r="K8" s="7"/>
      <c r="O8" t="str" cm="1">
        <f t="array" ref="O8">IF(N8="","",SUM(--ISERROR(MATCH(N8&amp;$Q$2:$Q$6,$A$2:$A$39&amp;$B$2:$B$39,0))))</f>
        <v/>
      </c>
    </row>
    <row r="9" spans="1:17" x14ac:dyDescent="0.3">
      <c r="C9" s="7"/>
      <c r="D9" s="7"/>
      <c r="E9" s="7"/>
      <c r="K9" s="7"/>
      <c r="O9" t="str" cm="1">
        <f t="array" ref="O9">IF(N9="","",SUM(--ISERROR(MATCH(N9&amp;$Q$2:$Q$6,$A$2:$A$39&amp;$B$2:$B$39,0))))</f>
        <v/>
      </c>
    </row>
    <row r="10" spans="1:17" x14ac:dyDescent="0.3">
      <c r="C10" s="7"/>
      <c r="D10" s="7"/>
      <c r="E10" s="7"/>
      <c r="O10" t="str" cm="1">
        <f t="array" ref="O10">IF(N10="","",SUM(--ISERROR(MATCH(N10&amp;$Q$2:$Q$6,$A$2:$A$39&amp;$B$2:$B$39,0))))</f>
        <v/>
      </c>
    </row>
    <row r="11" spans="1:17" x14ac:dyDescent="0.3">
      <c r="C11" s="7"/>
      <c r="D11" s="7"/>
      <c r="E11" s="7"/>
      <c r="O11" t="str" cm="1">
        <f t="array" ref="O11">IF(N11="","",SUM(--ISERROR(MATCH(N11&amp;$Q$2:$Q$6,$A$2:$A$39&amp;$B$2:$B$39,0))))</f>
        <v/>
      </c>
    </row>
    <row r="12" spans="1:17" x14ac:dyDescent="0.3">
      <c r="C12" s="7"/>
      <c r="D12" s="7"/>
      <c r="E12" s="7"/>
      <c r="O12" t="str" cm="1">
        <f t="array" ref="O12">IF(N12="","",SUM(--ISERROR(MATCH(N12&amp;$Q$2:$Q$6,$A$2:$A$39&amp;$B$2:$B$39,0))))</f>
        <v/>
      </c>
    </row>
    <row r="13" spans="1:17" x14ac:dyDescent="0.3">
      <c r="C13" s="7"/>
      <c r="D13" s="7"/>
      <c r="E13" s="7"/>
    </row>
    <row r="14" spans="1:17" x14ac:dyDescent="0.3">
      <c r="C14" s="7"/>
      <c r="D14" s="7"/>
      <c r="E14" s="7"/>
    </row>
    <row r="15" spans="1:17" x14ac:dyDescent="0.3">
      <c r="C15" s="7"/>
      <c r="D15" s="7"/>
      <c r="E15" s="7"/>
    </row>
    <row r="16" spans="1:17" x14ac:dyDescent="0.3">
      <c r="C16" s="7"/>
      <c r="D16" s="7"/>
      <c r="E16" s="7"/>
    </row>
    <row r="17" spans="3:5" x14ac:dyDescent="0.3">
      <c r="C17" s="7"/>
      <c r="D17" s="7"/>
      <c r="E17" s="7"/>
    </row>
    <row r="18" spans="3:5" x14ac:dyDescent="0.3">
      <c r="C18" s="7"/>
      <c r="D18" s="7"/>
      <c r="E18" s="7"/>
    </row>
    <row r="19" spans="3:5" x14ac:dyDescent="0.3">
      <c r="C19" s="7"/>
      <c r="D19" s="7"/>
      <c r="E19" s="7"/>
    </row>
    <row r="20" spans="3:5" x14ac:dyDescent="0.3">
      <c r="C20" s="7"/>
      <c r="D20" s="7"/>
      <c r="E20" s="7"/>
    </row>
    <row r="21" spans="3:5" x14ac:dyDescent="0.3">
      <c r="C21" s="7"/>
      <c r="D21" s="7"/>
      <c r="E21" s="7"/>
    </row>
    <row r="22" spans="3:5" x14ac:dyDescent="0.3">
      <c r="C22" s="7"/>
      <c r="D22" s="7"/>
      <c r="E22" s="7"/>
    </row>
    <row r="23" spans="3:5" x14ac:dyDescent="0.3">
      <c r="C23" s="7"/>
      <c r="D23" s="7"/>
      <c r="E23" s="7"/>
    </row>
    <row r="24" spans="3:5" x14ac:dyDescent="0.3">
      <c r="C24" s="7"/>
      <c r="D24" s="7"/>
      <c r="E24" s="7"/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658A7-63AD-4184-B429-D0618E2E74D0}">
  <sheetPr codeName="Planilha6"/>
  <dimension ref="A1:T1"/>
  <sheetViews>
    <sheetView workbookViewId="0">
      <selection activeCell="O17" sqref="O17"/>
    </sheetView>
  </sheetViews>
  <sheetFormatPr defaultRowHeight="14.4" x14ac:dyDescent="0.3"/>
  <cols>
    <col min="4" max="4" width="14" bestFit="1" customWidth="1"/>
    <col min="6" max="6" width="14.88671875" bestFit="1" customWidth="1"/>
  </cols>
  <sheetData>
    <row r="1" spans="1:20" x14ac:dyDescent="0.3">
      <c r="A1" t="s">
        <v>51</v>
      </c>
      <c r="B1" t="s">
        <v>64</v>
      </c>
      <c r="C1" t="s">
        <v>65</v>
      </c>
      <c r="D1" t="s">
        <v>66</v>
      </c>
      <c r="E1" t="s">
        <v>12</v>
      </c>
      <c r="F1" t="s">
        <v>52</v>
      </c>
      <c r="G1" t="s">
        <v>53</v>
      </c>
      <c r="H1" t="s">
        <v>54</v>
      </c>
      <c r="I1" t="s">
        <v>53</v>
      </c>
      <c r="J1" t="s">
        <v>54</v>
      </c>
      <c r="K1" t="s">
        <v>55</v>
      </c>
      <c r="L1" t="s">
        <v>56</v>
      </c>
      <c r="M1" t="s">
        <v>57</v>
      </c>
      <c r="N1" t="s">
        <v>58</v>
      </c>
      <c r="O1" t="s">
        <v>59</v>
      </c>
      <c r="P1" t="s">
        <v>60</v>
      </c>
      <c r="Q1" t="s">
        <v>12</v>
      </c>
      <c r="R1" t="s">
        <v>61</v>
      </c>
      <c r="S1" t="s">
        <v>62</v>
      </c>
      <c r="T1" t="s">
        <v>63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3</vt:i4>
      </vt:variant>
    </vt:vector>
  </HeadingPairs>
  <TitlesOfParts>
    <vt:vector size="5" baseType="lpstr">
      <vt:lpstr>Home</vt:lpstr>
      <vt:lpstr>Parametros</vt:lpstr>
      <vt:lpstr>anosafra</vt:lpstr>
      <vt:lpstr>pdf!Area_de_impressao</vt:lpstr>
      <vt:lpstr>UFs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Kleiton Rocha</dc:creator>
  <cp:lastModifiedBy>Usuário 0004 IPRO</cp:lastModifiedBy>
  <cp:lastPrinted>2025-04-04T20:41:38Z</cp:lastPrinted>
  <dcterms:created xsi:type="dcterms:W3CDTF">2024-12-06T09:32:59Z</dcterms:created>
  <dcterms:modified xsi:type="dcterms:W3CDTF">2025-06-24T20:53:10Z</dcterms:modified>
</cp:coreProperties>
</file>