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0B-68_HgRcw5sYmV0SkVvR01HSWs\1.IMPLEMENTAÇÕES\TEX CAPITAL\MS_0363\3. Soluções\3. Processo Assessoria\2. Registros e documentos\"/>
    </mc:Choice>
  </mc:AlternateContent>
  <xr:revisionPtr revIDLastSave="0" documentId="13_ncr:1_{9C7BE684-524F-4F28-9264-F4130FEE2989}" xr6:coauthVersionLast="47" xr6:coauthVersionMax="47" xr10:uidLastSave="{00000000-0000-0000-0000-000000000000}"/>
  <bookViews>
    <workbookView xWindow="-108" yWindow="-108" windowWidth="23256" windowHeight="12456" tabRatio="738" firstSheet="1" activeTab="3" xr2:uid="{00000000-000D-0000-FFFF-FFFF00000000}"/>
  </bookViews>
  <sheets>
    <sheet name="INDICADORES" sheetId="39" state="hidden" r:id="rId1"/>
    <sheet name="CADASTRO DE ITENS" sheetId="45" r:id="rId2"/>
    <sheet name="RECEITAS" sheetId="36" r:id="rId3"/>
    <sheet name="GASTOS" sheetId="13" r:id="rId4"/>
    <sheet name="PLANO DE CONTAS" sheetId="42" state="hidden" r:id="rId5"/>
    <sheet name="CONCILIAÇÃO" sheetId="44" state="hidden" r:id="rId6"/>
  </sheets>
  <externalReferences>
    <externalReference r:id="rId7"/>
  </externalReferences>
  <definedNames>
    <definedName name="_xlnm.Print_Area" localSheetId="3">GASTOS!$C$2:$AF$159</definedName>
    <definedName name="_xlnm.Print_Area" localSheetId="0">INDICADORES!$A$1:$U$105</definedName>
    <definedName name="_xlnm.Print_Area" localSheetId="4">'PLANO DE CONTAS'!$A$1:$L$76,'PLANO DE CONTAS'!$A$78:$L$157</definedName>
    <definedName name="_xlnm.Print_Area" localSheetId="2">RECEITAS!$C$2:$AE$89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4" i="45" l="1"/>
  <c r="D43" i="45"/>
  <c r="D42" i="45"/>
  <c r="D41" i="45"/>
  <c r="D40" i="45"/>
  <c r="D39" i="45"/>
  <c r="D38" i="45"/>
  <c r="J37" i="45"/>
  <c r="D37" i="45"/>
  <c r="J36" i="45"/>
  <c r="D36" i="45"/>
  <c r="J35" i="45"/>
  <c r="D35" i="45"/>
  <c r="J34" i="45"/>
  <c r="D34" i="45"/>
  <c r="J33" i="45"/>
  <c r="D33" i="45"/>
  <c r="J32" i="45"/>
  <c r="D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D26" i="44" l="1"/>
  <c r="E26" i="44"/>
  <c r="F26" i="44"/>
  <c r="G26" i="44"/>
  <c r="H26" i="44"/>
  <c r="I26" i="44"/>
  <c r="J26" i="44"/>
  <c r="K26" i="44"/>
  <c r="L26" i="44"/>
  <c r="M26" i="44"/>
  <c r="N26" i="44"/>
  <c r="D27" i="44"/>
  <c r="E27" i="44"/>
  <c r="F27" i="44"/>
  <c r="G27" i="44"/>
  <c r="H27" i="44"/>
  <c r="I27" i="44"/>
  <c r="J27" i="44"/>
  <c r="K27" i="44"/>
  <c r="L27" i="44"/>
  <c r="M27" i="44"/>
  <c r="N27" i="44"/>
  <c r="E30" i="44" l="1"/>
  <c r="J30" i="44"/>
  <c r="F30" i="44"/>
  <c r="I30" i="44"/>
  <c r="G30" i="44"/>
  <c r="L30" i="44"/>
  <c r="H30" i="44"/>
  <c r="M30" i="44"/>
  <c r="K30" i="44"/>
  <c r="N30" i="44"/>
  <c r="D30" i="44"/>
  <c r="C27" i="44"/>
  <c r="C26" i="44"/>
  <c r="C30" i="44" l="1"/>
  <c r="AD68" i="36"/>
  <c r="AC68" i="36"/>
  <c r="AD67" i="36"/>
  <c r="AC67" i="36"/>
  <c r="AD66" i="36"/>
  <c r="AC66" i="36"/>
  <c r="AD65" i="36"/>
  <c r="AC65" i="36"/>
  <c r="AD64" i="36"/>
  <c r="AC64" i="36"/>
  <c r="AD63" i="36"/>
  <c r="AC63" i="36"/>
  <c r="AD62" i="36"/>
  <c r="AC62" i="36"/>
  <c r="AD61" i="36"/>
  <c r="AC61" i="36"/>
  <c r="AD60" i="36"/>
  <c r="AC60" i="36"/>
  <c r="Q64" i="39"/>
  <c r="G64" i="39"/>
  <c r="H64" i="39"/>
  <c r="I64" i="39"/>
  <c r="J64" i="39"/>
  <c r="K64" i="39"/>
  <c r="L64" i="39"/>
  <c r="M64" i="39"/>
  <c r="N64" i="39"/>
  <c r="O64" i="39"/>
  <c r="P64" i="39"/>
  <c r="F64" i="39"/>
  <c r="F60" i="39"/>
  <c r="D67" i="39" s="1"/>
  <c r="F59" i="39"/>
  <c r="D66" i="39" s="1"/>
  <c r="F58" i="39"/>
  <c r="D65" i="39" s="1"/>
  <c r="F93" i="39"/>
  <c r="D101" i="39" s="1"/>
  <c r="F92" i="39"/>
  <c r="D100" i="39" s="1"/>
  <c r="F91" i="39"/>
  <c r="F90" i="39"/>
  <c r="F22" i="13" l="1"/>
  <c r="G90" i="39" s="1"/>
  <c r="F98" i="39" s="1"/>
  <c r="E22" i="13"/>
  <c r="AD85" i="36"/>
  <c r="AC85" i="36"/>
  <c r="AD84" i="36"/>
  <c r="AC84" i="36"/>
  <c r="AD83" i="36"/>
  <c r="AC83" i="36"/>
  <c r="AD82" i="36"/>
  <c r="AC82" i="36"/>
  <c r="AD81" i="36"/>
  <c r="AC81" i="36"/>
  <c r="AD80" i="36"/>
  <c r="AC80" i="36"/>
  <c r="AD79" i="36"/>
  <c r="AC79" i="36"/>
  <c r="AD78" i="36"/>
  <c r="AC78" i="36"/>
  <c r="AD77" i="36"/>
  <c r="AC77" i="36"/>
  <c r="AD76" i="36"/>
  <c r="AC76" i="36"/>
  <c r="AA75" i="36"/>
  <c r="R60" i="39" s="1"/>
  <c r="Q67" i="39" s="1"/>
  <c r="Z75" i="36"/>
  <c r="Y75" i="36"/>
  <c r="Q60" i="39" s="1"/>
  <c r="P67" i="39" s="1"/>
  <c r="X75" i="36"/>
  <c r="W75" i="36"/>
  <c r="P60" i="39" s="1"/>
  <c r="O67" i="39" s="1"/>
  <c r="V75" i="36"/>
  <c r="U75" i="36"/>
  <c r="O60" i="39" s="1"/>
  <c r="N67" i="39" s="1"/>
  <c r="T75" i="36"/>
  <c r="S75" i="36"/>
  <c r="N60" i="39" s="1"/>
  <c r="M67" i="39" s="1"/>
  <c r="R75" i="36"/>
  <c r="Q75" i="36"/>
  <c r="M60" i="39" s="1"/>
  <c r="L67" i="39" s="1"/>
  <c r="P75" i="36"/>
  <c r="O75" i="36"/>
  <c r="L60" i="39" s="1"/>
  <c r="K67" i="39" s="1"/>
  <c r="N75" i="36"/>
  <c r="M75" i="36"/>
  <c r="K60" i="39" s="1"/>
  <c r="J67" i="39" s="1"/>
  <c r="L75" i="36"/>
  <c r="K75" i="36"/>
  <c r="J60" i="39" s="1"/>
  <c r="I67" i="39" s="1"/>
  <c r="J75" i="36"/>
  <c r="I75" i="36"/>
  <c r="I60" i="39" s="1"/>
  <c r="H67" i="39" s="1"/>
  <c r="H75" i="36"/>
  <c r="G75" i="36"/>
  <c r="H60" i="39" s="1"/>
  <c r="G67" i="39" s="1"/>
  <c r="F75" i="36"/>
  <c r="E75" i="36"/>
  <c r="G60" i="39" s="1"/>
  <c r="F67" i="39" s="1"/>
  <c r="D75" i="36"/>
  <c r="AD69" i="36"/>
  <c r="AC69" i="36"/>
  <c r="AD59" i="36"/>
  <c r="AC59" i="36"/>
  <c r="AD58" i="36"/>
  <c r="AC58" i="36"/>
  <c r="AD57" i="36"/>
  <c r="AC57" i="36"/>
  <c r="AD56" i="36"/>
  <c r="AC56" i="36"/>
  <c r="AA55" i="36"/>
  <c r="R59" i="39" s="1"/>
  <c r="Q66" i="39" s="1"/>
  <c r="Z55" i="36"/>
  <c r="Y55" i="36"/>
  <c r="Q59" i="39" s="1"/>
  <c r="P66" i="39" s="1"/>
  <c r="X55" i="36"/>
  <c r="W55" i="36"/>
  <c r="P59" i="39" s="1"/>
  <c r="O66" i="39" s="1"/>
  <c r="V55" i="36"/>
  <c r="U55" i="36"/>
  <c r="O59" i="39" s="1"/>
  <c r="N66" i="39" s="1"/>
  <c r="T55" i="36"/>
  <c r="S55" i="36"/>
  <c r="N59" i="39" s="1"/>
  <c r="M66" i="39" s="1"/>
  <c r="R55" i="36"/>
  <c r="Q55" i="36"/>
  <c r="M59" i="39" s="1"/>
  <c r="L66" i="39" s="1"/>
  <c r="P55" i="36"/>
  <c r="O55" i="36"/>
  <c r="L59" i="39" s="1"/>
  <c r="K66" i="39" s="1"/>
  <c r="N55" i="36"/>
  <c r="M55" i="36"/>
  <c r="K59" i="39" s="1"/>
  <c r="J66" i="39" s="1"/>
  <c r="L55" i="36"/>
  <c r="K55" i="36"/>
  <c r="J59" i="39" s="1"/>
  <c r="I66" i="39" s="1"/>
  <c r="J55" i="36"/>
  <c r="I55" i="36"/>
  <c r="I59" i="39" s="1"/>
  <c r="H66" i="39" s="1"/>
  <c r="H55" i="36"/>
  <c r="G55" i="36"/>
  <c r="H59" i="39" s="1"/>
  <c r="G66" i="39" s="1"/>
  <c r="F55" i="36"/>
  <c r="E55" i="36"/>
  <c r="G59" i="39" s="1"/>
  <c r="F66" i="39" s="1"/>
  <c r="D55" i="36"/>
  <c r="AD49" i="36"/>
  <c r="AC49" i="36"/>
  <c r="AD48" i="36"/>
  <c r="AC48" i="36"/>
  <c r="AD47" i="36"/>
  <c r="AC47" i="36"/>
  <c r="AD46" i="36"/>
  <c r="AC46" i="36"/>
  <c r="AD45" i="36"/>
  <c r="AC45" i="36"/>
  <c r="AD44" i="36"/>
  <c r="AC44" i="36"/>
  <c r="AD43" i="36"/>
  <c r="AC43" i="36"/>
  <c r="AD42" i="36"/>
  <c r="AC42" i="36"/>
  <c r="AD41" i="36"/>
  <c r="AC41" i="36"/>
  <c r="AD40" i="36"/>
  <c r="AC40" i="36"/>
  <c r="AD39" i="36"/>
  <c r="AC39" i="36"/>
  <c r="AD38" i="36"/>
  <c r="AC38" i="36"/>
  <c r="AD34" i="36"/>
  <c r="AC34" i="36"/>
  <c r="AD33" i="36"/>
  <c r="AC33" i="36"/>
  <c r="AD32" i="36"/>
  <c r="AC32" i="36"/>
  <c r="AD31" i="36"/>
  <c r="AC31" i="36"/>
  <c r="AD30" i="36"/>
  <c r="AC30" i="36"/>
  <c r="AD29" i="36"/>
  <c r="AC29" i="36"/>
  <c r="AD28" i="36"/>
  <c r="AC28" i="36"/>
  <c r="AD27" i="36"/>
  <c r="AC27" i="36"/>
  <c r="AD26" i="36"/>
  <c r="AC26" i="36"/>
  <c r="AD25" i="36"/>
  <c r="AC25" i="36"/>
  <c r="AD24" i="36"/>
  <c r="AC24" i="36"/>
  <c r="AD23" i="36"/>
  <c r="AC23" i="36"/>
  <c r="AA22" i="36"/>
  <c r="R58" i="39" s="1"/>
  <c r="Q65" i="39" s="1"/>
  <c r="Z22" i="36"/>
  <c r="Y22" i="36"/>
  <c r="Q58" i="39" s="1"/>
  <c r="P65" i="39" s="1"/>
  <c r="X22" i="36"/>
  <c r="W22" i="36"/>
  <c r="P58" i="39" s="1"/>
  <c r="O65" i="39" s="1"/>
  <c r="V22" i="36"/>
  <c r="U22" i="36"/>
  <c r="O58" i="39" s="1"/>
  <c r="N65" i="39" s="1"/>
  <c r="T22" i="36"/>
  <c r="S22" i="36"/>
  <c r="N58" i="39" s="1"/>
  <c r="M65" i="39" s="1"/>
  <c r="R22" i="36"/>
  <c r="Q22" i="36"/>
  <c r="M58" i="39" s="1"/>
  <c r="L65" i="39" s="1"/>
  <c r="P22" i="36"/>
  <c r="O22" i="36"/>
  <c r="L58" i="39" s="1"/>
  <c r="K65" i="39" s="1"/>
  <c r="N22" i="36"/>
  <c r="M22" i="36"/>
  <c r="K58" i="39" s="1"/>
  <c r="J65" i="39" s="1"/>
  <c r="L22" i="36"/>
  <c r="K22" i="36"/>
  <c r="J58" i="39" s="1"/>
  <c r="I65" i="39" s="1"/>
  <c r="J22" i="36"/>
  <c r="I22" i="36"/>
  <c r="I58" i="39" s="1"/>
  <c r="H65" i="39" s="1"/>
  <c r="H22" i="36"/>
  <c r="G22" i="36"/>
  <c r="H58" i="39" s="1"/>
  <c r="G65" i="39" s="1"/>
  <c r="F22" i="36"/>
  <c r="E22" i="36"/>
  <c r="G58" i="39" s="1"/>
  <c r="F65" i="39" s="1"/>
  <c r="D22" i="36"/>
  <c r="AE131" i="13"/>
  <c r="AD131" i="13"/>
  <c r="AE130" i="13"/>
  <c r="AD130" i="13"/>
  <c r="AE129" i="13"/>
  <c r="AD129" i="13"/>
  <c r="AE128" i="13"/>
  <c r="AD128" i="13"/>
  <c r="AE127" i="13"/>
  <c r="AD127" i="13"/>
  <c r="AE126" i="13"/>
  <c r="AD126" i="13"/>
  <c r="AD132" i="13"/>
  <c r="AE132" i="13"/>
  <c r="AD133" i="13"/>
  <c r="AE133" i="13"/>
  <c r="AD134" i="13"/>
  <c r="AE134" i="13"/>
  <c r="AD135" i="13"/>
  <c r="AE135" i="13"/>
  <c r="AD136" i="13"/>
  <c r="AE136" i="13"/>
  <c r="AD137" i="13"/>
  <c r="AE137" i="13"/>
  <c r="S66" i="39" l="1"/>
  <c r="S67" i="39"/>
  <c r="S65" i="39"/>
  <c r="L16" i="36"/>
  <c r="J38" i="39" s="1"/>
  <c r="T16" i="36"/>
  <c r="N38" i="39" s="1"/>
  <c r="E16" i="36"/>
  <c r="M16" i="36"/>
  <c r="U16" i="36"/>
  <c r="F16" i="36"/>
  <c r="G38" i="39" s="1"/>
  <c r="J16" i="36"/>
  <c r="I38" i="39" s="1"/>
  <c r="N16" i="36"/>
  <c r="K38" i="39" s="1"/>
  <c r="R16" i="36"/>
  <c r="M38" i="39" s="1"/>
  <c r="V16" i="36"/>
  <c r="O38" i="39" s="1"/>
  <c r="Z16" i="36"/>
  <c r="Q38" i="39" s="1"/>
  <c r="H16" i="36"/>
  <c r="H38" i="39" s="1"/>
  <c r="P16" i="36"/>
  <c r="L38" i="39" s="1"/>
  <c r="X16" i="36"/>
  <c r="P38" i="39" s="1"/>
  <c r="I16" i="36"/>
  <c r="Q16" i="36"/>
  <c r="Y16" i="36"/>
  <c r="G16" i="36"/>
  <c r="K16" i="36"/>
  <c r="O16" i="36"/>
  <c r="S16" i="36"/>
  <c r="W16" i="36"/>
  <c r="AA16" i="36"/>
  <c r="D16" i="36"/>
  <c r="F38" i="39" s="1"/>
  <c r="AD22" i="36"/>
  <c r="AC22" i="36"/>
  <c r="AC55" i="36"/>
  <c r="AC75" i="36"/>
  <c r="AD55" i="36"/>
  <c r="AD75" i="36"/>
  <c r="AE125" i="13"/>
  <c r="AD125" i="13"/>
  <c r="AE124" i="13"/>
  <c r="AD124" i="13"/>
  <c r="AE123" i="13"/>
  <c r="AD123" i="13"/>
  <c r="AE122" i="13"/>
  <c r="AD122" i="13"/>
  <c r="AE138" i="13"/>
  <c r="AD138" i="13"/>
  <c r="AE121" i="13"/>
  <c r="AD121" i="13"/>
  <c r="AE120" i="13"/>
  <c r="AD120" i="13"/>
  <c r="AE119" i="13"/>
  <c r="AD119" i="13"/>
  <c r="AE118" i="13"/>
  <c r="AD118" i="13"/>
  <c r="AE117" i="13"/>
  <c r="AD117" i="13"/>
  <c r="AE116" i="13"/>
  <c r="AD116" i="13"/>
  <c r="AD108" i="13"/>
  <c r="AE108" i="13"/>
  <c r="M39" i="39" l="1"/>
  <c r="J28" i="44"/>
  <c r="K39" i="39"/>
  <c r="H28" i="44"/>
  <c r="N39" i="39"/>
  <c r="K28" i="44"/>
  <c r="F39" i="39"/>
  <c r="C28" i="44"/>
  <c r="I39" i="39"/>
  <c r="F28" i="44"/>
  <c r="G39" i="39"/>
  <c r="D28" i="44"/>
  <c r="J39" i="39"/>
  <c r="G28" i="44"/>
  <c r="P39" i="39"/>
  <c r="M28" i="44"/>
  <c r="L39" i="39"/>
  <c r="I28" i="44"/>
  <c r="H39" i="39"/>
  <c r="E28" i="44"/>
  <c r="Q39" i="39"/>
  <c r="N28" i="44"/>
  <c r="O39" i="39"/>
  <c r="L28" i="44"/>
  <c r="S38" i="39"/>
  <c r="AC16" i="36"/>
  <c r="AD16" i="36"/>
  <c r="AE28" i="13"/>
  <c r="AD28" i="13"/>
  <c r="S39" i="39" l="1"/>
  <c r="AD102" i="13"/>
  <c r="AE102" i="13"/>
  <c r="AD32" i="13" l="1"/>
  <c r="AE32" i="13"/>
  <c r="AD33" i="13"/>
  <c r="AE33" i="13"/>
  <c r="AE66" i="13"/>
  <c r="AD51" i="13"/>
  <c r="AE51" i="13"/>
  <c r="AD52" i="13"/>
  <c r="AE52" i="13"/>
  <c r="AD53" i="13"/>
  <c r="AE53" i="13"/>
  <c r="AD54" i="13"/>
  <c r="AE54" i="13"/>
  <c r="AD55" i="13"/>
  <c r="AE55" i="13"/>
  <c r="AD56" i="13"/>
  <c r="AE56" i="13"/>
  <c r="AD57" i="13"/>
  <c r="AE57" i="13"/>
  <c r="AD58" i="13"/>
  <c r="AE58" i="13"/>
  <c r="AD59" i="13"/>
  <c r="AE59" i="13"/>
  <c r="AD66" i="13"/>
  <c r="AD63" i="13" l="1"/>
  <c r="AE63" i="13"/>
  <c r="AD64" i="13"/>
  <c r="AE64" i="13"/>
  <c r="AD65" i="13"/>
  <c r="AE65" i="13"/>
  <c r="AE94" i="13"/>
  <c r="AD38" i="13"/>
  <c r="AE38" i="13"/>
  <c r="AD39" i="13"/>
  <c r="AE39" i="13"/>
  <c r="AD40" i="13"/>
  <c r="AE40" i="13"/>
  <c r="AD41" i="13"/>
  <c r="AE41" i="13"/>
  <c r="AD42" i="13"/>
  <c r="AE42" i="13"/>
  <c r="AD43" i="13"/>
  <c r="AE43" i="13"/>
  <c r="AD44" i="13"/>
  <c r="AE44" i="13"/>
  <c r="AD45" i="13"/>
  <c r="AE45" i="13"/>
  <c r="AD46" i="13"/>
  <c r="AE46" i="13"/>
  <c r="Q114" i="13" l="1"/>
  <c r="Q88" i="13"/>
  <c r="Q22" i="13"/>
  <c r="AD70" i="13" l="1"/>
  <c r="AE70" i="13"/>
  <c r="AD71" i="13"/>
  <c r="AE71" i="13"/>
  <c r="AD72" i="13"/>
  <c r="AE72" i="13"/>
  <c r="AD73" i="13"/>
  <c r="AE73" i="13"/>
  <c r="AD74" i="13"/>
  <c r="AE74" i="13"/>
  <c r="AD75" i="13"/>
  <c r="AE75" i="13"/>
  <c r="AD76" i="13"/>
  <c r="AE76" i="13"/>
  <c r="AD77" i="13"/>
  <c r="AE77" i="13"/>
  <c r="AD78" i="13"/>
  <c r="AE78" i="13"/>
  <c r="AD79" i="13"/>
  <c r="AE79" i="13"/>
  <c r="AD80" i="13"/>
  <c r="AE80" i="13"/>
  <c r="AD81" i="13"/>
  <c r="AE81" i="13"/>
  <c r="AD24" i="13"/>
  <c r="AD25" i="13"/>
  <c r="AE25" i="13"/>
  <c r="AD26" i="13"/>
  <c r="AE26" i="13"/>
  <c r="AD27" i="13"/>
  <c r="AE27" i="13"/>
  <c r="AD29" i="13"/>
  <c r="AE29" i="13"/>
  <c r="AD30" i="13"/>
  <c r="AE30" i="13"/>
  <c r="AD31" i="13"/>
  <c r="AE31" i="13"/>
  <c r="AD34" i="13"/>
  <c r="AE34" i="13"/>
  <c r="AD35" i="13"/>
  <c r="AE35" i="13"/>
  <c r="AD36" i="13"/>
  <c r="AE36" i="13"/>
  <c r="AD37" i="13"/>
  <c r="AE37" i="13"/>
  <c r="AD47" i="13"/>
  <c r="AE47" i="13"/>
  <c r="AE23" i="13"/>
  <c r="AE24" i="13" l="1"/>
  <c r="AE155" i="13" l="1"/>
  <c r="AD155" i="13"/>
  <c r="AE154" i="13"/>
  <c r="AD154" i="13"/>
  <c r="AE153" i="13"/>
  <c r="AD153" i="13"/>
  <c r="AE152" i="13"/>
  <c r="AD152" i="13"/>
  <c r="AE151" i="13"/>
  <c r="AD151" i="13"/>
  <c r="AE150" i="13"/>
  <c r="AD150" i="13"/>
  <c r="AD149" i="13"/>
  <c r="AE148" i="13"/>
  <c r="AD148" i="13"/>
  <c r="AE147" i="13"/>
  <c r="AD147" i="13"/>
  <c r="AE146" i="13"/>
  <c r="AD146" i="13"/>
  <c r="AB145" i="13"/>
  <c r="R93" i="39" s="1"/>
  <c r="Q101" i="39" s="1"/>
  <c r="AA145" i="13"/>
  <c r="Z145" i="13"/>
  <c r="Q93" i="39" s="1"/>
  <c r="P101" i="39" s="1"/>
  <c r="Y145" i="13"/>
  <c r="X145" i="13"/>
  <c r="P93" i="39" s="1"/>
  <c r="O101" i="39" s="1"/>
  <c r="W145" i="13"/>
  <c r="V145" i="13"/>
  <c r="O93" i="39" s="1"/>
  <c r="N101" i="39" s="1"/>
  <c r="U145" i="13"/>
  <c r="T145" i="13"/>
  <c r="N93" i="39" s="1"/>
  <c r="M101" i="39" s="1"/>
  <c r="S145" i="13"/>
  <c r="R145" i="13"/>
  <c r="M93" i="39" s="1"/>
  <c r="L101" i="39" s="1"/>
  <c r="Q145" i="13"/>
  <c r="P145" i="13"/>
  <c r="L93" i="39" s="1"/>
  <c r="K101" i="39" s="1"/>
  <c r="O145" i="13"/>
  <c r="N145" i="13"/>
  <c r="K93" i="39" s="1"/>
  <c r="J101" i="39" s="1"/>
  <c r="M145" i="13"/>
  <c r="L145" i="13"/>
  <c r="J93" i="39" s="1"/>
  <c r="I101" i="39" s="1"/>
  <c r="K145" i="13"/>
  <c r="J145" i="13"/>
  <c r="I93" i="39" s="1"/>
  <c r="H101" i="39" s="1"/>
  <c r="I145" i="13"/>
  <c r="H145" i="13"/>
  <c r="H93" i="39" s="1"/>
  <c r="G101" i="39" s="1"/>
  <c r="G145" i="13"/>
  <c r="F145" i="13"/>
  <c r="G93" i="39" s="1"/>
  <c r="F101" i="39" s="1"/>
  <c r="E145" i="13"/>
  <c r="AE139" i="13"/>
  <c r="AD139" i="13"/>
  <c r="AE115" i="13"/>
  <c r="AD115" i="13"/>
  <c r="AB114" i="13"/>
  <c r="R92" i="39" s="1"/>
  <c r="Q100" i="39" s="1"/>
  <c r="AA114" i="13"/>
  <c r="Z114" i="13"/>
  <c r="Q92" i="39" s="1"/>
  <c r="P100" i="39" s="1"/>
  <c r="Y114" i="13"/>
  <c r="X114" i="13"/>
  <c r="P92" i="39" s="1"/>
  <c r="O100" i="39" s="1"/>
  <c r="W114" i="13"/>
  <c r="V114" i="13"/>
  <c r="O92" i="39" s="1"/>
  <c r="N100" i="39" s="1"/>
  <c r="U114" i="13"/>
  <c r="T114" i="13"/>
  <c r="N92" i="39" s="1"/>
  <c r="M100" i="39" s="1"/>
  <c r="S114" i="13"/>
  <c r="R114" i="13"/>
  <c r="M92" i="39" s="1"/>
  <c r="L100" i="39" s="1"/>
  <c r="P114" i="13"/>
  <c r="L92" i="39" s="1"/>
  <c r="K100" i="39" s="1"/>
  <c r="O114" i="13"/>
  <c r="N114" i="13"/>
  <c r="K92" i="39" s="1"/>
  <c r="J100" i="39" s="1"/>
  <c r="M114" i="13"/>
  <c r="L114" i="13"/>
  <c r="J92" i="39" s="1"/>
  <c r="I100" i="39" s="1"/>
  <c r="K114" i="13"/>
  <c r="J114" i="13"/>
  <c r="I92" i="39" s="1"/>
  <c r="H100" i="39" s="1"/>
  <c r="I114" i="13"/>
  <c r="H114" i="13"/>
  <c r="H92" i="39" s="1"/>
  <c r="G100" i="39" s="1"/>
  <c r="G114" i="13"/>
  <c r="F114" i="13"/>
  <c r="G92" i="39" s="1"/>
  <c r="F100" i="39" s="1"/>
  <c r="E114" i="13"/>
  <c r="AE107" i="13"/>
  <c r="AD107" i="13"/>
  <c r="AE106" i="13"/>
  <c r="AD106" i="13"/>
  <c r="AE105" i="13"/>
  <c r="AD105" i="13"/>
  <c r="AE104" i="13"/>
  <c r="AD104" i="13"/>
  <c r="AE103" i="13"/>
  <c r="AD103" i="13"/>
  <c r="AE101" i="13"/>
  <c r="AD101" i="13"/>
  <c r="AE100" i="13"/>
  <c r="AD100" i="13"/>
  <c r="AE99" i="13"/>
  <c r="AD99" i="13"/>
  <c r="AE98" i="13"/>
  <c r="AD98" i="13"/>
  <c r="AE97" i="13"/>
  <c r="AD97" i="13"/>
  <c r="AE96" i="13"/>
  <c r="AD96" i="13"/>
  <c r="AE95" i="13"/>
  <c r="AD95" i="13"/>
  <c r="AD94" i="13"/>
  <c r="AE93" i="13"/>
  <c r="AD93" i="13"/>
  <c r="AE92" i="13"/>
  <c r="AD92" i="13"/>
  <c r="AE91" i="13"/>
  <c r="AD91" i="13"/>
  <c r="AE90" i="13"/>
  <c r="AD90" i="13"/>
  <c r="AE89" i="13"/>
  <c r="AD89" i="13"/>
  <c r="AB88" i="13"/>
  <c r="R91" i="39" s="1"/>
  <c r="Q99" i="39" s="1"/>
  <c r="AA88" i="13"/>
  <c r="Z88" i="13"/>
  <c r="Q91" i="39" s="1"/>
  <c r="P99" i="39" s="1"/>
  <c r="Y88" i="13"/>
  <c r="X88" i="13"/>
  <c r="P91" i="39" s="1"/>
  <c r="O99" i="39" s="1"/>
  <c r="W88" i="13"/>
  <c r="V88" i="13"/>
  <c r="O91" i="39" s="1"/>
  <c r="N99" i="39" s="1"/>
  <c r="U88" i="13"/>
  <c r="T88" i="13"/>
  <c r="N91" i="39" s="1"/>
  <c r="M99" i="39" s="1"/>
  <c r="S88" i="13"/>
  <c r="R88" i="13"/>
  <c r="M91" i="39" s="1"/>
  <c r="L99" i="39" s="1"/>
  <c r="P88" i="13"/>
  <c r="L91" i="39" s="1"/>
  <c r="K99" i="39" s="1"/>
  <c r="O88" i="13"/>
  <c r="N88" i="13"/>
  <c r="K91" i="39" s="1"/>
  <c r="J99" i="39" s="1"/>
  <c r="M88" i="13"/>
  <c r="L88" i="13"/>
  <c r="J91" i="39" s="1"/>
  <c r="I99" i="39" s="1"/>
  <c r="K88" i="13"/>
  <c r="J88" i="13"/>
  <c r="I91" i="39" s="1"/>
  <c r="H99" i="39" s="1"/>
  <c r="I88" i="13"/>
  <c r="H88" i="13"/>
  <c r="H91" i="39" s="1"/>
  <c r="G99" i="39" s="1"/>
  <c r="G88" i="13"/>
  <c r="F88" i="13"/>
  <c r="G91" i="39" s="1"/>
  <c r="F99" i="39" s="1"/>
  <c r="E88" i="13"/>
  <c r="AE82" i="13"/>
  <c r="AD82" i="13"/>
  <c r="AE69" i="13"/>
  <c r="AD69" i="13"/>
  <c r="AE67" i="13"/>
  <c r="AD67" i="13"/>
  <c r="AE62" i="13"/>
  <c r="AD62" i="13"/>
  <c r="AE61" i="13"/>
  <c r="AD61" i="13"/>
  <c r="AE60" i="13"/>
  <c r="AD60" i="13"/>
  <c r="AD23" i="13"/>
  <c r="AB22" i="13"/>
  <c r="R90" i="39" s="1"/>
  <c r="Q98" i="39" s="1"/>
  <c r="AA22" i="13"/>
  <c r="Z22" i="13"/>
  <c r="Q90" i="39" s="1"/>
  <c r="P98" i="39" s="1"/>
  <c r="Y22" i="13"/>
  <c r="X22" i="13"/>
  <c r="P90" i="39" s="1"/>
  <c r="O98" i="39" s="1"/>
  <c r="W22" i="13"/>
  <c r="V22" i="13"/>
  <c r="O90" i="39" s="1"/>
  <c r="N98" i="39" s="1"/>
  <c r="U22" i="13"/>
  <c r="T22" i="13"/>
  <c r="N90" i="39" s="1"/>
  <c r="M98" i="39" s="1"/>
  <c r="S22" i="13"/>
  <c r="R22" i="13"/>
  <c r="M90" i="39" s="1"/>
  <c r="L98" i="39" s="1"/>
  <c r="P22" i="13"/>
  <c r="L90" i="39" s="1"/>
  <c r="K98" i="39" s="1"/>
  <c r="O22" i="13"/>
  <c r="M22" i="13"/>
  <c r="K22" i="13"/>
  <c r="I22" i="13"/>
  <c r="G22" i="13"/>
  <c r="S101" i="39" l="1"/>
  <c r="S99" i="39"/>
  <c r="S100" i="39"/>
  <c r="Q16" i="13"/>
  <c r="L71" i="39" s="1"/>
  <c r="L16" i="39" s="1"/>
  <c r="E16" i="13"/>
  <c r="F71" i="39" s="1"/>
  <c r="R16" i="13"/>
  <c r="G16" i="13"/>
  <c r="G71" i="39" s="1"/>
  <c r="G16" i="39" s="1"/>
  <c r="AE114" i="13"/>
  <c r="AD114" i="13"/>
  <c r="M16" i="13"/>
  <c r="J71" i="39" s="1"/>
  <c r="J16" i="39" s="1"/>
  <c r="X16" i="13"/>
  <c r="Y16" i="13"/>
  <c r="P71" i="39" s="1"/>
  <c r="P16" i="39" s="1"/>
  <c r="T16" i="13"/>
  <c r="N22" i="13"/>
  <c r="K90" i="39" s="1"/>
  <c r="J98" i="39" s="1"/>
  <c r="AD22" i="13"/>
  <c r="L22" i="13"/>
  <c r="J90" i="39" s="1"/>
  <c r="I98" i="39" s="1"/>
  <c r="J22" i="13"/>
  <c r="I90" i="39" s="1"/>
  <c r="H98" i="39" s="1"/>
  <c r="W16" i="13"/>
  <c r="O71" i="39" s="1"/>
  <c r="O16" i="39" s="1"/>
  <c r="H22" i="13"/>
  <c r="H90" i="39" s="1"/>
  <c r="G98" i="39" s="1"/>
  <c r="S16" i="13"/>
  <c r="M71" i="39" s="1"/>
  <c r="M16" i="39" s="1"/>
  <c r="AA16" i="13"/>
  <c r="Q71" i="39" s="1"/>
  <c r="Q16" i="39" s="1"/>
  <c r="O16" i="13"/>
  <c r="K71" i="39" s="1"/>
  <c r="K16" i="39" s="1"/>
  <c r="Z16" i="13"/>
  <c r="AD88" i="13"/>
  <c r="AE88" i="13"/>
  <c r="I16" i="13"/>
  <c r="H71" i="39" s="1"/>
  <c r="H16" i="39" s="1"/>
  <c r="U16" i="13"/>
  <c r="N71" i="39" s="1"/>
  <c r="N16" i="39" s="1"/>
  <c r="K16" i="13"/>
  <c r="I71" i="39" s="1"/>
  <c r="I16" i="39" s="1"/>
  <c r="V16" i="13"/>
  <c r="AB16" i="13"/>
  <c r="AD145" i="13"/>
  <c r="AE149" i="13"/>
  <c r="P16" i="13"/>
  <c r="P72" i="39" l="1"/>
  <c r="P17" i="39" s="1"/>
  <c r="P18" i="39" s="1"/>
  <c r="M29" i="44"/>
  <c r="Q72" i="39"/>
  <c r="Q17" i="39" s="1"/>
  <c r="Q18" i="39" s="1"/>
  <c r="N29" i="44"/>
  <c r="O72" i="39"/>
  <c r="O17" i="39" s="1"/>
  <c r="O18" i="39" s="1"/>
  <c r="L29" i="44"/>
  <c r="K72" i="39"/>
  <c r="K17" i="39" s="1"/>
  <c r="K18" i="39" s="1"/>
  <c r="H29" i="44"/>
  <c r="L72" i="39"/>
  <c r="L17" i="39" s="1"/>
  <c r="L18" i="39" s="1"/>
  <c r="I29" i="44"/>
  <c r="N72" i="39"/>
  <c r="N17" i="39" s="1"/>
  <c r="N19" i="39" s="1"/>
  <c r="K29" i="44"/>
  <c r="M72" i="39"/>
  <c r="M17" i="39" s="1"/>
  <c r="M18" i="39" s="1"/>
  <c r="J29" i="44"/>
  <c r="S71" i="39"/>
  <c r="F16" i="39"/>
  <c r="S16" i="39" s="1"/>
  <c r="S98" i="39"/>
  <c r="J16" i="13"/>
  <c r="N16" i="13"/>
  <c r="L16" i="13"/>
  <c r="F16" i="13"/>
  <c r="H16" i="13"/>
  <c r="AE145" i="13"/>
  <c r="AE22" i="13"/>
  <c r="AD16" i="13"/>
  <c r="H31" i="44" l="1"/>
  <c r="H32" i="44" s="1"/>
  <c r="I31" i="44"/>
  <c r="I32" i="44" s="1"/>
  <c r="N31" i="44"/>
  <c r="N32" i="44" s="1"/>
  <c r="K31" i="44"/>
  <c r="K32" i="44" s="1"/>
  <c r="L31" i="44"/>
  <c r="L32" i="44" s="1"/>
  <c r="J31" i="44"/>
  <c r="J32" i="44" s="1"/>
  <c r="M31" i="44"/>
  <c r="M32" i="44" s="1"/>
  <c r="Q19" i="39"/>
  <c r="N18" i="39"/>
  <c r="K19" i="39"/>
  <c r="L19" i="39"/>
  <c r="O19" i="39"/>
  <c r="G72" i="39"/>
  <c r="G17" i="39" s="1"/>
  <c r="G18" i="39" s="1"/>
  <c r="D29" i="44"/>
  <c r="D31" i="44" s="1"/>
  <c r="D32" i="44" s="1"/>
  <c r="F72" i="39"/>
  <c r="F17" i="39" s="1"/>
  <c r="F18" i="39" s="1"/>
  <c r="C29" i="44"/>
  <c r="I72" i="39"/>
  <c r="I17" i="39" s="1"/>
  <c r="I18" i="39" s="1"/>
  <c r="F29" i="44"/>
  <c r="J72" i="39"/>
  <c r="J17" i="39" s="1"/>
  <c r="J18" i="39" s="1"/>
  <c r="G29" i="44"/>
  <c r="H72" i="39"/>
  <c r="H17" i="39" s="1"/>
  <c r="H18" i="39" s="1"/>
  <c r="E29" i="44"/>
  <c r="M19" i="39"/>
  <c r="P19" i="39"/>
  <c r="AE16" i="13"/>
  <c r="G31" i="44" l="1"/>
  <c r="G32" i="44" s="1"/>
  <c r="E31" i="44"/>
  <c r="E32" i="44" s="1"/>
  <c r="F31" i="44"/>
  <c r="F32" i="44" s="1"/>
  <c r="C31" i="44"/>
  <c r="C32" i="44" s="1"/>
  <c r="G19" i="39"/>
  <c r="S72" i="39"/>
  <c r="I19" i="39"/>
  <c r="J19" i="39"/>
  <c r="H19" i="39"/>
  <c r="S18" i="39"/>
  <c r="F19" i="39"/>
  <c r="S17" i="39"/>
  <c r="S19" i="39" s="1"/>
</calcChain>
</file>

<file path=xl/sharedStrings.xml><?xml version="1.0" encoding="utf-8"?>
<sst xmlns="http://schemas.openxmlformats.org/spreadsheetml/2006/main" count="717" uniqueCount="187">
  <si>
    <t>1.0</t>
  </si>
  <si>
    <t>Código</t>
  </si>
  <si>
    <t>Revisão</t>
  </si>
  <si>
    <t>Data</t>
  </si>
  <si>
    <t>Página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</si>
  <si>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</si>
  <si>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</si>
  <si>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</si>
  <si>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</si>
  <si>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</si>
  <si>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</si>
  <si>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</si>
  <si>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</si>
  <si>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</si>
  <si>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</si>
  <si>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</si>
  <si>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</si>
  <si>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SOMATÓRIO</t>
  </si>
  <si>
    <t>PREVISTO</t>
  </si>
  <si>
    <t>REALIZADO</t>
  </si>
  <si>
    <t>DESCRIÇÃO</t>
  </si>
  <si>
    <t>RECEITAS</t>
  </si>
  <si>
    <t>Empréstimos de instituições</t>
  </si>
  <si>
    <t>Integralização de capital</t>
  </si>
  <si>
    <t>RECEITAS FINANCEIRAS</t>
  </si>
  <si>
    <t>GASTOS</t>
  </si>
  <si>
    <t>Adiantamento Salarial</t>
  </si>
  <si>
    <t>Férias</t>
  </si>
  <si>
    <t>Rescisões</t>
  </si>
  <si>
    <t>13º Salário</t>
  </si>
  <si>
    <t>Cartório</t>
  </si>
  <si>
    <t>Honorários Advocatícios</t>
  </si>
  <si>
    <t>Honorários Contábeis</t>
  </si>
  <si>
    <t>Lanches e Refeições</t>
  </si>
  <si>
    <t>Marketing e Publicidade</t>
  </si>
  <si>
    <t>Empréstimos de Sócios</t>
  </si>
  <si>
    <t>Reembolso</t>
  </si>
  <si>
    <t>Outros</t>
  </si>
  <si>
    <t>Crédito de Cartão</t>
  </si>
  <si>
    <t>Juros</t>
  </si>
  <si>
    <t>Retorno sobre Investimento</t>
  </si>
  <si>
    <t>Alvará</t>
  </si>
  <si>
    <t>Cofins</t>
  </si>
  <si>
    <t>DARF</t>
  </si>
  <si>
    <t>FGTS</t>
  </si>
  <si>
    <t>INSS / GPS</t>
  </si>
  <si>
    <t>IOF</t>
  </si>
  <si>
    <t>IPTU</t>
  </si>
  <si>
    <t>IPVA</t>
  </si>
  <si>
    <t>IRPF</t>
  </si>
  <si>
    <t>IRPJ</t>
  </si>
  <si>
    <t>PIS</t>
  </si>
  <si>
    <t>Simples Nacional - DAS</t>
  </si>
  <si>
    <t>Taxa de Prefeitura</t>
  </si>
  <si>
    <t>Bonificações</t>
  </si>
  <si>
    <t>Agua</t>
  </si>
  <si>
    <t>Aluguel de Equipamentos</t>
  </si>
  <si>
    <t>Brindes e Doações</t>
  </si>
  <si>
    <t>Combustíveis e Lubrificantes</t>
  </si>
  <si>
    <t>Correios</t>
  </si>
  <si>
    <t>Cursos e Treinamentos</t>
  </si>
  <si>
    <t>Energia Elétrica</t>
  </si>
  <si>
    <t>Limpeza/Diarista</t>
  </si>
  <si>
    <t>Manutenção</t>
  </si>
  <si>
    <t>Material de Limpeza e Conservação</t>
  </si>
  <si>
    <t>Material Gráfico/Livraria</t>
  </si>
  <si>
    <t>Multas</t>
  </si>
  <si>
    <t>Seguros</t>
  </si>
  <si>
    <t>Uniforme</t>
  </si>
  <si>
    <t>Vale Alimentação</t>
  </si>
  <si>
    <t>Vale Transporte</t>
  </si>
  <si>
    <t>Viagens e Hospedagens</t>
  </si>
  <si>
    <t>Despesas Bancárias</t>
  </si>
  <si>
    <t>Empréstimos Bancários</t>
  </si>
  <si>
    <t>Juros e Mora Pagas</t>
  </si>
  <si>
    <t>ICMS</t>
  </si>
  <si>
    <t>IPI</t>
  </si>
  <si>
    <t>OUTRAS RECEITAS</t>
  </si>
  <si>
    <t>Internet</t>
  </si>
  <si>
    <t>Telefone</t>
  </si>
  <si>
    <t>Serviços Terceirizados</t>
  </si>
  <si>
    <t>Financiamentos</t>
  </si>
  <si>
    <t>Capital de Giro</t>
  </si>
  <si>
    <t>Sistema Software</t>
  </si>
  <si>
    <t>Suporte em Gestão</t>
  </si>
  <si>
    <t>ECAD</t>
  </si>
  <si>
    <t>Corpo de Bombeiros</t>
  </si>
  <si>
    <t>INVESTIMENTOS</t>
  </si>
  <si>
    <t>TOTAL MENSAL</t>
  </si>
  <si>
    <t>IMPOSTOS E TAXAS</t>
  </si>
  <si>
    <t>Associação Comercial</t>
  </si>
  <si>
    <t>Aluguel de Imóveis</t>
  </si>
  <si>
    <t>Coleta de Lixo</t>
  </si>
  <si>
    <t>Vigilância Patrimonial</t>
  </si>
  <si>
    <t>Retiradas de Sócios</t>
  </si>
  <si>
    <t>Taxa Cartão de Crédito</t>
  </si>
  <si>
    <t xml:space="preserve">Investimento Estrutural </t>
  </si>
  <si>
    <t>ISS</t>
  </si>
  <si>
    <t>Fretes</t>
  </si>
  <si>
    <t xml:space="preserve">DESPESAS OPERACIONAIS </t>
  </si>
  <si>
    <t xml:space="preserve">CSLL </t>
  </si>
  <si>
    <t>Aquisição de Imobilizado</t>
  </si>
  <si>
    <t>Matéria-prima</t>
  </si>
  <si>
    <t>SAÍDAS</t>
  </si>
  <si>
    <t>ENTRADAS</t>
  </si>
  <si>
    <t xml:space="preserve">Aplicações </t>
  </si>
  <si>
    <t>Provisionamentos</t>
  </si>
  <si>
    <t>TOTAL</t>
  </si>
  <si>
    <t>LUCRO ESTIMADO</t>
  </si>
  <si>
    <t>LUCRO OBTIDO</t>
  </si>
  <si>
    <t>SALDO</t>
  </si>
  <si>
    <t>ANO</t>
  </si>
  <si>
    <t>EMPRESA</t>
  </si>
  <si>
    <t xml:space="preserve">Cliente </t>
  </si>
  <si>
    <t>R.PD.023</t>
  </si>
  <si>
    <t>INDICADORES / R.PD.023</t>
  </si>
  <si>
    <t>GERENCIADOR FINANCEIRO</t>
  </si>
  <si>
    <t>PRODUTOS/SERVIÇOS</t>
  </si>
  <si>
    <t>CUSTOS PRODUTOS/SERVIÇOS</t>
  </si>
  <si>
    <t>RESULTADO</t>
  </si>
  <si>
    <t>DESP. OPERACIONAIS</t>
  </si>
  <si>
    <t>CUSTO PROD. / SERV.</t>
  </si>
  <si>
    <t>Esta obra está licenciada com uma Licença Creative Commons Atribuição-NãoComercial 4.0 Internacional.</t>
  </si>
  <si>
    <t>Salários</t>
  </si>
  <si>
    <t>PLANO DE CONTAS</t>
  </si>
  <si>
    <t>PRODUTOS / SERVIÇOS</t>
  </si>
  <si>
    <t>DESPESAS</t>
  </si>
  <si>
    <t>DESPESAS OPERACIONAIS</t>
  </si>
  <si>
    <t>SUBCATEGORIA</t>
  </si>
  <si>
    <t>CUSTO DE PRODUTOS/SERVIÇOS</t>
  </si>
  <si>
    <t>Prestação de Serviços</t>
  </si>
  <si>
    <t>Pró-Labore</t>
  </si>
  <si>
    <t>Comissões</t>
  </si>
  <si>
    <t>Anuidades/Mensalidades</t>
  </si>
  <si>
    <t>Remuneração de Autônomos</t>
  </si>
  <si>
    <t>Remuneração de Estagiários</t>
  </si>
  <si>
    <t>Reformas</t>
  </si>
  <si>
    <t xml:space="preserve">Saúde Ocupacional </t>
  </si>
  <si>
    <t>PLR - Participação nos Lucros e Resultados</t>
  </si>
  <si>
    <t>% LUCRATIVIDADE</t>
  </si>
  <si>
    <t>FLUXO DE CAIXA</t>
  </si>
  <si>
    <t>PLANO DE CONTAS / R.PD.023</t>
  </si>
  <si>
    <t>AVALIAÇÃO FINANCEIRA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</si>
  <si>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</si>
  <si>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</si>
  <si>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</si>
  <si>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</si>
  <si>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</si>
  <si>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</si>
  <si>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</si>
  <si>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</si>
  <si>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</si>
  <si>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</si>
  <si>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</si>
  <si>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</si>
  <si>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SALDO INICIAL:</t>
  </si>
  <si>
    <t>SALDO FINAL:</t>
  </si>
  <si>
    <t>CAIXA FÍSICO</t>
  </si>
  <si>
    <t>CONFERÊNCIA</t>
  </si>
  <si>
    <t>SALDO INICIAL CONTAS</t>
  </si>
  <si>
    <t>SALDO FINAL CONTAS</t>
  </si>
  <si>
    <t>(+) RECEITAS</t>
  </si>
  <si>
    <t>(-) GASTOS</t>
  </si>
  <si>
    <t>GERAÇÃO DE CAIXA EXTRATOS</t>
  </si>
  <si>
    <t>GERAÇÃO DE CAIXA PLANILHA</t>
  </si>
  <si>
    <t>DIFERENÇA</t>
  </si>
  <si>
    <t>This work is licensed under a Creative Commons Attribution-NonCommercial 4.0 International License.</t>
  </si>
  <si>
    <t xml:space="preserve"> </t>
  </si>
  <si>
    <t>CONTA 01</t>
  </si>
  <si>
    <t>CONTA 02</t>
  </si>
  <si>
    <t>CONCILIAÇÃO</t>
  </si>
  <si>
    <t>2.0</t>
  </si>
  <si>
    <t>CONCILIAÇÃO / R.PD.023</t>
  </si>
  <si>
    <t>R.OP.007</t>
  </si>
  <si>
    <t>REGISTRO FINANCEIRO MENSAL</t>
  </si>
  <si>
    <t>CADASTRO DE ITENS</t>
  </si>
  <si>
    <t>NOME DO ITEM:</t>
  </si>
  <si>
    <t>LISTAGEM</t>
  </si>
  <si>
    <t>RECEITAS | Produtos e Serviços</t>
  </si>
  <si>
    <t>RECEITAS | Outras Receitas</t>
  </si>
  <si>
    <t>RECEITAS | Receitas Financeiras</t>
  </si>
  <si>
    <t>GASTOS | Despesas Operacionais</t>
  </si>
  <si>
    <t>GASTOS | Custos de Produtos e Serviços</t>
  </si>
  <si>
    <t>GASTOS | Impostos e Taxas</t>
  </si>
  <si>
    <t>GASTOS | Investimentos</t>
  </si>
  <si>
    <t>RECEITAS / R.OP.007</t>
  </si>
  <si>
    <t>CADASTRO DE ITENS / R.OP.007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</si>
</sst>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;[Red]&quot;R$ &quot;#,##0.00"/>
  </numFmts>
  <fonts count="5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20"/>
      <color theme="0"/>
      <name val="Arial"/>
      <family val="2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b/>
      <sz val="16"/>
      <color theme="0"/>
      <name val="Arial"/>
      <family val="2"/>
    </font>
    <font>
      <sz val="12"/>
      <name val="Arial"/>
      <family val="2"/>
    </font>
    <font>
      <sz val="10"/>
      <color theme="0"/>
      <name val="Arial"/>
      <family val="2"/>
    </font>
    <font>
      <b/>
      <sz val="36"/>
      <color theme="0"/>
      <name val="Arial"/>
      <family val="2"/>
    </font>
    <font>
      <sz val="14"/>
      <name val="Arial"/>
      <family val="2"/>
    </font>
    <font>
      <b/>
      <sz val="34"/>
      <color theme="0"/>
      <name val="Arial"/>
      <family val="2"/>
    </font>
    <font>
      <b/>
      <sz val="28"/>
      <color theme="0"/>
      <name val="Arial"/>
      <family val="2"/>
    </font>
    <font>
      <sz val="16"/>
      <name val="Arial"/>
      <family val="2"/>
    </font>
    <font>
      <sz val="16"/>
      <color theme="0"/>
      <name val="Arial"/>
      <family val="2"/>
    </font>
    <font>
      <sz val="15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sz val="12"/>
      <color theme="0"/>
      <name val="Arial"/>
      <family val="2"/>
    </font>
    <font>
      <b/>
      <sz val="24"/>
      <color theme="0"/>
      <name val="Arial"/>
      <family val="2"/>
    </font>
    <font>
      <b/>
      <sz val="15"/>
      <color theme="0"/>
      <name val="Arial"/>
      <family val="2"/>
    </font>
    <font>
      <b/>
      <sz val="26"/>
      <color theme="0"/>
      <name val="Arial"/>
      <family val="2"/>
    </font>
    <font>
      <b/>
      <sz val="24"/>
      <name val="Arial"/>
      <family val="2"/>
    </font>
    <font>
      <b/>
      <sz val="36"/>
      <name val="Arial"/>
      <family val="2"/>
    </font>
    <font>
      <sz val="14"/>
      <color theme="0"/>
      <name val="Arial"/>
      <family val="2"/>
    </font>
    <font>
      <b/>
      <sz val="11"/>
      <color theme="1"/>
      <name val="Arial"/>
      <family val="2"/>
    </font>
    <font>
      <b/>
      <sz val="16"/>
      <color rgb="FFFF8601"/>
      <name val="Arial"/>
      <family val="2"/>
    </font>
    <font>
      <sz val="15"/>
      <color theme="0"/>
      <name val="Arial"/>
      <family val="2"/>
    </font>
    <font>
      <sz val="26"/>
      <name val="Arial"/>
      <family val="2"/>
    </font>
    <font>
      <u/>
      <sz val="12"/>
      <color theme="10"/>
      <name val="Arial"/>
      <family val="2"/>
    </font>
    <font>
      <b/>
      <sz val="18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sz val="20"/>
      <name val="Arial"/>
      <family val="2"/>
    </font>
    <font>
      <sz val="14"/>
      <color theme="1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b/>
      <sz val="28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u/>
      <sz val="9"/>
      <color theme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1886"/>
        <bgColor indexed="64"/>
      </patternFill>
    </fill>
    <fill>
      <patternFill patternType="solid">
        <fgColor rgb="FF2E20B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50D"/>
        <bgColor indexed="64"/>
      </patternFill>
    </fill>
    <fill>
      <patternFill patternType="solid">
        <fgColor rgb="FF669E40"/>
        <bgColor indexed="64"/>
      </patternFill>
    </fill>
    <fill>
      <patternFill patternType="solid">
        <fgColor rgb="FF85BE5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BA036"/>
        <bgColor indexed="64"/>
      </patternFill>
    </fill>
    <fill>
      <patternFill patternType="solid">
        <fgColor rgb="FF9DD37F"/>
        <bgColor indexed="64"/>
      </patternFill>
    </fill>
    <fill>
      <patternFill patternType="solid">
        <fgColor rgb="FFD9EECE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12" fillId="0" borderId="0"/>
    <xf numFmtId="44" fontId="5" fillId="0" borderId="0" applyFont="0" applyFill="0" applyBorder="0" applyAlignment="0" applyProtection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456">
    <xf numFmtId="0" fontId="0" fillId="0" borderId="0" xfId="0"/>
    <xf numFmtId="0" fontId="8" fillId="0" borderId="2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5" xfId="0" applyFont="1" applyBorder="1" applyAlignment="1">
      <alignment horizontal="center" vertical="center"/>
    </xf>
    <xf numFmtId="0" fontId="8" fillId="0" borderId="7" xfId="0" applyFont="1" applyBorder="1"/>
    <xf numFmtId="0" fontId="7" fillId="0" borderId="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33" xfId="0" applyFont="1" applyBorder="1"/>
    <xf numFmtId="0" fontId="7" fillId="0" borderId="0" xfId="0" applyFont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43" fontId="4" fillId="0" borderId="20" xfId="0" applyNumberFormat="1" applyFont="1" applyBorder="1" applyAlignment="1" applyProtection="1">
      <alignment horizontal="right" vertical="center" wrapText="1" shrinkToFit="1"/>
      <protection locked="0"/>
    </xf>
    <xf numFmtId="43" fontId="4" fillId="0" borderId="22" xfId="0" applyNumberFormat="1" applyFont="1" applyBorder="1" applyAlignment="1" applyProtection="1">
      <alignment horizontal="right" vertical="center" wrapText="1" shrinkToFit="1"/>
      <protection locked="0"/>
    </xf>
    <xf numFmtId="43" fontId="4" fillId="0" borderId="24" xfId="0" applyNumberFormat="1" applyFont="1" applyBorder="1" applyAlignment="1" applyProtection="1">
      <alignment horizontal="right" vertical="center" wrapText="1" shrinkToFit="1"/>
      <protection locked="0"/>
    </xf>
    <xf numFmtId="0" fontId="7" fillId="0" borderId="7" xfId="0" applyFont="1" applyBorder="1" applyAlignment="1">
      <alignment horizontal="left" vertical="center"/>
    </xf>
    <xf numFmtId="0" fontId="11" fillId="0" borderId="0" xfId="1" applyFont="1" applyBorder="1" applyAlignment="1">
      <alignment vertical="center" wrapText="1"/>
    </xf>
    <xf numFmtId="0" fontId="8" fillId="0" borderId="7" xfId="0" applyFont="1" applyBorder="1" applyAlignment="1">
      <alignment horizontal="left"/>
    </xf>
    <xf numFmtId="0" fontId="18" fillId="0" borderId="0" xfId="3" applyFont="1" applyAlignment="1">
      <alignment wrapText="1"/>
    </xf>
    <xf numFmtId="164" fontId="19" fillId="0" borderId="0" xfId="3" applyNumberFormat="1" applyFont="1" applyAlignment="1">
      <alignment horizontal="center" vertical="center" wrapText="1"/>
    </xf>
    <xf numFmtId="0" fontId="20" fillId="0" borderId="0" xfId="3" applyFont="1" applyAlignment="1">
      <alignment horizontal="center" vertical="center" wrapText="1" shrinkToFit="1"/>
    </xf>
    <xf numFmtId="39" fontId="24" fillId="0" borderId="2" xfId="3" applyNumberFormat="1" applyFont="1" applyBorder="1" applyAlignment="1">
      <alignment horizontal="center" vertical="center" wrapText="1"/>
    </xf>
    <xf numFmtId="0" fontId="24" fillId="0" borderId="0" xfId="3" applyFont="1" applyAlignment="1">
      <alignment wrapText="1"/>
    </xf>
    <xf numFmtId="164" fontId="19" fillId="0" borderId="5" xfId="3" applyNumberFormat="1" applyFont="1" applyBorder="1" applyAlignment="1">
      <alignment horizontal="center" vertical="center" wrapText="1"/>
    </xf>
    <xf numFmtId="0" fontId="18" fillId="0" borderId="7" xfId="3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39" fontId="21" fillId="0" borderId="5" xfId="3" applyNumberFormat="1" applyFont="1" applyBorder="1" applyAlignment="1">
      <alignment horizontal="center" vertical="center" wrapText="1" shrinkToFit="1"/>
    </xf>
    <xf numFmtId="39" fontId="24" fillId="0" borderId="5" xfId="3" applyNumberFormat="1" applyFont="1" applyBorder="1" applyAlignment="1">
      <alignment horizontal="center" vertical="center" wrapText="1"/>
    </xf>
    <xf numFmtId="39" fontId="24" fillId="0" borderId="5" xfId="3" applyNumberFormat="1" applyFont="1" applyBorder="1" applyAlignment="1">
      <alignment horizontal="center" vertical="center" wrapText="1" shrinkToFit="1"/>
    </xf>
    <xf numFmtId="9" fontId="24" fillId="0" borderId="5" xfId="9" applyFont="1" applyFill="1" applyBorder="1" applyAlignment="1">
      <alignment horizontal="center" vertical="center" wrapText="1" shrinkToFit="1"/>
    </xf>
    <xf numFmtId="0" fontId="18" fillId="0" borderId="5" xfId="3" applyFont="1" applyBorder="1" applyAlignment="1">
      <alignment wrapText="1"/>
    </xf>
    <xf numFmtId="0" fontId="22" fillId="0" borderId="7" xfId="3" applyFont="1" applyBorder="1" applyAlignment="1">
      <alignment vertical="center" wrapText="1" shrinkToFit="1"/>
    </xf>
    <xf numFmtId="0" fontId="11" fillId="0" borderId="5" xfId="1" applyFont="1" applyBorder="1" applyAlignment="1">
      <alignment vertical="center" wrapText="1"/>
    </xf>
    <xf numFmtId="0" fontId="8" fillId="0" borderId="8" xfId="0" applyFont="1" applyBorder="1"/>
    <xf numFmtId="9" fontId="27" fillId="2" borderId="31" xfId="9" applyFont="1" applyFill="1" applyBorder="1" applyAlignment="1">
      <alignment horizontal="center" vertical="center" wrapText="1"/>
    </xf>
    <xf numFmtId="0" fontId="18" fillId="0" borderId="4" xfId="3" applyFont="1" applyBorder="1" applyAlignment="1">
      <alignment wrapText="1"/>
    </xf>
    <xf numFmtId="0" fontId="8" fillId="0" borderId="5" xfId="0" applyFont="1" applyBorder="1"/>
    <xf numFmtId="0" fontId="8" fillId="0" borderId="1" xfId="0" applyFont="1" applyBorder="1"/>
    <xf numFmtId="0" fontId="8" fillId="0" borderId="2" xfId="0" applyFont="1" applyBorder="1" applyAlignment="1">
      <alignment horizontal="left"/>
    </xf>
    <xf numFmtId="0" fontId="8" fillId="0" borderId="3" xfId="0" applyFont="1" applyBorder="1"/>
    <xf numFmtId="0" fontId="8" fillId="0" borderId="4" xfId="0" applyFont="1" applyBorder="1"/>
    <xf numFmtId="0" fontId="24" fillId="0" borderId="4" xfId="3" applyFont="1" applyBorder="1" applyAlignment="1">
      <alignment wrapText="1"/>
    </xf>
    <xf numFmtId="0" fontId="24" fillId="0" borderId="5" xfId="3" applyFont="1" applyBorder="1" applyAlignment="1">
      <alignment wrapText="1"/>
    </xf>
    <xf numFmtId="0" fontId="23" fillId="0" borderId="4" xfId="3" applyFont="1" applyBorder="1" applyAlignment="1">
      <alignment horizontal="center" vertical="center" textRotation="90" wrapText="1" shrinkToFit="1"/>
    </xf>
    <xf numFmtId="0" fontId="23" fillId="0" borderId="6" xfId="3" applyFont="1" applyBorder="1" applyAlignment="1">
      <alignment horizontal="center" vertical="center" textRotation="90" wrapText="1" shrinkToFit="1"/>
    </xf>
    <xf numFmtId="0" fontId="30" fillId="0" borderId="4" xfId="3" applyFont="1" applyBorder="1" applyAlignment="1">
      <alignment vertical="center" wrapText="1" shrinkToFit="1"/>
    </xf>
    <xf numFmtId="0" fontId="20" fillId="0" borderId="2" xfId="3" applyFont="1" applyBorder="1" applyAlignment="1">
      <alignment vertical="center" wrapText="1" shrinkToFit="1"/>
    </xf>
    <xf numFmtId="0" fontId="30" fillId="0" borderId="1" xfId="3" applyFont="1" applyBorder="1" applyAlignment="1">
      <alignment vertical="center" wrapText="1" shrinkToFit="1"/>
    </xf>
    <xf numFmtId="0" fontId="14" fillId="0" borderId="33" xfId="0" applyFont="1" applyBorder="1" applyAlignment="1">
      <alignment horizontal="center" vertical="center"/>
    </xf>
    <xf numFmtId="0" fontId="30" fillId="0" borderId="2" xfId="3" applyFont="1" applyBorder="1" applyAlignment="1">
      <alignment horizontal="center" vertical="center" wrapText="1" shrinkToFit="1"/>
    </xf>
    <xf numFmtId="0" fontId="33" fillId="0" borderId="4" xfId="3" applyFont="1" applyBorder="1" applyAlignment="1">
      <alignment vertical="center" wrapText="1" shrinkToFit="1"/>
    </xf>
    <xf numFmtId="0" fontId="35" fillId="0" borderId="6" xfId="3" applyFont="1" applyBorder="1" applyAlignment="1">
      <alignment horizontal="center" vertical="center" wrapText="1" shrinkToFit="1"/>
    </xf>
    <xf numFmtId="0" fontId="21" fillId="0" borderId="7" xfId="3" applyFont="1" applyBorder="1" applyAlignment="1">
      <alignment wrapText="1"/>
    </xf>
    <xf numFmtId="39" fontId="24" fillId="0" borderId="0" xfId="3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39" fontId="24" fillId="0" borderId="0" xfId="3" applyNumberFormat="1" applyFont="1" applyAlignment="1">
      <alignment horizontal="center" vertical="center" wrapText="1" shrinkToFit="1"/>
    </xf>
    <xf numFmtId="0" fontId="20" fillId="4" borderId="0" xfId="3" applyFont="1" applyFill="1" applyAlignment="1">
      <alignment vertical="center" wrapText="1" shrinkToFit="1"/>
    </xf>
    <xf numFmtId="0" fontId="34" fillId="0" borderId="0" xfId="3" applyFont="1" applyAlignment="1">
      <alignment vertical="center" wrapText="1" shrinkToFit="1"/>
    </xf>
    <xf numFmtId="0" fontId="30" fillId="0" borderId="0" xfId="3" applyFont="1" applyAlignment="1">
      <alignment horizontal="center" vertical="center" wrapText="1" shrinkToFit="1"/>
    </xf>
    <xf numFmtId="0" fontId="20" fillId="0" borderId="0" xfId="3" applyFont="1" applyAlignment="1">
      <alignment vertical="center" wrapText="1" shrinkToFit="1"/>
    </xf>
    <xf numFmtId="43" fontId="29" fillId="0" borderId="0" xfId="3" applyNumberFormat="1" applyFont="1" applyAlignment="1">
      <alignment wrapText="1"/>
    </xf>
    <xf numFmtId="0" fontId="14" fillId="0" borderId="3" xfId="0" applyFont="1" applyBorder="1" applyAlignment="1">
      <alignment horizontal="center" vertical="center"/>
    </xf>
    <xf numFmtId="0" fontId="17" fillId="0" borderId="11" xfId="3" applyFont="1" applyBorder="1" applyAlignment="1">
      <alignment horizontal="center" vertical="center" wrapText="1"/>
    </xf>
    <xf numFmtId="39" fontId="21" fillId="0" borderId="11" xfId="3" applyNumberFormat="1" applyFont="1" applyBorder="1" applyAlignment="1">
      <alignment horizontal="center" vertical="center" wrapText="1" shrinkToFit="1"/>
    </xf>
    <xf numFmtId="9" fontId="24" fillId="0" borderId="11" xfId="9" applyFont="1" applyFill="1" applyBorder="1" applyAlignment="1">
      <alignment horizontal="center" vertical="center" wrapText="1" shrinkToFit="1"/>
    </xf>
    <xf numFmtId="0" fontId="17" fillId="0" borderId="0" xfId="3" applyFont="1" applyAlignment="1">
      <alignment horizontal="right" vertical="center" wrapText="1" shrinkToFit="1"/>
    </xf>
    <xf numFmtId="164" fontId="25" fillId="0" borderId="0" xfId="3" applyNumberFormat="1" applyFont="1" applyAlignment="1">
      <alignment horizontal="center" vertical="center" wrapText="1"/>
    </xf>
    <xf numFmtId="39" fontId="24" fillId="0" borderId="11" xfId="3" applyNumberFormat="1" applyFont="1" applyBorder="1" applyAlignment="1">
      <alignment horizontal="center" vertical="center" wrapText="1"/>
    </xf>
    <xf numFmtId="39" fontId="24" fillId="0" borderId="11" xfId="3" applyNumberFormat="1" applyFont="1" applyBorder="1" applyAlignment="1">
      <alignment horizontal="center" vertical="center" wrapText="1" shrinkToFit="1"/>
    </xf>
    <xf numFmtId="0" fontId="22" fillId="0" borderId="0" xfId="3" applyFont="1" applyAlignment="1">
      <alignment vertical="center" wrapText="1" shrinkToFit="1"/>
    </xf>
    <xf numFmtId="164" fontId="19" fillId="0" borderId="11" xfId="3" applyNumberFormat="1" applyFont="1" applyBorder="1" applyAlignment="1">
      <alignment horizontal="center" vertical="center" wrapText="1"/>
    </xf>
    <xf numFmtId="0" fontId="18" fillId="0" borderId="11" xfId="3" applyFont="1" applyBorder="1" applyAlignment="1">
      <alignment wrapText="1"/>
    </xf>
    <xf numFmtId="0" fontId="24" fillId="0" borderId="11" xfId="3" applyFont="1" applyBorder="1" applyAlignment="1">
      <alignment wrapText="1"/>
    </xf>
    <xf numFmtId="0" fontId="18" fillId="0" borderId="6" xfId="3" applyFont="1" applyBorder="1" applyAlignment="1">
      <alignment wrapText="1"/>
    </xf>
    <xf numFmtId="0" fontId="30" fillId="0" borderId="7" xfId="3" applyFont="1" applyBorder="1" applyAlignment="1">
      <alignment horizontal="center" vertical="center" textRotation="90" wrapText="1" shrinkToFit="1"/>
    </xf>
    <xf numFmtId="164" fontId="13" fillId="0" borderId="7" xfId="3" applyNumberFormat="1" applyFont="1" applyBorder="1" applyAlignment="1">
      <alignment horizontal="right" vertical="center" shrinkToFit="1"/>
    </xf>
    <xf numFmtId="164" fontId="13" fillId="0" borderId="7" xfId="3" applyNumberFormat="1" applyFont="1" applyBorder="1" applyAlignment="1">
      <alignment horizontal="center" vertical="center" shrinkToFit="1"/>
    </xf>
    <xf numFmtId="164" fontId="18" fillId="0" borderId="7" xfId="3" applyNumberFormat="1" applyFont="1" applyBorder="1" applyAlignment="1">
      <alignment horizontal="center" vertical="center" shrinkToFit="1"/>
    </xf>
    <xf numFmtId="164" fontId="19" fillId="0" borderId="8" xfId="3" applyNumberFormat="1" applyFont="1" applyBorder="1" applyAlignment="1">
      <alignment horizontal="center" vertical="center" wrapText="1"/>
    </xf>
    <xf numFmtId="39" fontId="28" fillId="2" borderId="15" xfId="3" applyNumberFormat="1" applyFont="1" applyFill="1" applyBorder="1" applyAlignment="1">
      <alignment horizontal="center" vertical="center" wrapText="1" shrinkToFit="1"/>
    </xf>
    <xf numFmtId="9" fontId="27" fillId="2" borderId="6" xfId="9" applyFont="1" applyFill="1" applyBorder="1" applyAlignment="1">
      <alignment horizontal="center" vertical="center" wrapText="1"/>
    </xf>
    <xf numFmtId="9" fontId="27" fillId="2" borderId="8" xfId="9" applyFont="1" applyFill="1" applyBorder="1" applyAlignment="1">
      <alignment horizontal="center" vertical="center" wrapText="1"/>
    </xf>
    <xf numFmtId="39" fontId="28" fillId="2" borderId="1" xfId="3" applyNumberFormat="1" applyFont="1" applyFill="1" applyBorder="1" applyAlignment="1">
      <alignment horizontal="center" vertical="center" wrapText="1" shrinkToFit="1"/>
    </xf>
    <xf numFmtId="39" fontId="28" fillId="2" borderId="3" xfId="3" applyNumberFormat="1" applyFont="1" applyFill="1" applyBorder="1" applyAlignment="1">
      <alignment horizontal="center" vertical="center" wrapText="1" shrinkToFit="1"/>
    </xf>
    <xf numFmtId="9" fontId="27" fillId="2" borderId="6" xfId="9" applyFont="1" applyFill="1" applyBorder="1" applyAlignment="1">
      <alignment horizontal="center" vertical="center" wrapText="1" shrinkToFit="1"/>
    </xf>
    <xf numFmtId="0" fontId="38" fillId="4" borderId="7" xfId="3" applyFont="1" applyFill="1" applyBorder="1" applyAlignment="1">
      <alignment horizontal="center" wrapText="1" shrinkToFit="1"/>
    </xf>
    <xf numFmtId="0" fontId="32" fillId="0" borderId="11" xfId="0" applyFont="1" applyBorder="1" applyAlignment="1">
      <alignment vertical="center"/>
    </xf>
    <xf numFmtId="0" fontId="39" fillId="0" borderId="4" xfId="3" applyFont="1" applyBorder="1" applyAlignment="1">
      <alignment vertical="center" wrapText="1"/>
    </xf>
    <xf numFmtId="0" fontId="39" fillId="0" borderId="11" xfId="3" applyFont="1" applyBorder="1" applyAlignment="1">
      <alignment vertical="center" wrapText="1"/>
    </xf>
    <xf numFmtId="0" fontId="39" fillId="0" borderId="5" xfId="3" applyFont="1" applyBorder="1" applyAlignment="1">
      <alignment vertical="center" wrapText="1"/>
    </xf>
    <xf numFmtId="0" fontId="39" fillId="0" borderId="0" xfId="3" applyFont="1" applyAlignment="1">
      <alignment vertical="center" wrapText="1"/>
    </xf>
    <xf numFmtId="164" fontId="26" fillId="0" borderId="7" xfId="3" applyNumberFormat="1" applyFont="1" applyBorder="1" applyAlignment="1">
      <alignment horizontal="center" wrapText="1"/>
    </xf>
    <xf numFmtId="164" fontId="26" fillId="0" borderId="7" xfId="3" applyNumberFormat="1" applyFont="1" applyBorder="1" applyAlignment="1">
      <alignment horizontal="center" vertical="center" wrapText="1"/>
    </xf>
    <xf numFmtId="164" fontId="26" fillId="0" borderId="0" xfId="3" applyNumberFormat="1" applyFont="1" applyAlignment="1">
      <alignment horizontal="center" wrapText="1"/>
    </xf>
    <xf numFmtId="164" fontId="26" fillId="0" borderId="8" xfId="3" applyNumberFormat="1" applyFont="1" applyBorder="1" applyAlignment="1">
      <alignment horizontal="center" wrapText="1"/>
    </xf>
    <xf numFmtId="39" fontId="28" fillId="4" borderId="18" xfId="3" applyNumberFormat="1" applyFont="1" applyFill="1" applyBorder="1" applyAlignment="1">
      <alignment horizontal="center" vertical="center" wrapText="1"/>
    </xf>
    <xf numFmtId="39" fontId="26" fillId="4" borderId="27" xfId="3" applyNumberFormat="1" applyFont="1" applyFill="1" applyBorder="1" applyAlignment="1">
      <alignment horizontal="center" vertical="center" wrapText="1"/>
    </xf>
    <xf numFmtId="0" fontId="32" fillId="0" borderId="5" xfId="0" applyFont="1" applyBorder="1" applyAlignment="1">
      <alignment vertical="center"/>
    </xf>
    <xf numFmtId="43" fontId="28" fillId="4" borderId="0" xfId="3" applyNumberFormat="1" applyFont="1" applyFill="1" applyAlignment="1">
      <alignment horizontal="center" vertical="center" wrapText="1" shrinkToFit="1"/>
    </xf>
    <xf numFmtId="164" fontId="31" fillId="4" borderId="11" xfId="3" applyNumberFormat="1" applyFont="1" applyFill="1" applyBorder="1" applyAlignment="1">
      <alignment horizontal="center" vertical="center" wrapText="1"/>
    </xf>
    <xf numFmtId="164" fontId="17" fillId="4" borderId="5" xfId="3" applyNumberFormat="1" applyFont="1" applyFill="1" applyBorder="1" applyAlignment="1">
      <alignment horizontal="center" vertical="center" wrapText="1"/>
    </xf>
    <xf numFmtId="0" fontId="38" fillId="4" borderId="0" xfId="3" applyFont="1" applyFill="1" applyAlignment="1">
      <alignment horizontal="center" wrapText="1" shrinkToFit="1"/>
    </xf>
    <xf numFmtId="0" fontId="38" fillId="4" borderId="8" xfId="3" applyFont="1" applyFill="1" applyBorder="1" applyAlignment="1">
      <alignment horizontal="center" wrapText="1"/>
    </xf>
    <xf numFmtId="4" fontId="31" fillId="9" borderId="15" xfId="3" applyNumberFormat="1" applyFont="1" applyFill="1" applyBorder="1" applyAlignment="1">
      <alignment horizontal="center" vertical="center" shrinkToFit="1"/>
    </xf>
    <xf numFmtId="4" fontId="26" fillId="0" borderId="11" xfId="3" applyNumberFormat="1" applyFont="1" applyBorder="1" applyAlignment="1">
      <alignment horizontal="center" vertical="center" shrinkToFit="1"/>
    </xf>
    <xf numFmtId="4" fontId="31" fillId="10" borderId="17" xfId="3" applyNumberFormat="1" applyFont="1" applyFill="1" applyBorder="1" applyAlignment="1">
      <alignment horizontal="center" vertical="center" shrinkToFit="1"/>
    </xf>
    <xf numFmtId="4" fontId="31" fillId="11" borderId="17" xfId="3" applyNumberFormat="1" applyFont="1" applyFill="1" applyBorder="1" applyAlignment="1">
      <alignment horizontal="center" vertical="center" shrinkToFit="1"/>
    </xf>
    <xf numFmtId="4" fontId="31" fillId="12" borderId="31" xfId="3" applyNumberFormat="1" applyFont="1" applyFill="1" applyBorder="1" applyAlignment="1">
      <alignment horizontal="center" vertical="center" shrinkToFit="1"/>
    </xf>
    <xf numFmtId="4" fontId="26" fillId="0" borderId="31" xfId="3" applyNumberFormat="1" applyFont="1" applyBorder="1" applyAlignment="1">
      <alignment horizontal="center" vertical="center" shrinkToFit="1"/>
    </xf>
    <xf numFmtId="4" fontId="31" fillId="6" borderId="15" xfId="3" applyNumberFormat="1" applyFont="1" applyFill="1" applyBorder="1" applyAlignment="1">
      <alignment horizontal="center" vertical="center" shrinkToFit="1"/>
    </xf>
    <xf numFmtId="4" fontId="31" fillId="7" borderId="17" xfId="3" applyNumberFormat="1" applyFont="1" applyFill="1" applyBorder="1" applyAlignment="1">
      <alignment horizontal="center" vertical="center" shrinkToFit="1"/>
    </xf>
    <xf numFmtId="4" fontId="31" fillId="8" borderId="31" xfId="3" applyNumberFormat="1" applyFont="1" applyFill="1" applyBorder="1" applyAlignment="1">
      <alignment horizontal="center" vertical="center" shrinkToFit="1"/>
    </xf>
    <xf numFmtId="0" fontId="44" fillId="0" borderId="4" xfId="3" applyFont="1" applyBorder="1" applyAlignment="1">
      <alignment wrapText="1"/>
    </xf>
    <xf numFmtId="0" fontId="44" fillId="0" borderId="5" xfId="3" applyFont="1" applyBorder="1" applyAlignment="1">
      <alignment wrapText="1"/>
    </xf>
    <xf numFmtId="0" fontId="44" fillId="0" borderId="0" xfId="3" applyFont="1" applyAlignment="1">
      <alignment wrapText="1"/>
    </xf>
    <xf numFmtId="164" fontId="4" fillId="0" borderId="0" xfId="3" applyNumberFormat="1" applyAlignment="1">
      <alignment horizontal="center" vertical="center" wrapText="1"/>
    </xf>
    <xf numFmtId="164" fontId="4" fillId="0" borderId="5" xfId="3" applyNumberFormat="1" applyBorder="1" applyAlignment="1">
      <alignment horizontal="center" vertical="center" wrapText="1"/>
    </xf>
    <xf numFmtId="0" fontId="8" fillId="0" borderId="33" xfId="0" applyFont="1" applyBorder="1" applyAlignment="1">
      <alignment horizontal="left"/>
    </xf>
    <xf numFmtId="0" fontId="14" fillId="0" borderId="2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164" fontId="13" fillId="0" borderId="7" xfId="3" applyNumberFormat="1" applyFont="1" applyBorder="1" applyAlignment="1">
      <alignment horizontal="left" vertical="center" shrinkToFit="1"/>
    </xf>
    <xf numFmtId="0" fontId="18" fillId="0" borderId="0" xfId="3" applyFont="1" applyAlignment="1">
      <alignment horizontal="left" wrapText="1"/>
    </xf>
    <xf numFmtId="0" fontId="7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0" fillId="0" borderId="7" xfId="3" applyFont="1" applyBorder="1" applyAlignment="1">
      <alignment horizontal="left" vertical="center" textRotation="90" wrapText="1" shrinkToFit="1"/>
    </xf>
    <xf numFmtId="0" fontId="45" fillId="3" borderId="27" xfId="0" applyFont="1" applyFill="1" applyBorder="1" applyAlignment="1">
      <alignment vertical="center" shrinkToFit="1"/>
    </xf>
    <xf numFmtId="0" fontId="45" fillId="3" borderId="37" xfId="0" applyFont="1" applyFill="1" applyBorder="1" applyAlignment="1">
      <alignment vertical="center" shrinkToFit="1"/>
    </xf>
    <xf numFmtId="0" fontId="45" fillId="3" borderId="36" xfId="0" applyFont="1" applyFill="1" applyBorder="1" applyAlignment="1">
      <alignment vertical="center" shrinkToFit="1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8" fillId="0" borderId="7" xfId="0" applyFont="1" applyBorder="1" applyProtection="1"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left" vertical="center"/>
      <protection locked="0"/>
    </xf>
    <xf numFmtId="43" fontId="7" fillId="0" borderId="0" xfId="0" applyNumberFormat="1" applyFont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left" vertical="center"/>
      <protection locked="0"/>
    </xf>
    <xf numFmtId="0" fontId="7" fillId="3" borderId="17" xfId="0" applyFont="1" applyFill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7" fillId="0" borderId="16" xfId="0" applyFont="1" applyBorder="1" applyAlignment="1" applyProtection="1">
      <alignment horizontal="left" vertical="center"/>
      <protection locked="0"/>
    </xf>
    <xf numFmtId="43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7" fillId="0" borderId="29" xfId="0" applyFont="1" applyBorder="1" applyAlignment="1" applyProtection="1">
      <alignment horizontal="left" vertical="center"/>
      <protection locked="0"/>
    </xf>
    <xf numFmtId="0" fontId="7" fillId="0" borderId="30" xfId="0" applyFont="1" applyBorder="1" applyAlignment="1" applyProtection="1">
      <alignment horizontal="left" vertical="center"/>
      <protection locked="0"/>
    </xf>
    <xf numFmtId="0" fontId="7" fillId="3" borderId="27" xfId="0" applyFont="1" applyFill="1" applyBorder="1" applyAlignment="1" applyProtection="1">
      <alignment horizontal="left" vertical="center"/>
      <protection locked="0"/>
    </xf>
    <xf numFmtId="0" fontId="7" fillId="3" borderId="22" xfId="0" applyFont="1" applyFill="1" applyBorder="1" applyAlignment="1" applyProtection="1">
      <alignment horizontal="left" vertical="center"/>
      <protection locked="0"/>
    </xf>
    <xf numFmtId="0" fontId="7" fillId="0" borderId="27" xfId="0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28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4" fillId="0" borderId="27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left" vertical="center"/>
      <protection locked="0"/>
    </xf>
    <xf numFmtId="0" fontId="7" fillId="0" borderId="43" xfId="0" applyFont="1" applyBorder="1" applyAlignment="1" applyProtection="1">
      <alignment horizontal="left" vertical="center"/>
      <protection locked="0"/>
    </xf>
    <xf numFmtId="0" fontId="4" fillId="0" borderId="29" xfId="0" applyFont="1" applyBorder="1" applyAlignment="1" applyProtection="1">
      <alignment horizontal="left" vertical="center"/>
      <protection locked="0"/>
    </xf>
    <xf numFmtId="0" fontId="4" fillId="0" borderId="30" xfId="0" applyFont="1" applyBorder="1" applyAlignment="1" applyProtection="1">
      <alignment horizontal="left" vertical="center"/>
      <protection locked="0"/>
    </xf>
    <xf numFmtId="0" fontId="4" fillId="0" borderId="28" xfId="0" applyFont="1" applyBorder="1" applyAlignment="1" applyProtection="1">
      <alignment horizontal="left" vertical="center"/>
      <protection locked="0"/>
    </xf>
    <xf numFmtId="0" fontId="4" fillId="0" borderId="24" xfId="0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14" fontId="10" fillId="0" borderId="6" xfId="0" applyNumberFormat="1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/>
    </xf>
    <xf numFmtId="0" fontId="10" fillId="0" borderId="33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3" fontId="4" fillId="2" borderId="26" xfId="2" applyNumberFormat="1" applyFont="1" applyFill="1" applyBorder="1" applyAlignment="1" applyProtection="1">
      <alignment horizontal="center" vertical="center"/>
    </xf>
    <xf numFmtId="43" fontId="4" fillId="2" borderId="25" xfId="2" applyNumberFormat="1" applyFont="1" applyFill="1" applyBorder="1" applyAlignment="1" applyProtection="1">
      <alignment horizontal="center" vertical="center"/>
    </xf>
    <xf numFmtId="43" fontId="3" fillId="0" borderId="11" xfId="0" applyNumberFormat="1" applyFont="1" applyBorder="1" applyAlignment="1">
      <alignment horizontal="center" vertical="center"/>
    </xf>
    <xf numFmtId="43" fontId="7" fillId="0" borderId="7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3" fillId="3" borderId="0" xfId="0" applyNumberFormat="1" applyFont="1" applyFill="1" applyAlignment="1">
      <alignment horizontal="center" vertical="center"/>
    </xf>
    <xf numFmtId="43" fontId="4" fillId="2" borderId="20" xfId="2" applyNumberFormat="1" applyFont="1" applyFill="1" applyBorder="1" applyAlignment="1" applyProtection="1">
      <alignment horizontal="center" vertical="center"/>
    </xf>
    <xf numFmtId="43" fontId="4" fillId="2" borderId="22" xfId="2" applyNumberFormat="1" applyFont="1" applyFill="1" applyBorder="1" applyAlignment="1" applyProtection="1">
      <alignment horizontal="center" vertical="center"/>
    </xf>
    <xf numFmtId="43" fontId="4" fillId="2" borderId="30" xfId="2" applyNumberFormat="1" applyFont="1" applyFill="1" applyBorder="1" applyAlignment="1" applyProtection="1">
      <alignment horizontal="center" vertical="center"/>
    </xf>
    <xf numFmtId="43" fontId="4" fillId="2" borderId="24" xfId="2" applyNumberFormat="1" applyFont="1" applyFill="1" applyBorder="1" applyAlignment="1" applyProtection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8" fillId="0" borderId="1" xfId="0" applyNumberFormat="1" applyFont="1" applyBorder="1"/>
    <xf numFmtId="4" fontId="8" fillId="0" borderId="2" xfId="0" applyNumberFormat="1" applyFont="1" applyBorder="1"/>
    <xf numFmtId="4" fontId="8" fillId="0" borderId="3" xfId="0" applyNumberFormat="1" applyFont="1" applyBorder="1"/>
    <xf numFmtId="4" fontId="8" fillId="0" borderId="0" xfId="0" applyNumberFormat="1" applyFont="1"/>
    <xf numFmtId="4" fontId="8" fillId="0" borderId="4" xfId="0" applyNumberFormat="1" applyFont="1" applyBorder="1"/>
    <xf numFmtId="4" fontId="8" fillId="0" borderId="5" xfId="0" applyNumberFormat="1" applyFont="1" applyBorder="1"/>
    <xf numFmtId="4" fontId="8" fillId="0" borderId="4" xfId="0" applyNumberFormat="1" applyFont="1" applyBorder="1" applyAlignment="1">
      <alignment vertical="center"/>
    </xf>
    <xf numFmtId="4" fontId="8" fillId="0" borderId="5" xfId="0" applyNumberFormat="1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4" fontId="8" fillId="0" borderId="14" xfId="0" applyNumberFormat="1" applyFont="1" applyBorder="1" applyAlignment="1">
      <alignment vertical="center"/>
    </xf>
    <xf numFmtId="4" fontId="8" fillId="0" borderId="15" xfId="0" applyNumberFormat="1" applyFont="1" applyBorder="1" applyAlignment="1">
      <alignment vertical="center"/>
    </xf>
    <xf numFmtId="4" fontId="8" fillId="2" borderId="14" xfId="0" applyNumberFormat="1" applyFont="1" applyFill="1" applyBorder="1" applyAlignment="1">
      <alignment vertical="center"/>
    </xf>
    <xf numFmtId="4" fontId="8" fillId="2" borderId="15" xfId="0" applyNumberFormat="1" applyFont="1" applyFill="1" applyBorder="1" applyAlignment="1">
      <alignment vertical="center"/>
    </xf>
    <xf numFmtId="4" fontId="8" fillId="2" borderId="1" xfId="0" applyNumberFormat="1" applyFont="1" applyFill="1" applyBorder="1" applyAlignment="1">
      <alignment vertical="center"/>
    </xf>
    <xf numFmtId="4" fontId="8" fillId="0" borderId="26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4" fontId="8" fillId="0" borderId="6" xfId="0" applyNumberFormat="1" applyFont="1" applyBorder="1"/>
    <xf numFmtId="4" fontId="8" fillId="0" borderId="7" xfId="0" applyNumberFormat="1" applyFont="1" applyBorder="1"/>
    <xf numFmtId="4" fontId="8" fillId="0" borderId="8" xfId="0" applyNumberFormat="1" applyFont="1" applyBorder="1"/>
    <xf numFmtId="4" fontId="36" fillId="0" borderId="46" xfId="0" applyNumberFormat="1" applyFont="1" applyBorder="1" applyAlignment="1">
      <alignment vertical="center"/>
    </xf>
    <xf numFmtId="4" fontId="36" fillId="0" borderId="45" xfId="0" applyNumberFormat="1" applyFont="1" applyBorder="1" applyAlignment="1">
      <alignment vertical="center"/>
    </xf>
    <xf numFmtId="4" fontId="36" fillId="0" borderId="1" xfId="0" applyNumberFormat="1" applyFont="1" applyBorder="1" applyAlignment="1">
      <alignment vertical="center"/>
    </xf>
    <xf numFmtId="4" fontId="36" fillId="0" borderId="26" xfId="0" applyNumberFormat="1" applyFont="1" applyBorder="1" applyAlignment="1">
      <alignment vertical="center"/>
    </xf>
    <xf numFmtId="4" fontId="36" fillId="2" borderId="26" xfId="0" applyNumberFormat="1" applyFont="1" applyFill="1" applyBorder="1" applyAlignment="1">
      <alignment vertical="center"/>
    </xf>
    <xf numFmtId="4" fontId="36" fillId="2" borderId="14" xfId="0" applyNumberFormat="1" applyFont="1" applyFill="1" applyBorder="1" applyAlignment="1">
      <alignment vertical="center"/>
    </xf>
    <xf numFmtId="4" fontId="50" fillId="4" borderId="1" xfId="0" applyNumberFormat="1" applyFont="1" applyFill="1" applyBorder="1" applyAlignment="1">
      <alignment vertical="center"/>
    </xf>
    <xf numFmtId="17" fontId="50" fillId="4" borderId="1" xfId="0" applyNumberFormat="1" applyFont="1" applyFill="1" applyBorder="1" applyAlignment="1">
      <alignment horizontal="center" vertical="center"/>
    </xf>
    <xf numFmtId="17" fontId="50" fillId="4" borderId="15" xfId="0" applyNumberFormat="1" applyFont="1" applyFill="1" applyBorder="1" applyAlignment="1">
      <alignment horizontal="center" vertical="center"/>
    </xf>
    <xf numFmtId="0" fontId="23" fillId="14" borderId="0" xfId="3" applyFont="1" applyFill="1" applyAlignment="1">
      <alignment horizontal="center" vertical="center" textRotation="90" wrapText="1" shrinkToFit="1"/>
    </xf>
    <xf numFmtId="0" fontId="38" fillId="14" borderId="7" xfId="3" applyFont="1" applyFill="1" applyBorder="1" applyAlignment="1">
      <alignment horizontal="center" wrapText="1" shrinkToFit="1"/>
    </xf>
    <xf numFmtId="0" fontId="38" fillId="14" borderId="0" xfId="3" applyFont="1" applyFill="1" applyAlignment="1">
      <alignment horizontal="center" wrapText="1" shrinkToFit="1"/>
    </xf>
    <xf numFmtId="0" fontId="38" fillId="14" borderId="7" xfId="3" applyFont="1" applyFill="1" applyBorder="1" applyAlignment="1">
      <alignment horizontal="center" wrapText="1"/>
    </xf>
    <xf numFmtId="0" fontId="13" fillId="13" borderId="6" xfId="0" applyFont="1" applyFill="1" applyBorder="1" applyAlignment="1">
      <alignment horizontal="right" vertical="center"/>
    </xf>
    <xf numFmtId="0" fontId="3" fillId="14" borderId="12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43" fontId="4" fillId="15" borderId="21" xfId="2" applyNumberFormat="1" applyFont="1" applyFill="1" applyBorder="1" applyAlignment="1" applyProtection="1">
      <alignment horizontal="center" vertical="center"/>
      <protection locked="0"/>
    </xf>
    <xf numFmtId="43" fontId="4" fillId="15" borderId="23" xfId="2" applyNumberFormat="1" applyFont="1" applyFill="1" applyBorder="1" applyAlignment="1" applyProtection="1">
      <alignment horizontal="center" vertical="center"/>
      <protection locked="0"/>
    </xf>
    <xf numFmtId="43" fontId="4" fillId="15" borderId="29" xfId="2" applyNumberFormat="1" applyFont="1" applyFill="1" applyBorder="1" applyAlignment="1" applyProtection="1">
      <alignment horizontal="center" vertical="center"/>
    </xf>
    <xf numFmtId="43" fontId="4" fillId="15" borderId="27" xfId="2" applyNumberFormat="1" applyFont="1" applyFill="1" applyBorder="1" applyAlignment="1" applyProtection="1">
      <alignment horizontal="center" vertical="center"/>
    </xf>
    <xf numFmtId="43" fontId="4" fillId="15" borderId="28" xfId="2" applyNumberFormat="1" applyFont="1" applyFill="1" applyBorder="1" applyAlignment="1" applyProtection="1">
      <alignment horizontal="center" vertical="center"/>
    </xf>
    <xf numFmtId="43" fontId="4" fillId="15" borderId="9" xfId="2" applyNumberFormat="1" applyFont="1" applyFill="1" applyBorder="1" applyAlignment="1" applyProtection="1">
      <alignment horizontal="center" vertical="center"/>
    </xf>
    <xf numFmtId="43" fontId="4" fillId="15" borderId="19" xfId="2" applyNumberFormat="1" applyFont="1" applyFill="1" applyBorder="1" applyAlignment="1" applyProtection="1">
      <alignment horizontal="center" vertical="center"/>
      <protection locked="0"/>
    </xf>
    <xf numFmtId="43" fontId="4" fillId="15" borderId="34" xfId="2" applyNumberFormat="1" applyFont="1" applyFill="1" applyBorder="1" applyAlignment="1" applyProtection="1">
      <alignment horizontal="center" vertical="center"/>
      <protection locked="0"/>
    </xf>
    <xf numFmtId="0" fontId="9" fillId="0" borderId="15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14" fontId="10" fillId="0" borderId="3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3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2" fillId="0" borderId="5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vertical="center"/>
    </xf>
    <xf numFmtId="0" fontId="51" fillId="17" borderId="15" xfId="0" applyFont="1" applyFill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1" fillId="17" borderId="16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10" fillId="0" borderId="31" xfId="0" applyFont="1" applyBorder="1" applyAlignment="1">
      <alignment vertical="center"/>
    </xf>
    <xf numFmtId="0" fontId="51" fillId="17" borderId="14" xfId="0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 textRotation="90" wrapText="1" shrinkToFit="1"/>
    </xf>
    <xf numFmtId="0" fontId="14" fillId="4" borderId="4" xfId="3" applyFont="1" applyFill="1" applyBorder="1" applyAlignment="1">
      <alignment horizontal="center" vertical="center" textRotation="90" wrapText="1" shrinkToFit="1"/>
    </xf>
    <xf numFmtId="0" fontId="14" fillId="4" borderId="6" xfId="3" applyFont="1" applyFill="1" applyBorder="1" applyAlignment="1">
      <alignment horizontal="center" vertical="center" textRotation="90" wrapText="1" shrinkToFit="1"/>
    </xf>
    <xf numFmtId="0" fontId="32" fillId="4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14" fillId="14" borderId="2" xfId="3" applyFont="1" applyFill="1" applyBorder="1" applyAlignment="1">
      <alignment horizontal="center" vertical="center" textRotation="90" wrapText="1" shrinkToFit="1"/>
    </xf>
    <xf numFmtId="0" fontId="14" fillId="14" borderId="0" xfId="3" applyFont="1" applyFill="1" applyAlignment="1">
      <alignment horizontal="center" vertical="center" textRotation="90" wrapText="1" shrinkToFit="1"/>
    </xf>
    <xf numFmtId="0" fontId="14" fillId="14" borderId="7" xfId="3" applyFont="1" applyFill="1" applyBorder="1" applyAlignment="1">
      <alignment horizontal="center" vertical="center" textRotation="90" wrapText="1" shrinkToFit="1"/>
    </xf>
    <xf numFmtId="0" fontId="32" fillId="14" borderId="2" xfId="0" applyFont="1" applyFill="1" applyBorder="1" applyAlignment="1">
      <alignment horizontal="center" vertical="center"/>
    </xf>
    <xf numFmtId="0" fontId="32" fillId="14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4" fontId="36" fillId="0" borderId="6" xfId="0" applyNumberFormat="1" applyFont="1" applyBorder="1" applyAlignment="1">
      <alignment horizontal="left" vertical="center"/>
    </xf>
    <xf numFmtId="14" fontId="36" fillId="0" borderId="7" xfId="0" applyNumberFormat="1" applyFont="1" applyBorder="1" applyAlignment="1">
      <alignment horizontal="left" vertical="center"/>
    </xf>
    <xf numFmtId="14" fontId="36" fillId="0" borderId="8" xfId="0" applyNumberFormat="1" applyFont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41" fillId="3" borderId="26" xfId="0" applyFont="1" applyFill="1" applyBorder="1" applyAlignment="1" applyProtection="1">
      <alignment horizontal="center" vertical="center"/>
      <protection locked="0"/>
    </xf>
    <xf numFmtId="0" fontId="41" fillId="3" borderId="35" xfId="0" applyFont="1" applyFill="1" applyBorder="1" applyAlignment="1" applyProtection="1">
      <alignment horizontal="center" vertical="center"/>
      <protection locked="0"/>
    </xf>
    <xf numFmtId="0" fontId="41" fillId="3" borderId="26" xfId="0" applyFont="1" applyFill="1" applyBorder="1" applyAlignment="1" applyProtection="1">
      <alignment horizontal="left" vertical="center"/>
      <protection locked="0"/>
    </xf>
    <xf numFmtId="0" fontId="41" fillId="3" borderId="33" xfId="0" applyFont="1" applyFill="1" applyBorder="1" applyAlignment="1" applyProtection="1">
      <alignment horizontal="left" vertical="center"/>
      <protection locked="0"/>
    </xf>
    <xf numFmtId="0" fontId="41" fillId="3" borderId="35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6" fillId="0" borderId="6" xfId="0" applyFont="1" applyBorder="1" applyAlignment="1">
      <alignment horizontal="left" vertical="center"/>
    </xf>
    <xf numFmtId="0" fontId="36" fillId="0" borderId="7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164" fontId="13" fillId="8" borderId="31" xfId="3" applyNumberFormat="1" applyFont="1" applyFill="1" applyBorder="1" applyAlignment="1">
      <alignment horizontal="right" vertical="center" shrinkToFit="1"/>
    </xf>
    <xf numFmtId="0" fontId="37" fillId="4" borderId="0" xfId="3" applyFont="1" applyFill="1" applyAlignment="1">
      <alignment horizontal="right" vertical="center" wrapText="1" shrinkToFit="1"/>
    </xf>
    <xf numFmtId="0" fontId="37" fillId="4" borderId="5" xfId="3" applyFont="1" applyFill="1" applyBorder="1" applyAlignment="1">
      <alignment horizontal="right" vertical="center" wrapText="1" shrinkToFit="1"/>
    </xf>
    <xf numFmtId="0" fontId="17" fillId="4" borderId="0" xfId="3" applyFont="1" applyFill="1" applyAlignment="1">
      <alignment horizontal="right" vertical="center" wrapText="1" shrinkToFit="1"/>
    </xf>
    <xf numFmtId="0" fontId="17" fillId="4" borderId="5" xfId="3" applyFont="1" applyFill="1" applyBorder="1" applyAlignment="1">
      <alignment horizontal="right" vertical="center" wrapText="1" shrinkToFit="1"/>
    </xf>
    <xf numFmtId="0" fontId="17" fillId="4" borderId="7" xfId="3" applyFont="1" applyFill="1" applyBorder="1" applyAlignment="1">
      <alignment horizontal="right" vertical="center" wrapText="1" shrinkToFit="1"/>
    </xf>
    <xf numFmtId="0" fontId="17" fillId="4" borderId="8" xfId="3" applyFont="1" applyFill="1" applyBorder="1" applyAlignment="1">
      <alignment horizontal="right" vertical="center" wrapText="1" shrinkToFi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0" fontId="32" fillId="13" borderId="0" xfId="0" applyFont="1" applyFill="1" applyAlignment="1">
      <alignment horizontal="center" vertical="center"/>
    </xf>
    <xf numFmtId="0" fontId="40" fillId="0" borderId="0" xfId="1" applyFont="1" applyBorder="1" applyAlignment="1">
      <alignment horizontal="center" vertical="center" wrapText="1"/>
    </xf>
    <xf numFmtId="164" fontId="13" fillId="6" borderId="15" xfId="3" applyNumberFormat="1" applyFont="1" applyFill="1" applyBorder="1" applyAlignment="1">
      <alignment horizontal="right" vertical="center" shrinkToFit="1"/>
    </xf>
    <xf numFmtId="164" fontId="13" fillId="7" borderId="17" xfId="3" applyNumberFormat="1" applyFont="1" applyFill="1" applyBorder="1" applyAlignment="1">
      <alignment horizontal="right" vertical="center" shrinkToFit="1"/>
    </xf>
    <xf numFmtId="164" fontId="13" fillId="11" borderId="17" xfId="3" applyNumberFormat="1" applyFont="1" applyFill="1" applyBorder="1" applyAlignment="1">
      <alignment horizontal="right" vertical="center" shrinkToFit="1"/>
    </xf>
    <xf numFmtId="164" fontId="13" fillId="12" borderId="31" xfId="3" applyNumberFormat="1" applyFont="1" applyFill="1" applyBorder="1" applyAlignment="1">
      <alignment horizontal="right" vertical="center" shrinkToFit="1"/>
    </xf>
    <xf numFmtId="164" fontId="13" fillId="10" borderId="27" xfId="3" applyNumberFormat="1" applyFont="1" applyFill="1" applyBorder="1" applyAlignment="1">
      <alignment horizontal="right" vertical="center" shrinkToFit="1"/>
    </xf>
    <xf numFmtId="164" fontId="13" fillId="10" borderId="36" xfId="3" applyNumberFormat="1" applyFont="1" applyFill="1" applyBorder="1" applyAlignment="1">
      <alignment horizontal="right" vertical="center" shrinkToFit="1"/>
    </xf>
    <xf numFmtId="164" fontId="13" fillId="9" borderId="15" xfId="3" applyNumberFormat="1" applyFont="1" applyFill="1" applyBorder="1" applyAlignment="1">
      <alignment horizontal="right" vertical="center" shrinkToFit="1"/>
    </xf>
    <xf numFmtId="0" fontId="53" fillId="0" borderId="0" xfId="1" applyFont="1" applyBorder="1" applyAlignment="1">
      <alignment horizontal="center" vertical="center" wrapText="1"/>
    </xf>
    <xf numFmtId="0" fontId="42" fillId="16" borderId="1" xfId="0" applyFont="1" applyFill="1" applyBorder="1" applyAlignment="1">
      <alignment horizontal="center" vertical="center"/>
    </xf>
    <xf numFmtId="0" fontId="42" fillId="16" borderId="2" xfId="0" applyFont="1" applyFill="1" applyBorder="1" applyAlignment="1">
      <alignment horizontal="center" vertical="center"/>
    </xf>
    <xf numFmtId="0" fontId="42" fillId="16" borderId="3" xfId="0" applyFont="1" applyFill="1" applyBorder="1" applyAlignment="1">
      <alignment horizontal="center" vertical="center"/>
    </xf>
    <xf numFmtId="0" fontId="42" fillId="16" borderId="6" xfId="0" applyFont="1" applyFill="1" applyBorder="1" applyAlignment="1">
      <alignment horizontal="center" vertical="center"/>
    </xf>
    <xf numFmtId="0" fontId="42" fillId="16" borderId="7" xfId="0" applyFont="1" applyFill="1" applyBorder="1" applyAlignment="1">
      <alignment horizontal="center" vertical="center"/>
    </xf>
    <xf numFmtId="0" fontId="42" fillId="16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2" fillId="0" borderId="2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1" fillId="18" borderId="14" xfId="0" applyFont="1" applyFill="1" applyBorder="1" applyAlignment="1">
      <alignment horizontal="center" vertical="center"/>
    </xf>
    <xf numFmtId="0" fontId="51" fillId="18" borderId="15" xfId="0" applyFont="1" applyFill="1" applyBorder="1" applyAlignment="1">
      <alignment horizontal="center" vertical="center"/>
    </xf>
    <xf numFmtId="0" fontId="51" fillId="18" borderId="11" xfId="0" applyFont="1" applyFill="1" applyBorder="1" applyAlignment="1">
      <alignment horizontal="center" vertical="center"/>
    </xf>
    <xf numFmtId="0" fontId="51" fillId="18" borderId="3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left" vertical="center"/>
    </xf>
    <xf numFmtId="0" fontId="17" fillId="14" borderId="3" xfId="0" applyFont="1" applyFill="1" applyBorder="1" applyAlignment="1">
      <alignment horizontal="left" vertical="center"/>
    </xf>
    <xf numFmtId="0" fontId="17" fillId="14" borderId="4" xfId="0" applyFont="1" applyFill="1" applyBorder="1" applyAlignment="1">
      <alignment horizontal="left" vertical="center"/>
    </xf>
    <xf numFmtId="0" fontId="17" fillId="14" borderId="0" xfId="0" applyFont="1" applyFill="1" applyAlignment="1">
      <alignment horizontal="left" vertical="center"/>
    </xf>
    <xf numFmtId="0" fontId="17" fillId="14" borderId="5" xfId="0" applyFont="1" applyFill="1" applyBorder="1" applyAlignment="1">
      <alignment horizontal="left" vertical="center"/>
    </xf>
    <xf numFmtId="0" fontId="2" fillId="14" borderId="15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31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left" vertical="top"/>
    </xf>
    <xf numFmtId="0" fontId="11" fillId="0" borderId="0" xfId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 indent="1"/>
    </xf>
    <xf numFmtId="0" fontId="17" fillId="13" borderId="2" xfId="0" applyFont="1" applyFill="1" applyBorder="1" applyAlignment="1">
      <alignment horizontal="left" vertical="center" indent="1"/>
    </xf>
    <xf numFmtId="0" fontId="17" fillId="13" borderId="3" xfId="0" applyFont="1" applyFill="1" applyBorder="1" applyAlignment="1">
      <alignment horizontal="left" vertical="center" indent="1"/>
    </xf>
    <xf numFmtId="0" fontId="17" fillId="13" borderId="4" xfId="0" applyFont="1" applyFill="1" applyBorder="1" applyAlignment="1">
      <alignment horizontal="left" vertical="center" indent="1"/>
    </xf>
    <xf numFmtId="0" fontId="17" fillId="13" borderId="0" xfId="0" applyFont="1" applyFill="1" applyAlignment="1">
      <alignment horizontal="left" vertical="center" indent="1"/>
    </xf>
    <xf numFmtId="0" fontId="17" fillId="13" borderId="5" xfId="0" applyFont="1" applyFill="1" applyBorder="1" applyAlignment="1">
      <alignment horizontal="left" vertical="center" indent="1"/>
    </xf>
    <xf numFmtId="0" fontId="17" fillId="13" borderId="4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right" vertical="center"/>
    </xf>
    <xf numFmtId="0" fontId="2" fillId="14" borderId="26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42" xfId="0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center" vertical="center"/>
    </xf>
    <xf numFmtId="0" fontId="46" fillId="0" borderId="0" xfId="1" applyFont="1" applyBorder="1" applyAlignment="1">
      <alignment horizontal="center" vertical="center" wrapText="1"/>
    </xf>
    <xf numFmtId="0" fontId="45" fillId="3" borderId="27" xfId="0" applyFont="1" applyFill="1" applyBorder="1" applyAlignment="1">
      <alignment horizontal="left" vertical="center" shrinkToFit="1"/>
    </xf>
    <xf numFmtId="0" fontId="45" fillId="3" borderId="37" xfId="0" applyFont="1" applyFill="1" applyBorder="1" applyAlignment="1">
      <alignment horizontal="left" vertical="center" shrinkToFit="1"/>
    </xf>
    <xf numFmtId="0" fontId="45" fillId="3" borderId="36" xfId="0" applyFont="1" applyFill="1" applyBorder="1" applyAlignment="1">
      <alignment horizontal="left" vertical="center" shrinkToFit="1"/>
    </xf>
    <xf numFmtId="0" fontId="35" fillId="0" borderId="28" xfId="3" applyFont="1" applyBorder="1" applyAlignment="1">
      <alignment horizontal="center" vertical="center" wrapText="1" shrinkToFit="1"/>
    </xf>
    <xf numFmtId="0" fontId="35" fillId="0" borderId="40" xfId="3" applyFont="1" applyBorder="1" applyAlignment="1">
      <alignment horizontal="center" vertical="center" wrapText="1" shrinkToFit="1"/>
    </xf>
    <xf numFmtId="0" fontId="35" fillId="0" borderId="41" xfId="3" applyFont="1" applyBorder="1" applyAlignment="1">
      <alignment horizontal="center" vertical="center" wrapText="1" shrinkToFit="1"/>
    </xf>
    <xf numFmtId="0" fontId="42" fillId="5" borderId="1" xfId="0" applyFont="1" applyFill="1" applyBorder="1" applyAlignment="1">
      <alignment horizontal="left" vertical="center"/>
    </xf>
    <xf numFmtId="0" fontId="42" fillId="5" borderId="2" xfId="0" applyFont="1" applyFill="1" applyBorder="1" applyAlignment="1">
      <alignment horizontal="left" vertical="center"/>
    </xf>
    <xf numFmtId="0" fontId="42" fillId="5" borderId="3" xfId="0" applyFont="1" applyFill="1" applyBorder="1" applyAlignment="1">
      <alignment horizontal="left" vertical="center"/>
    </xf>
    <xf numFmtId="0" fontId="42" fillId="5" borderId="6" xfId="0" applyFont="1" applyFill="1" applyBorder="1" applyAlignment="1">
      <alignment horizontal="left" vertical="center"/>
    </xf>
    <xf numFmtId="0" fontId="42" fillId="5" borderId="7" xfId="0" applyFont="1" applyFill="1" applyBorder="1" applyAlignment="1">
      <alignment horizontal="left" vertical="center"/>
    </xf>
    <xf numFmtId="0" fontId="42" fillId="5" borderId="8" xfId="0" applyFont="1" applyFill="1" applyBorder="1" applyAlignment="1">
      <alignment horizontal="left" vertical="center"/>
    </xf>
    <xf numFmtId="0" fontId="45" fillId="3" borderId="28" xfId="0" applyFont="1" applyFill="1" applyBorder="1" applyAlignment="1">
      <alignment horizontal="left" vertical="center" shrinkToFit="1"/>
    </xf>
    <xf numFmtId="0" fontId="45" fillId="3" borderId="40" xfId="0" applyFont="1" applyFill="1" applyBorder="1" applyAlignment="1">
      <alignment horizontal="left" vertical="center" shrinkToFit="1"/>
    </xf>
    <xf numFmtId="0" fontId="45" fillId="3" borderId="41" xfId="0" applyFont="1" applyFill="1" applyBorder="1" applyAlignment="1">
      <alignment horizontal="left" vertical="center" shrinkToFit="1"/>
    </xf>
    <xf numFmtId="0" fontId="45" fillId="3" borderId="1" xfId="0" applyFont="1" applyFill="1" applyBorder="1" applyAlignment="1">
      <alignment horizontal="left" vertical="center" shrinkToFit="1"/>
    </xf>
    <xf numFmtId="0" fontId="45" fillId="3" borderId="2" xfId="0" applyFont="1" applyFill="1" applyBorder="1" applyAlignment="1">
      <alignment horizontal="left" vertical="center" shrinkToFit="1"/>
    </xf>
    <xf numFmtId="0" fontId="45" fillId="3" borderId="3" xfId="0" applyFont="1" applyFill="1" applyBorder="1" applyAlignment="1">
      <alignment horizontal="left" vertical="center" shrinkToFit="1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43" fillId="4" borderId="2" xfId="3" applyFont="1" applyFill="1" applyBorder="1" applyAlignment="1">
      <alignment horizontal="center" vertical="center" shrinkToFit="1"/>
    </xf>
    <xf numFmtId="0" fontId="43" fillId="4" borderId="3" xfId="3" applyFont="1" applyFill="1" applyBorder="1" applyAlignment="1">
      <alignment horizontal="center" vertical="center" shrinkToFit="1"/>
    </xf>
    <xf numFmtId="0" fontId="43" fillId="4" borderId="7" xfId="3" applyFont="1" applyFill="1" applyBorder="1" applyAlignment="1">
      <alignment horizontal="center" vertical="center" shrinkToFit="1"/>
    </xf>
    <xf numFmtId="0" fontId="43" fillId="4" borderId="8" xfId="3" applyFont="1" applyFill="1" applyBorder="1" applyAlignment="1">
      <alignment horizontal="center" vertical="center" shrinkToFit="1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7" fillId="0" borderId="3" xfId="0" applyFont="1" applyBorder="1" applyAlignment="1">
      <alignment horizontal="left"/>
    </xf>
    <xf numFmtId="0" fontId="45" fillId="3" borderId="27" xfId="0" applyFont="1" applyFill="1" applyBorder="1" applyAlignment="1">
      <alignment vertical="center" shrinkToFit="1"/>
    </xf>
    <xf numFmtId="0" fontId="45" fillId="3" borderId="37" xfId="0" applyFont="1" applyFill="1" applyBorder="1" applyAlignment="1">
      <alignment vertical="center" shrinkToFit="1"/>
    </xf>
    <xf numFmtId="0" fontId="45" fillId="3" borderId="36" xfId="0" applyFont="1" applyFill="1" applyBorder="1" applyAlignment="1">
      <alignment vertical="center" shrinkToFit="1"/>
    </xf>
    <xf numFmtId="0" fontId="45" fillId="3" borderId="29" xfId="0" applyFont="1" applyFill="1" applyBorder="1" applyAlignment="1">
      <alignment vertical="center" shrinkToFit="1"/>
    </xf>
    <xf numFmtId="0" fontId="45" fillId="3" borderId="38" xfId="0" applyFont="1" applyFill="1" applyBorder="1" applyAlignment="1">
      <alignment vertical="center" shrinkToFit="1"/>
    </xf>
    <xf numFmtId="0" fontId="45" fillId="3" borderId="39" xfId="0" applyFont="1" applyFill="1" applyBorder="1" applyAlignment="1">
      <alignment vertical="center" shrinkToFit="1"/>
    </xf>
    <xf numFmtId="0" fontId="43" fillId="4" borderId="1" xfId="3" applyFont="1" applyFill="1" applyBorder="1" applyAlignment="1">
      <alignment horizontal="center" vertical="center" shrinkToFit="1"/>
    </xf>
    <xf numFmtId="0" fontId="43" fillId="4" borderId="6" xfId="3" applyFont="1" applyFill="1" applyBorder="1" applyAlignment="1">
      <alignment horizontal="center" vertical="center" shrinkToFit="1"/>
    </xf>
    <xf numFmtId="4" fontId="42" fillId="4" borderId="1" xfId="0" applyNumberFormat="1" applyFont="1" applyFill="1" applyBorder="1" applyAlignment="1">
      <alignment horizontal="center" vertical="center"/>
    </xf>
    <xf numFmtId="4" fontId="42" fillId="4" borderId="2" xfId="0" applyNumberFormat="1" applyFont="1" applyFill="1" applyBorder="1" applyAlignment="1">
      <alignment horizontal="center" vertical="center"/>
    </xf>
    <xf numFmtId="4" fontId="42" fillId="4" borderId="3" xfId="0" applyNumberFormat="1" applyFont="1" applyFill="1" applyBorder="1" applyAlignment="1">
      <alignment horizontal="center" vertical="center"/>
    </xf>
    <xf numFmtId="4" fontId="42" fillId="4" borderId="6" xfId="0" applyNumberFormat="1" applyFont="1" applyFill="1" applyBorder="1" applyAlignment="1">
      <alignment horizontal="center" vertical="center"/>
    </xf>
    <xf numFmtId="4" fontId="42" fillId="4" borderId="7" xfId="0" applyNumberFormat="1" applyFont="1" applyFill="1" applyBorder="1" applyAlignment="1">
      <alignment horizontal="center" vertical="center"/>
    </xf>
    <xf numFmtId="4" fontId="42" fillId="4" borderId="8" xfId="0" applyNumberFormat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14" fontId="10" fillId="0" borderId="31" xfId="0" applyNumberFormat="1" applyFont="1" applyBorder="1" applyAlignment="1">
      <alignment horizontal="left" vertical="center"/>
    </xf>
    <xf numFmtId="0" fontId="49" fillId="0" borderId="31" xfId="0" applyFont="1" applyBorder="1" applyAlignment="1">
      <alignment horizontal="left" vertical="center"/>
    </xf>
  </cellXfs>
  <cellStyles count="10">
    <cellStyle name="Hiperlink" xfId="1" builtinId="8"/>
    <cellStyle name="Hiperlink 2" xfId="8" xr:uid="{1807165B-A3B8-4DF0-949F-BEECDBBD4450}"/>
    <cellStyle name="Moeda" xfId="2" builtinId="4"/>
    <cellStyle name="Moeda 3" xfId="7" xr:uid="{11DBACFA-3268-404C-B498-D7A07353867A}"/>
    <cellStyle name="Normal" xfId="0" builtinId="0"/>
    <cellStyle name="Normal 2" xfId="3" xr:uid="{07ACC3BB-84B7-45B3-82BA-5E16E424D310}"/>
    <cellStyle name="Normal 2 2" xfId="5" xr:uid="{52B17BD6-14DD-4046-B932-9CDE4D173F78}"/>
    <cellStyle name="Normal 3" xfId="4" xr:uid="{0F904116-23FA-49D6-A63D-B1CB9A555F94}"/>
    <cellStyle name="Normal 4" xfId="6" xr:uid="{F82ABA46-D67F-44B6-9A2C-4AAA83FCE270}"/>
    <cellStyle name="Porcentagem" xfId="9" builtinId="5"/>
  </cellStyles>
  <dxfs count="230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b val="0"/>
        <i val="0"/>
        <color rgb="FFFE0802"/>
      </font>
    </dxf>
    <dxf>
      <font>
        <b val="0"/>
        <i val="0"/>
        <color rgb="FF00B050"/>
      </font>
    </dxf>
    <dxf>
      <font>
        <b val="0"/>
        <i val="0"/>
        <color rgb="FF00B05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b val="0"/>
        <i val="0"/>
        <color rgb="FF00B050"/>
      </font>
    </dxf>
    <dxf>
      <font>
        <b val="0"/>
        <i val="0"/>
        <color rgb="FF00B050"/>
      </font>
    </dxf>
    <dxf>
      <font>
        <b val="0"/>
        <i val="0"/>
        <color rgb="FFFE080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b val="0"/>
        <i val="0"/>
        <color rgb="FF00B050"/>
      </font>
    </dxf>
    <dxf>
      <font>
        <b val="0"/>
        <i val="0"/>
        <color rgb="FFFE0802"/>
      </font>
    </dxf>
    <dxf>
      <font>
        <b val="0"/>
        <i val="0"/>
        <color rgb="FF00B05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0" tint="-0.14996795556505021"/>
      </font>
    </dxf>
    <dxf>
      <font>
        <color theme="0" tint="-0.14996795556505021"/>
      </font>
    </dxf>
    <dxf>
      <font>
        <b val="0"/>
        <i val="0"/>
        <color rgb="FFFF0000"/>
      </font>
    </dxf>
    <dxf>
      <font>
        <b val="0"/>
        <i val="0"/>
        <color rgb="FF00B050"/>
      </font>
    </dxf>
    <dxf>
      <font>
        <b val="0"/>
        <i val="0"/>
        <color rgb="FF00B05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85BE5E"/>
      <color rgb="FF669E40"/>
      <color rgb="FF221886"/>
      <color rgb="FF2E20B6"/>
      <color rgb="FF9289EB"/>
      <color rgb="FF5A4CE0"/>
      <color rgb="FF3B2ADA"/>
      <color rgb="FFFF8601"/>
      <color rgb="FFFFC50D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542115498766"/>
          <c:y val="6.409334244483017E-2"/>
          <c:w val="0.86853457884501228"/>
          <c:h val="0.9000225292487281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INDICADORES!$F$58</c:f>
              <c:strCache>
                <c:ptCount val="1"/>
                <c:pt idx="0">
                  <c:v>PRODUTOS/SERVIÇOS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INDICADORES!$F$37:$Q$37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INDICADORES!$G$58:$R$58</c:f>
              <c:numCache>
                <c:formatCode>"R$ "#,##0.00;[Red]"R$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1-481E-B41A-AA708455FC55}"/>
            </c:ext>
          </c:extLst>
        </c:ser>
        <c:ser>
          <c:idx val="1"/>
          <c:order val="1"/>
          <c:tx>
            <c:strRef>
              <c:f>INDICADORES!$F$59</c:f>
              <c:strCache>
                <c:ptCount val="1"/>
                <c:pt idx="0">
                  <c:v>OUTRAS RECEITAS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INDICADORES!$F$37:$Q$37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INDICADORES!$G$59:$R$59</c:f>
              <c:numCache>
                <c:formatCode>"R$ "#,##0.00;[Red]"R$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1-481E-B41A-AA708455FC55}"/>
            </c:ext>
          </c:extLst>
        </c:ser>
        <c:ser>
          <c:idx val="2"/>
          <c:order val="2"/>
          <c:tx>
            <c:strRef>
              <c:f>INDICADORES!$F$60</c:f>
              <c:strCache>
                <c:ptCount val="1"/>
                <c:pt idx="0">
                  <c:v>RECEITAS FINANCEIRAS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INDICADORES!$F$37:$Q$37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INDICADORES!$G$60:$R$60</c:f>
              <c:numCache>
                <c:formatCode>"R$ "#,##0.00;[Red]"R$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1-481E-B41A-AA708455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497114064"/>
        <c:axId val="1497105360"/>
      </c:barChart>
      <c:catAx>
        <c:axId val="1497114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7105360"/>
        <c:crosses val="autoZero"/>
        <c:auto val="1"/>
        <c:lblAlgn val="ctr"/>
        <c:lblOffset val="100"/>
        <c:noMultiLvlLbl val="0"/>
      </c:catAx>
      <c:valAx>
        <c:axId val="14971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11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922858393750291E-3"/>
          <c:y val="4.4514154794195883E-2"/>
          <c:w val="0.9071383985919681"/>
          <c:h val="0.919360041287658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INDICADORES!$D$39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2218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INDICADORES!$F$37:$Q$37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INDICADORES!$F$39:$Q$39</c:f>
              <c:numCache>
                <c:formatCode>#,##0.00_);\(#,##0.00\)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1-41AB-83DD-4F15F087F4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7106992"/>
        <c:axId val="1497110256"/>
      </c:barChart>
      <c:lineChart>
        <c:grouping val="standard"/>
        <c:varyColors val="0"/>
        <c:ser>
          <c:idx val="0"/>
          <c:order val="0"/>
          <c:tx>
            <c:strRef>
              <c:f>INDICADORES!$D$38</c:f>
              <c:strCache>
                <c:ptCount val="1"/>
                <c:pt idx="0">
                  <c:v>PREVISTO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INDICADORES!$F$37:$Q$37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INDICADORES!$F$38:$Q$38</c:f>
              <c:numCache>
                <c:formatCode>#,##0.00_);\(#,##0.00\)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1-41AB-83DD-4F15F087F4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7106992"/>
        <c:axId val="1497110256"/>
      </c:lineChart>
      <c:catAx>
        <c:axId val="1497106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7110256"/>
        <c:crosses val="autoZero"/>
        <c:auto val="1"/>
        <c:lblAlgn val="ctr"/>
        <c:lblOffset val="100"/>
        <c:noMultiLvlLbl val="0"/>
      </c:catAx>
      <c:valAx>
        <c:axId val="1497110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crossAx val="14971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7468984066958602E-2"/>
          <c:w val="0.89774005543600144"/>
          <c:h val="0.97097496811537976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rgbClr val="2218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INDICADORES!$F$70:$Q$70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INDICADORES!$F$72:$Q$72</c:f>
              <c:numCache>
                <c:formatCode>#,##0.00_);\(#,##0.00\)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C-4D28-8D1E-5246E880B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97105904"/>
        <c:axId val="1497112976"/>
      </c:barChart>
      <c:lineChart>
        <c:grouping val="standard"/>
        <c:varyColors val="0"/>
        <c:ser>
          <c:idx val="0"/>
          <c:order val="0"/>
          <c:tx>
            <c:v>PREVISTO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INDICADORES!$F$70:$Q$70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INDICADORES!$F$71:$Q$71</c:f>
              <c:numCache>
                <c:formatCode>#,##0.00_);\(#,##0.00\)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C-4D28-8D1E-5246E880B9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7105904"/>
        <c:axId val="1497112976"/>
      </c:lineChart>
      <c:catAx>
        <c:axId val="1497105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7112976"/>
        <c:crosses val="autoZero"/>
        <c:auto val="1"/>
        <c:lblAlgn val="ctr"/>
        <c:lblOffset val="100"/>
        <c:noMultiLvlLbl val="0"/>
      </c:catAx>
      <c:valAx>
        <c:axId val="1497112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crossAx val="149710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2517432390436"/>
          <c:y val="3.2747717798223948E-2"/>
          <c:w val="0.86287482567609575"/>
          <c:h val="0.9407813678205073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INDICADORES!$F$90</c:f>
              <c:strCache>
                <c:ptCount val="1"/>
                <c:pt idx="0">
                  <c:v>DESPESAS OPERACIONAIS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INDICADORES!$G$89:$R$89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INDICADORES!$G$90:$R$90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E-4C72-B0E0-DF59A74E18A2}"/>
            </c:ext>
          </c:extLst>
        </c:ser>
        <c:ser>
          <c:idx val="1"/>
          <c:order val="1"/>
          <c:tx>
            <c:strRef>
              <c:f>INDICADORES!$F$91</c:f>
              <c:strCache>
                <c:ptCount val="1"/>
                <c:pt idx="0">
                  <c:v>CUSTOS PRODUTOS/SERVIÇOS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INDICADORES!$G$89:$R$89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INDICADORES!$G$91:$R$91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E-4C72-B0E0-DF59A74E18A2}"/>
            </c:ext>
          </c:extLst>
        </c:ser>
        <c:ser>
          <c:idx val="2"/>
          <c:order val="2"/>
          <c:tx>
            <c:strRef>
              <c:f>INDICADORES!$F$92</c:f>
              <c:strCache>
                <c:ptCount val="1"/>
                <c:pt idx="0">
                  <c:v>IMPOSTOS E TAXAS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INDICADORES!$G$89:$R$89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INDICADORES!$G$92:$R$92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E-4C72-B0E0-DF59A74E18A2}"/>
            </c:ext>
          </c:extLst>
        </c:ser>
        <c:ser>
          <c:idx val="4"/>
          <c:order val="3"/>
          <c:tx>
            <c:strRef>
              <c:f>INDICADORES!$F$93</c:f>
              <c:strCache>
                <c:ptCount val="1"/>
                <c:pt idx="0">
                  <c:v>INVESTIMENTOS</c:v>
                </c:pt>
              </c:strCache>
            </c:strRef>
          </c:tx>
          <c:spPr>
            <a:solidFill>
              <a:srgbClr val="FFC50D"/>
            </a:solidFill>
            <a:ln>
              <a:noFill/>
            </a:ln>
            <a:effectLst/>
          </c:spPr>
          <c:invertIfNegative val="0"/>
          <c:cat>
            <c:strRef>
              <c:f>INDICADORES!$G$89:$R$89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INDICADORES!$G$93:$R$93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E-4C72-B0E0-DF59A74E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497112432"/>
        <c:axId val="1497106448"/>
      </c:barChart>
      <c:catAx>
        <c:axId val="1497112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7106448"/>
        <c:crosses val="autoZero"/>
        <c:auto val="1"/>
        <c:lblAlgn val="ctr"/>
        <c:lblOffset val="100"/>
        <c:noMultiLvlLbl val="0"/>
      </c:catAx>
      <c:valAx>
        <c:axId val="149710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11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086203596992709E-3"/>
          <c:y val="8.6510225321546411E-3"/>
          <c:w val="0.90147127566155061"/>
          <c:h val="0.926365720562848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INDICADORES!$D$17</c:f>
              <c:strCache>
                <c:ptCount val="1"/>
                <c:pt idx="0">
                  <c:v>LUCRO OBTIDO</c:v>
                </c:pt>
              </c:strCache>
            </c:strRef>
          </c:tx>
          <c:spPr>
            <a:solidFill>
              <a:srgbClr val="2218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INDICADORES!$F$15:$Q$15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INDICADORES!$F$17:$Q$17</c:f>
              <c:numCache>
                <c:formatCode>#,##0.00_);\(#,##0.00\)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1-4BA4-9CDB-5FA820AA83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80741792"/>
        <c:axId val="1680742880"/>
      </c:barChart>
      <c:lineChart>
        <c:grouping val="standard"/>
        <c:varyColors val="0"/>
        <c:ser>
          <c:idx val="0"/>
          <c:order val="0"/>
          <c:tx>
            <c:strRef>
              <c:f>INDICADORES!$D$16</c:f>
              <c:strCache>
                <c:ptCount val="1"/>
                <c:pt idx="0">
                  <c:v>LUCRO ESTIMADO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INDICADORES!$F$15:$Q$15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INDICADORES!$F$16:$Q$16</c:f>
              <c:numCache>
                <c:formatCode>#,##0.00_);\(#,##0.00\)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1-4BA4-9CDB-5FA820AA83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0741792"/>
        <c:axId val="1680742880"/>
      </c:lineChart>
      <c:catAx>
        <c:axId val="16807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80742880"/>
        <c:crosses val="autoZero"/>
        <c:auto val="1"/>
        <c:lblAlgn val="ctr"/>
        <c:lblOffset val="100"/>
        <c:noMultiLvlLbl val="0"/>
      </c:catAx>
      <c:valAx>
        <c:axId val="16807428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crossAx val="16807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8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473779</xdr:colOff>
      <xdr:row>50</xdr:row>
      <xdr:rowOff>71546</xdr:rowOff>
    </xdr:from>
    <xdr:to>
      <xdr:col>18</xdr:col>
      <xdr:colOff>6190</xdr:colOff>
      <xdr:row>63</xdr:row>
      <xdr:rowOff>27215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25674E-727D-4B5F-B303-8A002E93F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987136</xdr:colOff>
      <xdr:row>39</xdr:row>
      <xdr:rowOff>38968</xdr:rowOff>
    </xdr:from>
    <xdr:to>
      <xdr:col>18</xdr:col>
      <xdr:colOff>1420091</xdr:colOff>
      <xdr:row>51</xdr:row>
      <xdr:rowOff>34638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37A54F-1605-41AE-A700-9FDA0CE36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1056409</xdr:colOff>
      <xdr:row>72</xdr:row>
      <xdr:rowOff>63501</xdr:rowOff>
    </xdr:from>
    <xdr:to>
      <xdr:col>18</xdr:col>
      <xdr:colOff>1454727</xdr:colOff>
      <xdr:row>84</xdr:row>
      <xdr:rowOff>122464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771D24-DC4F-46D9-8CBD-BA000F141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398317</xdr:colOff>
      <xdr:row>84</xdr:row>
      <xdr:rowOff>132366</xdr:rowOff>
    </xdr:from>
    <xdr:to>
      <xdr:col>17</xdr:col>
      <xdr:colOff>56903</xdr:colOff>
      <xdr:row>96</xdr:row>
      <xdr:rowOff>122465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E224D3-0EAB-4C68-9A23-3B9B3CC5D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848591</xdr:colOff>
      <xdr:row>19</xdr:row>
      <xdr:rowOff>121227</xdr:rowOff>
    </xdr:from>
    <xdr:to>
      <xdr:col>18</xdr:col>
      <xdr:colOff>1420091</xdr:colOff>
      <xdr:row>33</xdr:row>
      <xdr:rowOff>259773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BC6951-462A-43B3-A473-0BABD9774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49F1ACF-1C82-4B9E-BD83-418B4235BF60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0D6E63E-7331-4C90-B4A1-C9B856473BE1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46C8E580-37D5-4543-BB94-27600CECF448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79CC0C40-0830-4F92-B247-99BAF4EFE1EE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17529942-E76F-4AC1-AAE8-E119F455D23C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F0C217AA-0103-419F-9665-C7FBAF2A9095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4983B9A-BC99-4E7B-870E-4EF6DB978C12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79CB091F-BAB3-44EE-8002-7A113653C355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F81E4D0-D50F-42D8-82F0-09446CE6ED2E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81D2D92-7AE0-4202-A2BD-AA822C305191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756FAEC-4CEE-4FC0-9564-3EA6C56F0D2A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9F54F45-35B5-449C-8C2E-B06E46C8302F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3645FBE-DFAD-4F61-8488-0A0826ADF956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372B44BC-DC5C-464E-811F-A47251724194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1BE432CC-F7E9-4947-8C05-3347DF17A365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45503E40-E125-4E91-968E-E71F7DD39512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353D700C-A9D1-478E-A130-192C84B95181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F425A405-C507-4980-9872-0EB1898DCE6C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347CC056-D682-4118-8FD2-3A494FA0EF99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97720FB4-3B32-43A7-B013-1D6E97309D87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ACDF1227-6D39-4737-9391-6D2E6F7BD9FA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97252653-75AD-47D8-992D-A6C63DC395C7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E533532-DC52-43A4-B170-5354E04F2651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FA27BB61-D184-4F8F-91AF-664D5A2C988C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4929ABE4-2A39-439F-B0C7-4C03181C7E13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96594E9-34EB-42CE-B5E3-4B45D9C9F44D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FF01EB45-AF2D-4ADD-BABC-B49D9C6C7582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6AD35806-A593-4B0E-B344-BACA4EABF959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C50DDE8A-10F1-45DD-8C40-30EA284D1A43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E18D5816-60B4-4880-8A81-A0B8A9C91DE0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B4082B5C-1BA8-4108-8036-404EDDB29732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8ADEE9CF-8060-4DBC-8F55-A15367F92876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D3E6C574-57F3-4ADA-A2A8-DCCD612A03BD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5B751325-5F2E-4F43-BCCF-6E751D851C2D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BC66887C-EC4B-4B45-BB73-B22481F16A12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C7A2C335-8F83-4E9C-8724-3F7F816E2A68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9EFC0B12-14A3-42D3-B16A-AC0CE0A804AA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26C6950-6C34-4EF1-A9DE-8D15460BA9BC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15BBBE4C-9E2E-46F6-9FFE-AE3325A540BE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D6E1735F-D439-4A51-BCFD-221FC19C8057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A25B875D-619F-4043-BE19-38E7B2D8C5CA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9D8DD580-A82A-498C-A4EC-A60A9910E87E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A3A83528-0DB3-4A68-B46E-97557218DA3B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32133540-85D0-44C7-8111-BB8164C02549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EC8E521F-33AF-4E9E-AA29-BF5B86B72131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21A67C1D-65DA-4C6C-8540-C805D385E8E5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94F0343F-3C6D-4D2E-A5EF-76CCE59EB9FD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04FD819F-0218-40D8-A6F1-630F6050202D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1ABEF3AC-120E-4FC8-AC1D-E10F16DCA5A8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264AB65B-957D-4145-9D0F-61131F6E55F1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B9B349FD-F13E-4B22-A8C7-DA65D07AE34D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56D2F99E-07FC-4D31-928D-7CDCE61ACE8B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2988</xdr:colOff>
      <xdr:row>33</xdr:row>
      <xdr:rowOff>0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E734BD25-FD6F-4A9D-80A3-E2E25F692D89}"/>
            </a:ext>
          </a:extLst>
        </xdr:cNvPr>
        <xdr:cNvSpPr txBox="1"/>
      </xdr:nvSpPr>
      <xdr:spPr>
        <a:xfrm>
          <a:off x="138809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16F1F455-2BA9-48DC-BF00-F8A5DFF0E8AD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E362095E-C1AB-4DF2-B73F-C28C76B7BB0A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C46FD2D3-8475-4B7D-BA87-E71EADDBEAF4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26B895FC-AAE8-4392-B687-7571B9E540A7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5389F7A9-EC86-4A11-8EF6-69C92C209236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871FF008-8A1C-41FB-87A6-D71519FB92D5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591661FC-4C5F-49BB-9928-C098E55D1CA2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9C2D5514-6270-473E-B065-10C7BBEA6C2E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0F2DCB3D-30F4-471F-B634-014039A1A95F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B97F393C-5931-4ECD-A9A8-7791D4E4F3B2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EA47E17E-FB65-4DD0-A771-F558AB55EF50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35077552-479D-44F8-8FAC-C5A2A36EC1A2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28826DC7-85A8-4DB0-AA7E-857ED68C2CF2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3DA04339-23DC-410D-A9AF-6E8A1B2ED0F9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F0D38A4B-FBA7-4B76-B531-D65F4542810B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A5032F32-6B26-4E7E-A410-127D60DD7E10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20CA70C2-F22F-4C05-B9FE-07F4B3C939EE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B2615B8A-3E9E-48D9-8AC3-7409F36A2094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85B7A12B-D2FF-44BF-8D99-EEF8DC71E448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C0150A90-20B6-4FD3-829F-2FBFA4A4B55B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B4F9D302-0190-4C54-8418-55AFE849AD7F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A1824AB9-36BF-48F9-98E2-B35F7B6239A0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846A99D6-D321-4C9E-808A-0098483200CA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CBADF6C0-147D-46FF-B2B6-11916C555CCF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E943293A-2209-4EC0-BEFE-BF7E78B7CE8F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D89B8CCF-39D3-4BC9-B30B-7786DDB9D113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B0106FA1-73F6-4ACA-91AE-CAE972708CB4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7A996D2F-5276-45FC-BDEC-5F10E10CB063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8D197D6E-DA35-407A-A2DB-5F0ED6290D6F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EF965027-E058-4417-83A8-FB0C2E83FC11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96448F6E-AB39-4522-A18E-0C5948ADF7EC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0FB8DEFF-0936-4E40-A8D1-AF2E9FC0F4BF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5A79210F-C61F-4C19-B6A7-E820A37B508E}"/>
            </a:ext>
          </a:extLst>
        </xdr:cNvPr>
        <xdr:cNvSpPr txBox="1"/>
      </xdr:nvSpPr>
      <xdr:spPr>
        <a:xfrm>
          <a:off x="3476625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796E4241-C058-4578-A99A-FCD6A226D380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52DD8235-51F7-4FF4-8A78-4A241C231706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F7F779DA-FE06-4705-9835-280781A889CD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B0FD5F69-C2D2-440C-B72F-4220D9FC074E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90C5CAC5-ADB0-45E9-8CF7-4512636F1C22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9C51BC82-6C7D-49D6-9D06-88AD2E04F04D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8CEE2407-8409-4C3E-BA8C-6C433F8646EF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4A82EECC-E879-4CCF-A198-DF8F541DB750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FF029BA-4752-4B58-91C3-46B006884A23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6CCC20A4-286C-4133-8C33-AF58DC0857EB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CC55FD79-869A-411C-9579-FBA7013AD9A7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9763DBC1-ACB7-403D-91B9-469E68531916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150E9433-1524-4228-AF4F-15483BFD650B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7FC4C26C-DF18-4C70-A9B7-7CA60CEB0F59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EA94C64-F13B-46B5-BA59-5B04479AA1D0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543B34BA-3D19-4626-8153-8A83A79E4A10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915D363E-403F-435A-948A-C1F9AAD6B45D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2839EDA8-5254-409D-AE65-A2F81DBC4619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2F565C81-0EA5-4A30-AE9C-4C77E0E2C162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44B2C806-F6A3-45C8-A310-E55386F48C46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FB195F6E-8976-4053-8F2B-75EE00F0B632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A7FACAA3-DB7C-482C-B552-73D97A4B8999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738E39C1-2B27-4888-96FC-DF35FA84296E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4774E294-5F0C-4E1D-969F-C7C0DEBCCAAF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5E2FB302-90BD-4F40-B028-736CE37711C5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15BEE4A5-711E-4104-AD2A-68D1E49C9417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496DDB73-92F7-4296-929A-C089C69D51A5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23A4F8B0-6F1F-47BD-9D72-0D865C10D51F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FEE8B0E7-224F-4B45-A7CD-51D9E458BED1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F8E84982-CD7A-4114-88B1-CE91E23CC5CB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70220053-528F-4387-BC5A-5DB11086F7CC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35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5D3799BF-04BA-40EE-B83F-FA730EB1740E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1EFC27EB-B1C5-4C1E-8AD1-B85AC262F8E6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615DD7A1-4BB6-4B5B-A20C-930EDC1AE292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FD9A10F4-76E3-4CB6-943A-EBC139976C1C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079EBC0D-D86C-4055-B173-88493E4EEBEC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2ACF5D59-1BC3-4335-A7F7-A2FAFC62BA11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4CE7BE9B-8623-4D1F-91FD-C333E45C2C09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15841FE1-C219-4624-B578-0C9A30182F0F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6744EBD6-90C9-4CBC-B696-B770AA28ED4D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25D9DE95-248A-4747-BB55-78F94FE8005B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D4A815D4-13EE-46F8-8430-EE1DC8DDC9DA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0E440F32-5DA9-4541-90CD-344B35A13704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90D51FCD-F323-4391-8EC8-5583A244A1B0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60F6D5D7-3C78-46E7-8CAC-2B8ED47C3416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0D47A130-077D-491A-BBAB-67589F284200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04DAACB5-1995-430A-98FF-C596148CE2BC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F4E87066-B08B-43F8-AA57-64A0CA13917F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1A25AF27-F7C3-4462-A245-67C4FFFE6BBF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AB95614B-23DC-4207-84C7-075BE874C1D0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BE84B35D-DEAF-4160-A16B-3B708E21F3EA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F9236D1F-E5A0-4E67-BEA7-75CC09AD4F88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C6675E3A-84BE-4E8E-A61B-103DE1FA78AD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3EE54B4F-CA3F-4529-ABCB-8A621ABBEBF0}"/>
            </a:ext>
          </a:extLst>
        </xdr:cNvPr>
        <xdr:cNvSpPr txBox="1"/>
      </xdr:nvSpPr>
      <xdr:spPr>
        <a:xfrm>
          <a:off x="19333543" y="118975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90700651-0680-45B8-BAA3-BF5343B626B8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C8D77686-A91F-4355-AD4E-9E5F478B1D2D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CE501827-6B3B-47E6-A3DD-AA6B600915EC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35EFEBFB-31A3-46A3-A4B2-9ABCFD93DC36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7ADEBF8F-7976-4A4B-8914-5877EE741938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C4D782C9-DD37-4174-BB5D-F0DBFE8A519C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16CC7870-686C-41DD-AA4C-CE829629DEAE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9A6A0AF0-752C-4431-87C2-896BB4BC5377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AE84CF45-AF93-4BBF-A43C-CB3BB0D91E4A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C3965070-0834-489C-8464-D21AD990EEDE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68</xdr:row>
      <xdr:rowOff>0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593AC7C4-7DF1-4752-8995-39110B3F5323}"/>
            </a:ext>
          </a:extLst>
        </xdr:cNvPr>
        <xdr:cNvSpPr txBox="1"/>
      </xdr:nvSpPr>
      <xdr:spPr>
        <a:xfrm>
          <a:off x="19333543" y="121400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360237</xdr:colOff>
      <xdr:row>102</xdr:row>
      <xdr:rowOff>136236</xdr:rowOff>
    </xdr:from>
    <xdr:ext cx="1350959" cy="469900"/>
    <xdr:pic>
      <xdr:nvPicPr>
        <xdr:cNvPr id="167" name="Imagem 166">
          <a:extLst>
            <a:ext uri="{FF2B5EF4-FFF2-40B4-BE49-F238E27FC236}">
              <a16:creationId xmlns:a16="http://schemas.microsoft.com/office/drawing/2014/main" id="{FDADA6F1-28B6-43CA-BE28-E1260DA2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89010" y="32174872"/>
          <a:ext cx="1350959" cy="469900"/>
        </a:xfrm>
        <a:prstGeom prst="rect">
          <a:avLst/>
        </a:prstGeom>
      </xdr:spPr>
    </xdr:pic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4180B61A-EB08-47A3-9EA3-88F05FAB6021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850567CD-CD7B-4236-9ACB-B78EC6820768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9DEB1DB5-7D23-4B4A-8920-97C66A659360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20C8643C-EC10-4A19-B1F9-CD964E8D57E9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30DCFBA3-593F-408D-954F-473B358A1121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4B5C80D0-47B6-49F5-8609-0516C20A80D6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7B0E83B8-4A3D-4FD5-9671-1D042748EF0B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BE0697A2-9018-434F-821E-1CDBBF554DE5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168BD65C-A126-480A-A5F4-BBA6255E860C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743E0E10-8B38-48F2-A086-35FF4544DE52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787AEC52-08BF-43F3-AD5A-D19B94F603FE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E0C1DD48-4FD0-43B4-8B1B-DF7883FFC776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5C15A49D-ACA1-47B5-8E74-15260BDBE838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BB91C83D-621D-4C79-ACFB-91160A6EC7FB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7377E9A9-4838-4168-96B9-21BD60BFA8FA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3AE3158A-B558-4612-BEA6-88224F435443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62B3080C-C1C7-4B36-80CF-47C02BFC6BC8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364E47AC-9901-4E25-8A05-6AC58DE070D8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9E500E16-F734-499F-B7CF-6BA3B44178A4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5106493A-D734-4203-AA5D-F8A037F2F8B4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48287BCC-E8EC-4DAA-8B87-60F9F257A13D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102</xdr:row>
      <xdr:rowOff>0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CDE9F3E7-B558-4076-9A5F-34EC0BB30B38}"/>
            </a:ext>
          </a:extLst>
        </xdr:cNvPr>
        <xdr:cNvSpPr txBox="1"/>
      </xdr:nvSpPr>
      <xdr:spPr>
        <a:xfrm>
          <a:off x="19333543" y="264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B74DF0A2-1C32-4F54-A4F1-4190B28BB7B9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B0F97C7A-B797-4177-8EDA-B9106AB9F986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5CE91ADC-6D92-4D2F-8C77-8A77F0ABFF87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BF2D6069-AB49-4149-96E0-B1B5F2D741C4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07D24062-0167-4E0E-9A4D-ECA489CEB5CC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2083023-6D16-4025-B4CB-691EB42E55A8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8E658C5B-E27A-4402-A793-C0E754C7A8D6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262302BB-DE52-4518-A39F-A715464A6CA0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A6435264-1C7E-4A9B-A673-2652B2E2B343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49FBE172-93B9-497E-A58B-940D3B9FD46A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103</xdr:row>
      <xdr:rowOff>0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4FEEE6C9-A08B-42C0-A03E-7841881FA098}"/>
            </a:ext>
          </a:extLst>
        </xdr:cNvPr>
        <xdr:cNvSpPr txBox="1"/>
      </xdr:nvSpPr>
      <xdr:spPr>
        <a:xfrm>
          <a:off x="19333543" y="267219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69277</xdr:colOff>
      <xdr:row>102</xdr:row>
      <xdr:rowOff>69274</xdr:rowOff>
    </xdr:from>
    <xdr:ext cx="606136" cy="611282"/>
    <xdr:pic>
      <xdr:nvPicPr>
        <xdr:cNvPr id="201" name="Imagem 200">
          <a:extLst>
            <a:ext uri="{FF2B5EF4-FFF2-40B4-BE49-F238E27FC236}">
              <a16:creationId xmlns:a16="http://schemas.microsoft.com/office/drawing/2014/main" id="{472C08AD-959C-42BC-8EA4-D79DE065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13" y="32107910"/>
          <a:ext cx="606136" cy="611282"/>
        </a:xfrm>
        <a:prstGeom prst="rect">
          <a:avLst/>
        </a:prstGeom>
      </xdr:spPr>
    </xdr:pic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ECB8E9B-1061-4C10-A4F7-064EDBFF0D40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103ACAB-AB53-47A7-8D96-F2C2F6C0719E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CBAAD83A-1DF4-4547-964A-BBFC0216D481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32839F72-11B8-43B4-ABB3-DF2F449E0133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E0B057F3-F18C-4D41-865C-E637402A6343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6DEF135D-9516-4FCB-AF16-CDB1C4A26F73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8FC81D2F-3406-4549-8BA7-CA91EA001B8E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5FDDE245-7E04-4CF3-B5F1-CB69E98E80E9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DEA19F6D-AB7F-4CAD-ABDD-A932E90D46D6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60C195-29A5-417E-A665-19535BB4405B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F675CAA0-C2EB-44B6-A999-F8BABD3A7606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B52B4EBB-57BD-4CBB-9837-300002EEFF03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EE24A1B3-17A6-4D62-B849-E83B540E655D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6D11D80A-2AB5-4ECF-A658-BFE91591CE87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9EC75E44-CC23-408D-9652-A19D10AEBCFA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600873B0-1C49-40D3-BDA9-18221A5C5222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223A7E9F-68D8-42A3-8A22-C97362E3AAFF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CE760A1C-6FA9-4689-B1AF-FDCCD2B9AB3D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8920B389-079C-4EE6-838B-C78C59312FC9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DEFE045-83F3-40B9-9621-BBF8D84BD5AA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74107FCC-D13C-4C5B-8ECD-1E2EB918EEE4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C06B47A0-E876-42F1-B843-FD4238738FD7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BAF8E052-02F3-4696-8F22-68760C894EFF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55CD6EDB-BF86-4599-8B7E-600CBE11FEC3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95EA4509-1366-4821-88BB-585F1CC9CCCA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2AEBDEF8-337E-4D96-B6C0-84B5F9B26DA8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201D5C4D-DA09-4020-A2E9-B6175E7E9A30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D74687D2-FD7D-4BAF-9BF9-E86A3D66985D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68E1A01E-1160-4E3C-B6AD-BC1997F8BC49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579D1C7D-122E-4CF3-B561-9CBF2EF70118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21D09D45-DEA7-4C3F-9AC3-539BA3AB0EDC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B802BBCE-0831-4A3E-9488-C86F99F0FFC0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18</xdr:col>
      <xdr:colOff>993588</xdr:colOff>
      <xdr:row>13</xdr:row>
      <xdr:rowOff>0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494EE63C-E7DD-4A13-ACE3-7B729189DCC0}"/>
            </a:ext>
          </a:extLst>
        </xdr:cNvPr>
        <xdr:cNvSpPr txBox="1"/>
      </xdr:nvSpPr>
      <xdr:spPr>
        <a:xfrm>
          <a:off x="19541361" y="93691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61A88219-4FEB-4C0D-A094-3A227AC67561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4C4964B6-65AC-4AA5-8F08-1025F9D0CB7D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430253A2-57A0-4A3B-951B-B558F2EC8A80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A63C5D12-4FB0-4EBA-91B5-2984AA621576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A78E02C2-07C1-4F2F-B3EA-8B3CB8A27904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376429AA-2E70-45C5-B1F1-FDFE2F35C57F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D54A1C2B-E9D6-4B30-9E4D-DD69AFFF8D4E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3CB03DFE-25AA-427C-BF7D-C2C29EB17CF5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5D34E585-CB90-442E-96CB-B8BC6099BE1F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4849AA8A-8900-4DBC-ABC6-8808FBF70EC7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09" name="CaixaDeTexto 308">
          <a:extLst>
            <a:ext uri="{FF2B5EF4-FFF2-40B4-BE49-F238E27FC236}">
              <a16:creationId xmlns:a16="http://schemas.microsoft.com/office/drawing/2014/main" id="{7856412A-F4B8-40FE-A4FC-C08F3C374452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68325977-03A8-4CCA-97AC-9355928A88ED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8D40A088-4C31-4F62-A17C-3C9312E5B30B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2" name="CaixaDeTexto 311">
          <a:extLst>
            <a:ext uri="{FF2B5EF4-FFF2-40B4-BE49-F238E27FC236}">
              <a16:creationId xmlns:a16="http://schemas.microsoft.com/office/drawing/2014/main" id="{CEB29699-6588-4311-B565-71596932591A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4D09FD6C-D941-4D78-882B-5CEC187E8343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E213D168-22AA-400D-A981-5E867F56062E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31D221C2-370F-4C34-8C31-10BBAD039231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99709897-E5AD-4D9F-8D0C-95CC385FBBE3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7" name="CaixaDeTexto 316">
          <a:extLst>
            <a:ext uri="{FF2B5EF4-FFF2-40B4-BE49-F238E27FC236}">
              <a16:creationId xmlns:a16="http://schemas.microsoft.com/office/drawing/2014/main" id="{2E77F9C7-DC25-47C3-8397-7E8988695517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E9659D59-9735-4A2D-9B14-1BDFBBC57D48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53C22583-0C9C-477C-9918-F1E0A91B9C38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110</xdr:row>
      <xdr:rowOff>0</xdr:rowOff>
    </xdr:from>
    <xdr:ext cx="184731" cy="264560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AFC8DCAE-FCDC-4D53-985B-3715C8A2DE82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2134E819-D684-4D30-87BF-E47B483BBE99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2" name="CaixaDeTexto 321">
          <a:extLst>
            <a:ext uri="{FF2B5EF4-FFF2-40B4-BE49-F238E27FC236}">
              <a16:creationId xmlns:a16="http://schemas.microsoft.com/office/drawing/2014/main" id="{D48919B2-6455-4F90-B66B-F0B1AD3DF2EB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3" name="CaixaDeTexto 322">
          <a:extLst>
            <a:ext uri="{FF2B5EF4-FFF2-40B4-BE49-F238E27FC236}">
              <a16:creationId xmlns:a16="http://schemas.microsoft.com/office/drawing/2014/main" id="{C3ABF85F-93C8-49A3-A0AB-A71A6B927AE8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4" name="CaixaDeTexto 323">
          <a:extLst>
            <a:ext uri="{FF2B5EF4-FFF2-40B4-BE49-F238E27FC236}">
              <a16:creationId xmlns:a16="http://schemas.microsoft.com/office/drawing/2014/main" id="{14A56D4A-6896-40CC-B17B-30737A1F251E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5AA0D26A-F63C-468C-8851-37CD9CEE7A92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A1C327FD-CBF6-4E97-AC69-A54CF9FC738D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17AAEAD8-81D1-443D-81D0-88DD3EBA7DEC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18F07155-37D0-48D4-88F7-500B10A30246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29" name="CaixaDeTexto 328">
          <a:extLst>
            <a:ext uri="{FF2B5EF4-FFF2-40B4-BE49-F238E27FC236}">
              <a16:creationId xmlns:a16="http://schemas.microsoft.com/office/drawing/2014/main" id="{AE985DA3-9BD8-45D1-9EC9-1B5F281D4AE3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B4DA25FF-3ED4-4661-8A99-AB900CB69DE4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993588</xdr:colOff>
      <xdr:row>111</xdr:row>
      <xdr:rowOff>0</xdr:rowOff>
    </xdr:from>
    <xdr:ext cx="184731" cy="264560"/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5DD3AFF8-FAD4-4394-BB04-A0552E4DED68}"/>
            </a:ext>
          </a:extLst>
        </xdr:cNvPr>
        <xdr:cNvSpPr txBox="1"/>
      </xdr:nvSpPr>
      <xdr:spPr>
        <a:xfrm>
          <a:off x="14681013" y="3133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692725</xdr:colOff>
      <xdr:row>2</xdr:row>
      <xdr:rowOff>13853</xdr:rowOff>
    </xdr:from>
    <xdr:ext cx="1440873" cy="1191491"/>
    <xdr:pic>
      <xdr:nvPicPr>
        <xdr:cNvPr id="130" name="image1.png" title="Imagem">
          <a:extLst>
            <a:ext uri="{FF2B5EF4-FFF2-40B4-BE49-F238E27FC236}">
              <a16:creationId xmlns:a16="http://schemas.microsoft.com/office/drawing/2014/main" id="{B2A84D9E-B9B3-423A-B4BE-D7C4AB3EE5B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63780" y="332508"/>
          <a:ext cx="1440873" cy="1191491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29118</xdr:colOff>
      <xdr:row>3</xdr:row>
      <xdr:rowOff>54700</xdr:rowOff>
    </xdr:from>
    <xdr:ext cx="1325880" cy="110871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A4F62913-A892-44ED-B27E-2477052139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2861" y="544557"/>
          <a:ext cx="1325880" cy="110871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10886</xdr:colOff>
      <xdr:row>145</xdr:row>
      <xdr:rowOff>1</xdr:rowOff>
    </xdr:from>
    <xdr:ext cx="396388" cy="399753"/>
    <xdr:pic>
      <xdr:nvPicPr>
        <xdr:cNvPr id="3" name="Imagem 2" descr="Gráfico, Gráfico de bolhas&#10;&#10;Descrição gerada automaticamente">
          <a:extLst>
            <a:ext uri="{FF2B5EF4-FFF2-40B4-BE49-F238E27FC236}">
              <a16:creationId xmlns:a16="http://schemas.microsoft.com/office/drawing/2014/main" id="{BB757FDE-30F5-48C8-93A4-04F5974EF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906" y="26540461"/>
          <a:ext cx="396388" cy="399753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145</xdr:row>
      <xdr:rowOff>68578</xdr:rowOff>
    </xdr:from>
    <xdr:ext cx="701040" cy="243841"/>
    <xdr:pic>
      <xdr:nvPicPr>
        <xdr:cNvPr id="4" name="Imagem 3">
          <a:extLst>
            <a:ext uri="{FF2B5EF4-FFF2-40B4-BE49-F238E27FC236}">
              <a16:creationId xmlns:a16="http://schemas.microsoft.com/office/drawing/2014/main" id="{A0E6FEE6-B5C2-4FF4-91C1-1B01EAB5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75632" y="26609038"/>
          <a:ext cx="701040" cy="2438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0AFB890-8A63-4164-95BC-C9DDE3138CF0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44823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5AAF539-7472-4CC1-8D9C-CAC6A353D75A}"/>
            </a:ext>
          </a:extLst>
        </xdr:cNvPr>
        <xdr:cNvSpPr txBox="1"/>
      </xdr:nvSpPr>
      <xdr:spPr>
        <a:xfrm>
          <a:off x="13880913" y="75695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CC67706-F48E-48F2-9064-7AE9CC8AA59F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8397272-EA17-464B-B617-0B87946BBC97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11FDF5F-E745-4567-BEDD-8C8D2DCB8E14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BBB6099-77A3-4A42-9F5E-5870C084EFED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D5607955-84C7-4883-AFD4-68F5A9BA671C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5A4C773-6B34-4EA4-8B29-9A6853895AB7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88C41AE-9AC7-44BA-98DA-DA8A09668DD9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3E55B93-F30D-4E43-B668-FC5263EE3F20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18E23748-08C9-49BD-8B73-279C9888AEB4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8F8D66B1-8748-4B8F-9717-39F2970A8879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9DA781CF-4E59-47E9-884F-4313FBB7EE6B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806D047-E230-4B49-A5CF-C04BB2B5E6AA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44823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EF283CBD-E12E-40D7-985A-87D8D611C25D}"/>
            </a:ext>
          </a:extLst>
        </xdr:cNvPr>
        <xdr:cNvSpPr txBox="1"/>
      </xdr:nvSpPr>
      <xdr:spPr>
        <a:xfrm>
          <a:off x="13880913" y="75695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28</xdr:col>
      <xdr:colOff>585376</xdr:colOff>
      <xdr:row>86</xdr:row>
      <xdr:rowOff>101600</xdr:rowOff>
    </xdr:from>
    <xdr:ext cx="1060378" cy="368828"/>
    <xdr:pic>
      <xdr:nvPicPr>
        <xdr:cNvPr id="17" name="Imagem 16">
          <a:extLst>
            <a:ext uri="{FF2B5EF4-FFF2-40B4-BE49-F238E27FC236}">
              <a16:creationId xmlns:a16="http://schemas.microsoft.com/office/drawing/2014/main" id="{DB388F2B-B315-4A7E-8E75-8D622806C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3476" y="31057850"/>
          <a:ext cx="1060378" cy="368828"/>
        </a:xfrm>
        <a:prstGeom prst="rect">
          <a:avLst/>
        </a:prstGeom>
      </xdr:spPr>
    </xdr:pic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265CC13D-418C-43F1-B556-3552DDC6CBAD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60234C4D-8640-4A8F-B149-4024B6839D51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BFDCAF48-D466-4F52-90C2-41D89D93B0D3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82922FA8-AA61-48A1-B759-07AEFB7F604E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7604B8D1-AD3D-4F93-9514-0FAFC86F81FF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EDC2B9B7-7DB2-4B69-9942-41FA183B8F1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DB58A6A-87CC-436A-B735-F6C657B92B27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6ED9AD5E-5BF4-43FF-8481-1C377A684C3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760C198-3BE6-4697-9796-0518BEEFAEF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6E0FF0C-E7CC-4588-855B-F9C9574C5E1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E7F2548-0181-4B18-B1F3-8535CE37477D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E89F47FD-771F-4F41-BE39-38776122B031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8A6F854-8656-45DF-9011-58BADCCDDF5F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51A7D6FB-C3F9-41C0-B7F9-22F5579155E7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EA6F5CC2-C7FE-4305-80F9-875BC924D094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6D67F4BB-F8F8-404C-8CF3-A33F61F3C6CF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46A7831E-D594-4ECB-8824-C1EB0BF19A56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447E4A3A-1A7C-4037-B5F8-C09FD0E348F2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1A0F23D-83F1-4BF2-9915-700D9B019B5A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84679451-7913-4CB3-982C-FD005A24321F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668F4BA2-8283-4C94-A4B4-3BAF45290F66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209EEA09-7E28-433F-B15A-52986DA198B1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367482EC-E66D-48D1-9576-63B6DD72370D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7D710872-2B27-4E3D-9D1C-EC3B244A18EE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44B5267E-3970-4A66-BBE7-F01A17F85F3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D91A17D4-AD72-40CE-B4AC-5C899C8F97A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22CF620D-4116-43DE-BE22-43619E331C2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98DA190C-FBBD-4D50-B494-FA049AF46E23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8D97F124-0CA7-4ACD-A541-A28AA427352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480FDA02-EEEC-4435-9DA5-B3D69001A693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D76D0E95-EBC1-4F75-B5D9-1F397948CD9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36D9AC3D-6D83-4152-990D-EF9D72FAEFFD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9ACDD186-5E93-4C48-BE28-6DE77265E101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1CADE91E-8578-414E-A912-DC721C672BF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9A15BBE2-BF89-45B5-8800-7EBB14F46D1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5BA96BDA-CD17-40DE-BBAA-AFB96BDD4213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7A3A4D61-72C9-4FD9-891E-C85D668E49E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3058877E-E478-4996-822A-D6150BF6CEB2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30847B7D-F375-44E1-A8D3-472D04D4189F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8B0F4E17-F94D-4983-94B4-745E6FB7E06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49EC0931-84A8-4B2A-8524-E140EF6E6D5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8569C323-2C0A-4F26-83E9-F2A4056CF87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295C8071-3A93-404F-8A28-DB062EAEB55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C6691056-5AF5-489B-A19D-562E4636FA47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23B2EA69-7D8B-4449-8F50-B2996AD7474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0AA1E313-7362-4E21-91ED-5570E780EA32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4E138A65-21FC-4E7C-9DA7-DE7A7AF572A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614ED697-49CF-4490-B023-EADABC133A99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A9BD2ACC-3B36-4829-91D5-34C9794D59A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A883FB19-FDF1-44FD-8688-22F38E2CE1B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45FBBD9A-EF7E-46A9-8C08-869CE6C58A4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958FE5DD-848A-47F6-B1FF-EC6BAA99EC53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57633B25-05F5-40C1-A4DD-701A8107B354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E97B5BDE-2A45-404D-8765-1FB0461F96A4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EEB0F8F3-F5A5-45FC-AACE-880C6D31D3A9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82ECCA14-2D27-49C2-A73C-5C890CABF45D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4209601E-EB6F-4DF3-BF0F-0F96A142218A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367D0538-2B2B-407C-B653-73087AB25011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32364CB5-05F3-48D7-A0C5-B00AE5D96B3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5F1B37C4-BF28-4CFF-8438-AE77ECFBB8A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1957E4DA-7EA1-4776-9C58-BC10901614F9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DA08970D-4F9A-4E6D-8B9D-6C9584255BFD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C6B8D274-575D-4B9B-914A-C90756116C0A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9AB4C48A-5EEB-475F-9D4E-773BA10B107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EA94D61A-DF04-4472-A84C-63C789256161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FD28DE1A-25E8-4A19-9978-54479435E079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24A02149-CC8C-4F35-9BC8-77EE517B5A0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3F48A5A5-3294-47FA-909F-419FDFF2FA7B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D8202AEA-4669-4EE6-8E8C-8B996A59E76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4BE3F855-5B60-4540-8A8F-B5183BAAF48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C4B918D-292E-4177-829C-E1DB86EF195C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AA55132-2C4D-4EDF-91C7-F049956F203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5DDB4956-A39D-45A9-B555-765B5B439555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93</xdr:row>
      <xdr:rowOff>0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7CAD3656-5F14-4608-8ADB-DE1CE213FB38}"/>
            </a:ext>
          </a:extLst>
        </xdr:cNvPr>
        <xdr:cNvSpPr txBox="1"/>
      </xdr:nvSpPr>
      <xdr:spPr>
        <a:xfrm>
          <a:off x="13880913" y="3228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993588</xdr:colOff>
      <xdr:row>10</xdr:row>
      <xdr:rowOff>0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A364B709-ABCD-4C62-A851-5DB07D269B85}"/>
            </a:ext>
          </a:extLst>
        </xdr:cNvPr>
        <xdr:cNvSpPr txBox="1"/>
      </xdr:nvSpPr>
      <xdr:spPr>
        <a:xfrm>
          <a:off x="5079813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993588</xdr:colOff>
      <xdr:row>10</xdr:row>
      <xdr:rowOff>0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BDF299E3-DD0A-4C0F-B015-8DAF6F7AA685}"/>
            </a:ext>
          </a:extLst>
        </xdr:cNvPr>
        <xdr:cNvSpPr txBox="1"/>
      </xdr:nvSpPr>
      <xdr:spPr>
        <a:xfrm>
          <a:off x="5079813" y="133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55334470-7BB3-406E-B148-36FBE60E6858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158D17E1-3B52-4A51-BA75-59B149E4503C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87792B3C-FAC0-4D76-AB01-4D0D2DB15218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E1F20EEC-E636-4BAC-91FD-57506532E80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A8942C31-E27D-4505-AC0D-E0F1C1854A8C}"/>
            </a:ext>
          </a:extLst>
        </xdr:cNvPr>
        <xdr:cNvSpPr txBox="1"/>
      </xdr:nvSpPr>
      <xdr:spPr>
        <a:xfrm>
          <a:off x="13880913" y="2886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4DE5D120-CEEC-402D-83B5-FD9FD62EDF39}"/>
            </a:ext>
          </a:extLst>
        </xdr:cNvPr>
        <xdr:cNvSpPr txBox="1"/>
      </xdr:nvSpPr>
      <xdr:spPr>
        <a:xfrm>
          <a:off x="13880913" y="2886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BCEE4EA7-CFD8-4124-AF62-3673664778A3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0AECB0D8-D274-4549-BADE-6D529C5A6925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35</xdr:col>
      <xdr:colOff>607</xdr:colOff>
      <xdr:row>46</xdr:row>
      <xdr:rowOff>0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A2B59D1E-E039-4250-B525-D0DD51C0E87F}"/>
            </a:ext>
          </a:extLst>
        </xdr:cNvPr>
        <xdr:cNvSpPr txBox="1"/>
      </xdr:nvSpPr>
      <xdr:spPr>
        <a:xfrm>
          <a:off x="26832532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35</xdr:col>
      <xdr:colOff>607</xdr:colOff>
      <xdr:row>46</xdr:row>
      <xdr:rowOff>0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973977CB-2B95-4C4A-A869-C3E139B9FB66}"/>
            </a:ext>
          </a:extLst>
        </xdr:cNvPr>
        <xdr:cNvSpPr txBox="1"/>
      </xdr:nvSpPr>
      <xdr:spPr>
        <a:xfrm>
          <a:off x="26832532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17B7421D-F6D2-4F8E-AF6C-9E19E41921EB}"/>
            </a:ext>
          </a:extLst>
        </xdr:cNvPr>
        <xdr:cNvSpPr txBox="1"/>
      </xdr:nvSpPr>
      <xdr:spPr>
        <a:xfrm>
          <a:off x="13880913" y="1019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DDC9C41-B709-4085-9AEE-554B62CB5E1D}"/>
            </a:ext>
          </a:extLst>
        </xdr:cNvPr>
        <xdr:cNvSpPr txBox="1"/>
      </xdr:nvSpPr>
      <xdr:spPr>
        <a:xfrm>
          <a:off x="13880913" y="1019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679972FA-22CD-4943-8DF2-6CDD3E504FB9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8AFCDF57-C711-4E3E-9C59-632953593E70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83735685-DB38-4168-A630-28F2466B0B7A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D1743C06-1459-4458-8D2D-A4DA6439B908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69892B35-A595-424F-B8D5-687A829B8EDD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6278E3A9-3F31-47FE-8867-05BC2F9C10C6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6AEDD53D-18BB-4C25-B896-DAA21CD4B6D2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EB2F4F5D-62F7-428C-8E87-0AAFF44ED51C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F66F1E15-E5B2-4150-90B9-83FE841FFC87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698917E5-1134-44CA-835D-65C83B577DF3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AA97AC37-1A19-4201-848D-4AB53F15AAC9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32B04A61-2D1F-430D-99B9-43B7BEC89A0D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CE930E5B-FACD-4BDF-929B-723B2D9D0B0E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85396E4C-991A-4CCA-8A03-B766681E0B77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D6080A1D-9672-4A1E-8FAB-FF626B0012BC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EE9768B6-09C8-49C2-9A93-AE69255291DC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BA535C21-ACA6-40D7-A2A9-81D384653617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1625DA48-0779-4E3C-B6E6-9123FE14FB5A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156A7D68-A070-4C74-9BD9-B3FEE69A7353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F5EC81B1-36A0-45F6-8E15-8558F80841D7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9A7CBFB4-73EE-487B-8D91-C656B34BD984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3BFD36F1-26AB-4FA6-860E-AB7C59136FA6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AF185376-7658-40C1-979C-CEAC20B6E850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3CA7C36B-0A6F-4257-A317-91A48818E2A5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6F53354E-6C6C-416E-88CC-C46656007F5D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ABE06395-261D-4B1A-98D9-D7AF64328190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844C4CC0-205E-4C26-A3D5-08B88027BB5B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774DCCB7-D001-42E4-8EDF-9EDFB1773741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2F3A5F52-7C70-4AEE-8F4B-715AA7625F9A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43E7D2D5-C32D-4DA0-9131-5DE858438B5D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F1095DA6-25AF-4F3B-BAC8-6E5F79451DA7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6453C797-AF9D-47AF-8958-C75DBBED7813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802230FF-8077-427C-B4B0-B641D1ADE8CD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7F38D91A-239D-497F-A5D5-8150979D422C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EE79BAAF-E2A3-401A-A1D1-FF96A99BB9DF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7408091C-2AF2-4A8C-A9C6-0ADE03A28D5F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35</xdr:col>
      <xdr:colOff>607</xdr:colOff>
      <xdr:row>47</xdr:row>
      <xdr:rowOff>0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3C3FDCAF-B8B5-4317-9334-BEC73C7B92A5}"/>
            </a:ext>
          </a:extLst>
        </xdr:cNvPr>
        <xdr:cNvSpPr txBox="1"/>
      </xdr:nvSpPr>
      <xdr:spPr>
        <a:xfrm>
          <a:off x="26832532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35</xdr:col>
      <xdr:colOff>607</xdr:colOff>
      <xdr:row>47</xdr:row>
      <xdr:rowOff>0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F515B4D3-9266-470A-BB40-437A88229DC3}"/>
            </a:ext>
          </a:extLst>
        </xdr:cNvPr>
        <xdr:cNvSpPr txBox="1"/>
      </xdr:nvSpPr>
      <xdr:spPr>
        <a:xfrm>
          <a:off x="26832532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35</xdr:col>
      <xdr:colOff>607</xdr:colOff>
      <xdr:row>47</xdr:row>
      <xdr:rowOff>0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A594C1CD-CF38-4426-A511-0424D5FBE383}"/>
            </a:ext>
          </a:extLst>
        </xdr:cNvPr>
        <xdr:cNvSpPr txBox="1"/>
      </xdr:nvSpPr>
      <xdr:spPr>
        <a:xfrm>
          <a:off x="26832532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35</xdr:col>
      <xdr:colOff>607</xdr:colOff>
      <xdr:row>47</xdr:row>
      <xdr:rowOff>0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6103C560-6B74-4876-A0B1-2E2AE2A5AF80}"/>
            </a:ext>
          </a:extLst>
        </xdr:cNvPr>
        <xdr:cNvSpPr txBox="1"/>
      </xdr:nvSpPr>
      <xdr:spPr>
        <a:xfrm>
          <a:off x="26832532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83D5B151-B8E0-4F45-BA65-0E82750B1CE6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1FBB9480-12D6-44CA-B5C3-2A80DA1126BF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7D04845C-CC0C-4C6A-BC56-925975C80DEC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FD7FCAE3-5E9F-4DC2-B865-E50AF91896B6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481CA78D-88DE-4B63-A476-7932AA64C5D8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26129163-A278-42D5-B07E-79A2B5A01330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29DCADFF-1978-4A6C-930C-CDFF09C25DD1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F8A68F69-90F0-4FA6-9845-2B97E378C0F1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8CC79B44-8C4E-47DC-BC9C-70574046E402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4674F0F7-8A50-4815-9332-2DB172FAA6F2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4FDA745A-5AC1-4342-B355-6FF5E415E9FD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F94C9BA2-2D4F-4DB6-9C20-12A767E58971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E22F0EF2-C50D-4669-B050-E0A7D4F9CB69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8AAAC3B7-3776-436C-BC84-164D7EB5ADC3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987A3363-0768-4A7C-95BF-C319E7E60615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CE51C760-B8C1-4E09-B1DB-712C263DC90C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61223E96-0609-46A6-A5DC-C51C1CB83DFA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D1C7C439-CF66-4ACB-B420-C603D4554A11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D57BDF5B-3600-437D-B343-C415A063FA18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DDDDE99B-0AF6-4A43-B17C-CF29DDAB48ED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494BC27F-1C13-4F7B-BB37-E98A75D2C106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4FB07933-9259-4D57-93B9-4DACAE8F7B4C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481B8B9D-7CF9-4958-A823-3BA0394D0DFF}"/>
            </a:ext>
          </a:extLst>
        </xdr:cNvPr>
        <xdr:cNvSpPr txBox="1"/>
      </xdr:nvSpPr>
      <xdr:spPr>
        <a:xfrm>
          <a:off x="13880913" y="2886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798B94EC-BA07-417E-811D-4BF1809FF2ED}"/>
            </a:ext>
          </a:extLst>
        </xdr:cNvPr>
        <xdr:cNvSpPr txBox="1"/>
      </xdr:nvSpPr>
      <xdr:spPr>
        <a:xfrm>
          <a:off x="13880913" y="2886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FF86092B-2C33-4852-A94D-0363AA84691E}"/>
            </a:ext>
          </a:extLst>
        </xdr:cNvPr>
        <xdr:cNvSpPr txBox="1"/>
      </xdr:nvSpPr>
      <xdr:spPr>
        <a:xfrm>
          <a:off x="13880913" y="2886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D9697B99-6583-4DCA-8684-BA692467624F}"/>
            </a:ext>
          </a:extLst>
        </xdr:cNvPr>
        <xdr:cNvSpPr txBox="1"/>
      </xdr:nvSpPr>
      <xdr:spPr>
        <a:xfrm>
          <a:off x="13880913" y="2886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07542EBC-6E21-47FD-A27F-7ABB6D5837C8}"/>
            </a:ext>
          </a:extLst>
        </xdr:cNvPr>
        <xdr:cNvSpPr txBox="1"/>
      </xdr:nvSpPr>
      <xdr:spPr>
        <a:xfrm>
          <a:off x="13880913" y="290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E3FCA397-3806-4AB6-9BDE-3E348ABCD918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58BCD692-E328-4E2C-B00C-95DA0964E140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81C052ED-7BE2-415B-8577-3B6E8237D2EC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BDB2D920-E5DA-4B3B-944A-6F02DF8F8917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D8B66255-91F2-4AD6-9D83-4135D4B2B2EC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DE4C3660-8B54-4BAA-8E77-59C6A0A86FD7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F43B4093-21D5-4673-86DA-FE695600C88E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02841F71-5868-4186-8E15-3393B85B4698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9E57263E-3673-4CA9-B1B1-78C4CF58E3BB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85E190BC-B676-45B8-A742-4BC8E62E6040}"/>
            </a:ext>
          </a:extLst>
        </xdr:cNvPr>
        <xdr:cNvSpPr txBox="1"/>
      </xdr:nvSpPr>
      <xdr:spPr>
        <a:xfrm>
          <a:off x="13880913" y="2981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31D354A8-B70A-4976-AEF2-7C71050B0343}"/>
            </a:ext>
          </a:extLst>
        </xdr:cNvPr>
        <xdr:cNvSpPr txBox="1"/>
      </xdr:nvSpPr>
      <xdr:spPr>
        <a:xfrm>
          <a:off x="13880913" y="3000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7F10E617-5778-4B9B-8F3A-78CBA3C2102E}"/>
            </a:ext>
          </a:extLst>
        </xdr:cNvPr>
        <xdr:cNvSpPr txBox="1"/>
      </xdr:nvSpPr>
      <xdr:spPr>
        <a:xfrm>
          <a:off x="13880913" y="3000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65EB6888-82EE-4433-968C-436C83BF8A37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1F43F6EC-F0A2-4F42-9C92-3862FE68E61E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45BCADCF-1163-48B1-8C96-BE62C2517093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91A600E1-0563-4434-9CF6-676B6F54362B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3F8A79D3-E5FC-40C2-A744-9A3F84D4D867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A89E8E5D-091A-4DE4-84B3-504939B96582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14C698C4-E999-47E1-B4AF-CBF99632CAAD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BA459D88-703C-4161-B519-11E602F8BCFC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4D200AFD-69D9-4B86-AC2D-E822E37703C1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14FD038A-5771-4459-B08F-88AA00F1B286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FC3C719B-830A-48C6-A4DB-E4A689E5A105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7F5CD301-9C53-490E-93CD-E202A02FD9E2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CDDC8B30-DB78-484F-915D-9161240A241E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8A1AA2F9-F4A5-4694-B033-13914B5E96B1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1A964D35-F6FF-41CA-991B-F465507CA4EF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BC667C2F-E4CC-488D-A366-ED692AD9BE63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48CFED3-8E9D-493E-B77F-3863493E1EE8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95671006-7653-4C39-A4C1-F1B65F142614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AD715CE0-46DE-4244-B0C1-19DA9DEC571D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8A1C07C0-A6A5-4451-8B76-CF1C3B6BA16A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13CF53FE-0946-42E4-9594-545FF0B474A1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9FB4FB4B-8F4A-4EC0-85BC-7A0C06F2889C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B2056850-21F6-40F8-B18E-31F2DFF4D0F4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A1ED5717-0307-489A-9A79-D5082639D527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A06F0FB9-4345-423F-87BF-28C8D0278020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DAE30E9F-4004-4E9D-AF61-774A34419AD0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5E709E34-134F-478C-9451-0A07C5DAA8B8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C289E352-55CC-40C3-B319-A48C1F9C4F1F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A53DC14F-28DE-4709-8F33-129DB840E586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755F701A-0480-48C8-8F4B-9F7C83BED7CC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C1FC3F30-83DC-40F1-9BCF-7260022A33A5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F2D7AD0E-4A88-4355-9F4E-1B062DFB6659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47C36543-8D67-4AFE-939B-455661CD682E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E03EEB33-92CF-4E9B-9457-D6D6604D3F4F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78FA7E52-8692-43CD-9180-D4839BBC0049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490B6238-3DD8-4511-B8C4-0C0B769FA07C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27CD11E3-0C7C-46D5-81E0-C433C21BD717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20167C08-5E9D-4C84-AF4E-F4E702F295F3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73579AED-9351-4B76-8398-1D33027A71D0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C97257C2-3DE8-4BF9-AE65-DABE74C86C39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F0134D82-147B-4F4B-B770-E7CE5A4E2514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09CA4DC9-6804-4B74-9622-AF0AEE2BF93C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62E62ED9-904A-4A9E-862E-A3D98517EE70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0616AF0C-3577-449F-8CAF-977987F9DB06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02FA4F29-BF88-447C-926B-F78C426A4129}"/>
            </a:ext>
          </a:extLst>
        </xdr:cNvPr>
        <xdr:cNvSpPr txBox="1"/>
      </xdr:nvSpPr>
      <xdr:spPr>
        <a:xfrm>
          <a:off x="13880913" y="2657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05AE5777-6825-4A0C-8822-E177776C1E48}"/>
            </a:ext>
          </a:extLst>
        </xdr:cNvPr>
        <xdr:cNvSpPr txBox="1"/>
      </xdr:nvSpPr>
      <xdr:spPr>
        <a:xfrm>
          <a:off x="13880913" y="2657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F61839FD-0B89-40C9-A44A-D2BBE850F967}"/>
            </a:ext>
          </a:extLst>
        </xdr:cNvPr>
        <xdr:cNvSpPr txBox="1"/>
      </xdr:nvSpPr>
      <xdr:spPr>
        <a:xfrm>
          <a:off x="13880913" y="2657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665BBD2D-C2D4-4CA7-8262-CF68AA7EE652}"/>
            </a:ext>
          </a:extLst>
        </xdr:cNvPr>
        <xdr:cNvSpPr txBox="1"/>
      </xdr:nvSpPr>
      <xdr:spPr>
        <a:xfrm>
          <a:off x="13880913" y="2657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82</xdr:row>
      <xdr:rowOff>0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D69437DB-5432-4BD3-B432-24A8FAB89536}"/>
            </a:ext>
          </a:extLst>
        </xdr:cNvPr>
        <xdr:cNvSpPr txBox="1"/>
      </xdr:nvSpPr>
      <xdr:spPr>
        <a:xfrm>
          <a:off x="13880913" y="2714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82</xdr:row>
      <xdr:rowOff>0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B733DC12-BB30-4C85-A995-7FF38C18CC60}"/>
            </a:ext>
          </a:extLst>
        </xdr:cNvPr>
        <xdr:cNvSpPr txBox="1"/>
      </xdr:nvSpPr>
      <xdr:spPr>
        <a:xfrm>
          <a:off x="13880913" y="2714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5CFA533F-D8FD-47FF-8A29-D073F1CF6C7F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7B50B256-F86D-4C4E-8C44-13C753B222C9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4B995073-B6AB-4675-957A-DA4B74C8AA58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CB3F1030-4B31-4FBA-B090-D6CFDC3DCFBE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3F5C4365-ECC2-4C09-87C4-8ADD5D0BB957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1A89F8BD-6C5C-4A4F-94E6-D1FB2A248FF1}"/>
            </a:ext>
          </a:extLst>
        </xdr:cNvPr>
        <xdr:cNvSpPr txBox="1"/>
      </xdr:nvSpPr>
      <xdr:spPr>
        <a:xfrm>
          <a:off x="13880913" y="2771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49</xdr:row>
      <xdr:rowOff>0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4569D825-7090-4A44-8C6E-1F8EDB72BF4D}"/>
            </a:ext>
          </a:extLst>
        </xdr:cNvPr>
        <xdr:cNvSpPr txBox="1"/>
      </xdr:nvSpPr>
      <xdr:spPr>
        <a:xfrm>
          <a:off x="13880913" y="1495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49</xdr:row>
      <xdr:rowOff>0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D1D7FFC7-AC22-4BFE-85AF-251A37D4750D}"/>
            </a:ext>
          </a:extLst>
        </xdr:cNvPr>
        <xdr:cNvSpPr txBox="1"/>
      </xdr:nvSpPr>
      <xdr:spPr>
        <a:xfrm>
          <a:off x="13880913" y="1495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568BF152-26E8-421E-A7F9-618D29A55F8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FC7B0E63-5181-45E6-BE9C-845AF078D97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2D0F10EE-7963-4CE8-A6AF-607E1AA4A67F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DF967884-1A67-46E7-A4DD-2C593A8176B6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6D49ABFF-5775-48DD-8AF4-E0DE0E01B02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906483BD-B5FE-44E6-A1B8-5F46FEB377BB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2FB993D4-769E-4128-9BAF-9BEC80A36295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139ECED2-6800-4CB7-B8B7-DFE1662BA698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04F760AD-4765-4173-AF94-ECC2B129E64D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76BA1AF7-78BC-45DA-B24E-1F6B66F490DE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8BAA7E6A-73CF-4211-B7BE-F6841BA452C3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075C01F6-3C5D-40D1-BA21-FF4B99AA2F8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2B5FABA7-025E-4229-9D9F-6FFA38ABB844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E16C5C7C-377B-4079-803D-7C1A64563D73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7D7713D7-1C59-4146-9E43-06EED7BF8C09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4509C419-A001-4229-8DAF-049F47794348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3753DC3E-D4F0-498A-8F79-531D0B57DA47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58281301-3A03-469E-B68B-F4465DC1EDD6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EE283D35-5128-40D2-B344-35E820CEE6B3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0D11B41B-46B3-42E8-BBB1-2AAFA47110B3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A9EB27D6-3496-4F19-9029-C8D5F96EED68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4" name="CaixaDeTexto 263">
          <a:extLst>
            <a:ext uri="{FF2B5EF4-FFF2-40B4-BE49-F238E27FC236}">
              <a16:creationId xmlns:a16="http://schemas.microsoft.com/office/drawing/2014/main" id="{FAC7BA97-8757-4667-BE1A-1517A401A581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BE33BCFC-B30A-4BB4-880B-E0F324BCE473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6" name="CaixaDeTexto 265">
          <a:extLst>
            <a:ext uri="{FF2B5EF4-FFF2-40B4-BE49-F238E27FC236}">
              <a16:creationId xmlns:a16="http://schemas.microsoft.com/office/drawing/2014/main" id="{17F91C28-EB3B-490B-BBC4-A4FEF2FC5A2A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7FC11433-B488-4D8A-B5BE-870BC76FBCD5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E3AA1040-F090-4886-8D3D-DB3E8D2B01E7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D596929D-B9D1-4BF8-B1AD-005AB9CF83EC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EDB44FC1-D4D1-409E-8149-E7E03B43F414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29E922BE-F634-4456-BC4E-C46C1A93644D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2" name="CaixaDeTexto 271">
          <a:extLst>
            <a:ext uri="{FF2B5EF4-FFF2-40B4-BE49-F238E27FC236}">
              <a16:creationId xmlns:a16="http://schemas.microsoft.com/office/drawing/2014/main" id="{C287EA3A-E1BD-4625-8776-7A5DDF09FB46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3" name="CaixaDeTexto 272">
          <a:extLst>
            <a:ext uri="{FF2B5EF4-FFF2-40B4-BE49-F238E27FC236}">
              <a16:creationId xmlns:a16="http://schemas.microsoft.com/office/drawing/2014/main" id="{675BA695-1312-4DBF-B6A9-658BD7BF8F21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4" name="CaixaDeTexto 273">
          <a:extLst>
            <a:ext uri="{FF2B5EF4-FFF2-40B4-BE49-F238E27FC236}">
              <a16:creationId xmlns:a16="http://schemas.microsoft.com/office/drawing/2014/main" id="{762A1C29-946A-4FE2-8141-31A59DE274CF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5" name="CaixaDeTexto 274">
          <a:extLst>
            <a:ext uri="{FF2B5EF4-FFF2-40B4-BE49-F238E27FC236}">
              <a16:creationId xmlns:a16="http://schemas.microsoft.com/office/drawing/2014/main" id="{A4329A11-CBE9-439A-B4C2-9FF1EFC9A1D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6" name="CaixaDeTexto 275">
          <a:extLst>
            <a:ext uri="{FF2B5EF4-FFF2-40B4-BE49-F238E27FC236}">
              <a16:creationId xmlns:a16="http://schemas.microsoft.com/office/drawing/2014/main" id="{1DDF8325-C568-4D84-826A-15CA383DD0F4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7" name="CaixaDeTexto 276">
          <a:extLst>
            <a:ext uri="{FF2B5EF4-FFF2-40B4-BE49-F238E27FC236}">
              <a16:creationId xmlns:a16="http://schemas.microsoft.com/office/drawing/2014/main" id="{98819480-D96B-4F01-A991-F25424FBCE3E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8" name="CaixaDeTexto 277">
          <a:extLst>
            <a:ext uri="{FF2B5EF4-FFF2-40B4-BE49-F238E27FC236}">
              <a16:creationId xmlns:a16="http://schemas.microsoft.com/office/drawing/2014/main" id="{137E39A7-29BA-46AF-A274-27997EF654D1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564783C0-8E27-42DD-A458-C55333EB6A3D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7068162F-9793-4020-86F0-5C3940DAB77F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81" name="CaixaDeTexto 280">
          <a:extLst>
            <a:ext uri="{FF2B5EF4-FFF2-40B4-BE49-F238E27FC236}">
              <a16:creationId xmlns:a16="http://schemas.microsoft.com/office/drawing/2014/main" id="{3A25F39B-A3CB-4A3B-A82C-D9FEAC4FAC98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282" name="CaixaDeTexto 281">
          <a:extLst>
            <a:ext uri="{FF2B5EF4-FFF2-40B4-BE49-F238E27FC236}">
              <a16:creationId xmlns:a16="http://schemas.microsoft.com/office/drawing/2014/main" id="{2CD05A59-53A3-499D-A00F-91E1B4453212}"/>
            </a:ext>
          </a:extLst>
        </xdr:cNvPr>
        <xdr:cNvSpPr txBox="1"/>
      </xdr:nvSpPr>
      <xdr:spPr>
        <a:xfrm>
          <a:off x="13880913" y="1609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3" name="CaixaDeTexto 282">
          <a:extLst>
            <a:ext uri="{FF2B5EF4-FFF2-40B4-BE49-F238E27FC236}">
              <a16:creationId xmlns:a16="http://schemas.microsoft.com/office/drawing/2014/main" id="{1B95D794-5B80-45A5-89C6-DCECA77018B4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CA14B785-F717-4A49-9217-0EFABFA90F73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CB8976CC-EE92-4932-B3C6-A6E2DA817A91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28E6A9C4-7567-47C8-AF70-F78280BC699A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65A65890-7044-4EFC-8014-2B63B8C44BB7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80677E2A-8DFB-4129-8991-E9A54C360410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28E937DC-0D66-4FF2-B71D-C1AB990A010B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B4EA49CD-807A-44A1-A805-DB8D06FEEE62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EEC2F180-6FC5-43A0-B4EE-A3BDB14E094D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C4CDE156-5FCD-4D34-A6F4-241E5D6B5022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3ACA12DA-103F-4C82-A204-F25A734191F6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5B5E05CC-CC36-40AA-8146-8BEBD7170540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B645D082-91C1-497B-8747-51FD6CA8E6C7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D6BD2582-153E-4794-B17F-EAE00B4B91F1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7" name="CaixaDeTexto 296">
          <a:extLst>
            <a:ext uri="{FF2B5EF4-FFF2-40B4-BE49-F238E27FC236}">
              <a16:creationId xmlns:a16="http://schemas.microsoft.com/office/drawing/2014/main" id="{70252EDC-CB9A-45E9-88FE-ABE8C4636505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8" name="CaixaDeTexto 297">
          <a:extLst>
            <a:ext uri="{FF2B5EF4-FFF2-40B4-BE49-F238E27FC236}">
              <a16:creationId xmlns:a16="http://schemas.microsoft.com/office/drawing/2014/main" id="{69030BCC-A19F-423D-B62C-AE793276F855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B3190F98-4A5C-4D5D-9AC2-FC0D383CBB6F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C90C2902-C821-436B-A444-F9ED44780A2C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8A72755E-47DA-4D91-B590-CDF160CE0F9B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D313BDA5-2ECC-4553-963E-DE9943127B9B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E4111F5E-B859-4FDC-BF56-B42BBC4732A3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4DAADB4C-88CC-4BCA-A953-EEEA8D39A733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FA1074DD-0309-4751-9CC4-92ED3CF8D176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156F4831-3EF3-4E8D-B16C-6696B8ED49D6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02E7BE98-9281-4E35-8C86-7BDD618EBDFD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4D682DD5-7641-4F89-BB78-543219006251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09" name="CaixaDeTexto 308">
          <a:extLst>
            <a:ext uri="{FF2B5EF4-FFF2-40B4-BE49-F238E27FC236}">
              <a16:creationId xmlns:a16="http://schemas.microsoft.com/office/drawing/2014/main" id="{412D25FF-6C26-4B2E-9E80-9DC55059974B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E43834FB-3950-4C5A-91FE-CDCE9A163F8F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36B179B7-6401-484D-B759-217742E7FADE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2" name="CaixaDeTexto 311">
          <a:extLst>
            <a:ext uri="{FF2B5EF4-FFF2-40B4-BE49-F238E27FC236}">
              <a16:creationId xmlns:a16="http://schemas.microsoft.com/office/drawing/2014/main" id="{1D9A54CB-371C-4C74-A531-6AF80E370973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9767D87F-63AF-4E0C-AAE5-E29DA60EABFA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071D870C-2B75-4BEA-93FF-91D6236B1C90}"/>
            </a:ext>
          </a:extLst>
        </xdr:cNvPr>
        <xdr:cNvSpPr txBox="1"/>
      </xdr:nvSpPr>
      <xdr:spPr>
        <a:xfrm>
          <a:off x="13880913" y="1800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C4538212-A254-4BF3-8248-E78361D3768E}"/>
            </a:ext>
          </a:extLst>
        </xdr:cNvPr>
        <xdr:cNvSpPr txBox="1"/>
      </xdr:nvSpPr>
      <xdr:spPr>
        <a:xfrm>
          <a:off x="13880913" y="1838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7" name="CaixaDeTexto 316">
          <a:extLst>
            <a:ext uri="{FF2B5EF4-FFF2-40B4-BE49-F238E27FC236}">
              <a16:creationId xmlns:a16="http://schemas.microsoft.com/office/drawing/2014/main" id="{63F2B7D2-6069-48C4-8A26-69DAFC78B4A0}"/>
            </a:ext>
          </a:extLst>
        </xdr:cNvPr>
        <xdr:cNvSpPr txBox="1"/>
      </xdr:nvSpPr>
      <xdr:spPr>
        <a:xfrm>
          <a:off x="13880913" y="1838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BC8F820D-B016-444E-95A1-3660301370A6}"/>
            </a:ext>
          </a:extLst>
        </xdr:cNvPr>
        <xdr:cNvSpPr txBox="1"/>
      </xdr:nvSpPr>
      <xdr:spPr>
        <a:xfrm>
          <a:off x="13880913" y="1838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A66C8891-216D-4DE5-891C-19153496327F}"/>
            </a:ext>
          </a:extLst>
        </xdr:cNvPr>
        <xdr:cNvSpPr txBox="1"/>
      </xdr:nvSpPr>
      <xdr:spPr>
        <a:xfrm>
          <a:off x="13880913" y="1838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B296ABE9-DB84-40E2-B499-7D3B8A80342E}"/>
            </a:ext>
          </a:extLst>
        </xdr:cNvPr>
        <xdr:cNvSpPr txBox="1"/>
      </xdr:nvSpPr>
      <xdr:spPr>
        <a:xfrm>
          <a:off x="13880913" y="1914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1D4E25DF-8808-4089-A407-D0E2AE362668}"/>
            </a:ext>
          </a:extLst>
        </xdr:cNvPr>
        <xdr:cNvSpPr txBox="1"/>
      </xdr:nvSpPr>
      <xdr:spPr>
        <a:xfrm>
          <a:off x="13880913" y="1914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2" name="CaixaDeTexto 321">
          <a:extLst>
            <a:ext uri="{FF2B5EF4-FFF2-40B4-BE49-F238E27FC236}">
              <a16:creationId xmlns:a16="http://schemas.microsoft.com/office/drawing/2014/main" id="{34F352F4-2183-49E0-96ED-4DA8CE21471A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3" name="CaixaDeTexto 322">
          <a:extLst>
            <a:ext uri="{FF2B5EF4-FFF2-40B4-BE49-F238E27FC236}">
              <a16:creationId xmlns:a16="http://schemas.microsoft.com/office/drawing/2014/main" id="{A0ACC605-68A5-4D91-8019-3C80711505D3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4" name="CaixaDeTexto 323">
          <a:extLst>
            <a:ext uri="{FF2B5EF4-FFF2-40B4-BE49-F238E27FC236}">
              <a16:creationId xmlns:a16="http://schemas.microsoft.com/office/drawing/2014/main" id="{D457FBA1-E7FF-4CD3-A9AC-EB43DFFE1C22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C97DC93A-CD44-47E9-9DEB-C35DA941170E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2FAA6298-87F7-4A03-B5F5-15861EDDE617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F5A7F0BB-F18A-41AB-A2DF-AF044C79D6A2}"/>
            </a:ext>
          </a:extLst>
        </xdr:cNvPr>
        <xdr:cNvSpPr txBox="1"/>
      </xdr:nvSpPr>
      <xdr:spPr>
        <a:xfrm>
          <a:off x="13880913" y="2009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79B7AD89-0937-45A2-B43C-9F56DCF29DBB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29" name="CaixaDeTexto 328">
          <a:extLst>
            <a:ext uri="{FF2B5EF4-FFF2-40B4-BE49-F238E27FC236}">
              <a16:creationId xmlns:a16="http://schemas.microsoft.com/office/drawing/2014/main" id="{DE68BA69-C4B5-4492-8E39-07E2A412F1D1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67407B27-2601-4592-95D6-2752B23BED95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65B4419C-73CA-46AB-AC8F-BCC1D9A61F79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ED7FA024-3C90-4BDD-9C0F-07FE46C48963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3" name="CaixaDeTexto 332">
          <a:extLst>
            <a:ext uri="{FF2B5EF4-FFF2-40B4-BE49-F238E27FC236}">
              <a16:creationId xmlns:a16="http://schemas.microsoft.com/office/drawing/2014/main" id="{4FB4AF7C-EFD3-4636-B3C0-1D41F4CABC41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4" name="CaixaDeTexto 333">
          <a:extLst>
            <a:ext uri="{FF2B5EF4-FFF2-40B4-BE49-F238E27FC236}">
              <a16:creationId xmlns:a16="http://schemas.microsoft.com/office/drawing/2014/main" id="{72919534-15EC-45A6-B040-BBDD2823437D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EBBA395A-0BC2-4153-9532-154241950FEF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6" name="CaixaDeTexto 335">
          <a:extLst>
            <a:ext uri="{FF2B5EF4-FFF2-40B4-BE49-F238E27FC236}">
              <a16:creationId xmlns:a16="http://schemas.microsoft.com/office/drawing/2014/main" id="{519999A4-A325-4ED7-834D-9AD46AC49132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7" name="CaixaDeTexto 336">
          <a:extLst>
            <a:ext uri="{FF2B5EF4-FFF2-40B4-BE49-F238E27FC236}">
              <a16:creationId xmlns:a16="http://schemas.microsoft.com/office/drawing/2014/main" id="{5C655AA4-8E05-467C-95EB-98A8C1774CE2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8" name="CaixaDeTexto 337">
          <a:extLst>
            <a:ext uri="{FF2B5EF4-FFF2-40B4-BE49-F238E27FC236}">
              <a16:creationId xmlns:a16="http://schemas.microsoft.com/office/drawing/2014/main" id="{B4B9038F-4301-41CB-9A96-D771ABD93BC1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85</xdr:row>
      <xdr:rowOff>0</xdr:rowOff>
    </xdr:from>
    <xdr:ext cx="184731" cy="264560"/>
    <xdr:sp macro="" textlink="">
      <xdr:nvSpPr>
        <xdr:cNvPr id="339" name="CaixaDeTexto 338">
          <a:extLst>
            <a:ext uri="{FF2B5EF4-FFF2-40B4-BE49-F238E27FC236}">
              <a16:creationId xmlns:a16="http://schemas.microsoft.com/office/drawing/2014/main" id="{817EDD39-F3B5-422A-9642-8F80A4F1DEF0}"/>
            </a:ext>
          </a:extLst>
        </xdr:cNvPr>
        <xdr:cNvSpPr txBox="1"/>
      </xdr:nvSpPr>
      <xdr:spPr>
        <a:xfrm>
          <a:off x="13880913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731B2308-6362-4D14-8CF8-7BD803EB8F1E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849E1B3D-C7D7-4EBF-A5F0-DA957DC557F5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2</xdr:col>
      <xdr:colOff>0</xdr:colOff>
      <xdr:row>86</xdr:row>
      <xdr:rowOff>38100</xdr:rowOff>
    </xdr:from>
    <xdr:to>
      <xdr:col>2</xdr:col>
      <xdr:colOff>511131</xdr:colOff>
      <xdr:row>88</xdr:row>
      <xdr:rowOff>172538</xdr:rowOff>
    </xdr:to>
    <xdr:pic>
      <xdr:nvPicPr>
        <xdr:cNvPr id="342" name="Imagem 341">
          <a:extLst>
            <a:ext uri="{FF2B5EF4-FFF2-40B4-BE49-F238E27FC236}">
              <a16:creationId xmlns:a16="http://schemas.microsoft.com/office/drawing/2014/main" id="{7F759C0A-609D-40BB-827F-285DAD8C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0994350"/>
          <a:ext cx="507321" cy="511628"/>
        </a:xfrm>
        <a:prstGeom prst="rect">
          <a:avLst/>
        </a:prstGeom>
      </xdr:spPr>
    </xdr:pic>
    <xdr:clientData/>
  </xdr:two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58E98DF5-C7AD-499F-A1E4-ED39503A1AEE}"/>
            </a:ext>
          </a:extLst>
        </xdr:cNvPr>
        <xdr:cNvSpPr txBox="1"/>
      </xdr:nvSpPr>
      <xdr:spPr>
        <a:xfrm>
          <a:off x="13880913" y="1038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CF3FDE9E-B4BB-418E-96D7-C6869B72E486}"/>
            </a:ext>
          </a:extLst>
        </xdr:cNvPr>
        <xdr:cNvSpPr txBox="1"/>
      </xdr:nvSpPr>
      <xdr:spPr>
        <a:xfrm>
          <a:off x="13880913" y="1038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44823</xdr:rowOff>
    </xdr:from>
    <xdr:ext cx="184731" cy="264560"/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A32F87EC-DC41-4499-B140-E86083266F1E}"/>
            </a:ext>
          </a:extLst>
        </xdr:cNvPr>
        <xdr:cNvSpPr txBox="1"/>
      </xdr:nvSpPr>
      <xdr:spPr>
        <a:xfrm>
          <a:off x="13880913" y="96650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44823</xdr:rowOff>
    </xdr:from>
    <xdr:ext cx="184731" cy="264560"/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44177A9D-C662-4210-8BB8-52FC713E2626}"/>
            </a:ext>
          </a:extLst>
        </xdr:cNvPr>
        <xdr:cNvSpPr txBox="1"/>
      </xdr:nvSpPr>
      <xdr:spPr>
        <a:xfrm>
          <a:off x="13880913" y="96650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44823</xdr:rowOff>
    </xdr:from>
    <xdr:ext cx="184731" cy="264560"/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9523E315-265D-4E1D-BE8A-B9A424D24ABF}"/>
            </a:ext>
          </a:extLst>
        </xdr:cNvPr>
        <xdr:cNvSpPr txBox="1"/>
      </xdr:nvSpPr>
      <xdr:spPr>
        <a:xfrm>
          <a:off x="13880913" y="102365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44823</xdr:rowOff>
    </xdr:from>
    <xdr:ext cx="184731" cy="264560"/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4031B437-AE1C-466C-AF26-314048A852CD}"/>
            </a:ext>
          </a:extLst>
        </xdr:cNvPr>
        <xdr:cNvSpPr txBox="1"/>
      </xdr:nvSpPr>
      <xdr:spPr>
        <a:xfrm>
          <a:off x="13880913" y="102365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83</xdr:row>
      <xdr:rowOff>0</xdr:rowOff>
    </xdr:from>
    <xdr:ext cx="184731" cy="264560"/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F440996D-A16A-4287-80B7-F1DDD48BD58F}"/>
            </a:ext>
          </a:extLst>
        </xdr:cNvPr>
        <xdr:cNvSpPr txBox="1"/>
      </xdr:nvSpPr>
      <xdr:spPr>
        <a:xfrm>
          <a:off x="13880913" y="273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83</xdr:row>
      <xdr:rowOff>0</xdr:rowOff>
    </xdr:from>
    <xdr:ext cx="184731" cy="264560"/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087AB70A-A886-428A-B0ED-D1B4B75805D1}"/>
            </a:ext>
          </a:extLst>
        </xdr:cNvPr>
        <xdr:cNvSpPr txBox="1"/>
      </xdr:nvSpPr>
      <xdr:spPr>
        <a:xfrm>
          <a:off x="13880913" y="273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83</xdr:row>
      <xdr:rowOff>0</xdr:rowOff>
    </xdr:from>
    <xdr:ext cx="184731" cy="264560"/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90A63AAF-A265-490E-9024-0D1579A8DB8F}"/>
            </a:ext>
          </a:extLst>
        </xdr:cNvPr>
        <xdr:cNvSpPr txBox="1"/>
      </xdr:nvSpPr>
      <xdr:spPr>
        <a:xfrm>
          <a:off x="13880913" y="273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83</xdr:row>
      <xdr:rowOff>0</xdr:rowOff>
    </xdr:from>
    <xdr:ext cx="184731" cy="264560"/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DFA814BD-4118-4908-84BE-9517742D966D}"/>
            </a:ext>
          </a:extLst>
        </xdr:cNvPr>
        <xdr:cNvSpPr txBox="1"/>
      </xdr:nvSpPr>
      <xdr:spPr>
        <a:xfrm>
          <a:off x="13880913" y="273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2A6AA805-A5F5-4868-82D9-A68EB3685D45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4" name="CaixaDeTexto 353">
          <a:extLst>
            <a:ext uri="{FF2B5EF4-FFF2-40B4-BE49-F238E27FC236}">
              <a16:creationId xmlns:a16="http://schemas.microsoft.com/office/drawing/2014/main" id="{C4B4D901-0C12-4DE1-B192-FA4E84BCE44C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E3EDFC4F-DA76-4585-838F-FFBC833AF846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6" name="CaixaDeTexto 355">
          <a:extLst>
            <a:ext uri="{FF2B5EF4-FFF2-40B4-BE49-F238E27FC236}">
              <a16:creationId xmlns:a16="http://schemas.microsoft.com/office/drawing/2014/main" id="{834D18C8-2094-4FB6-8CA2-61EF7A83A703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7" name="CaixaDeTexto 356">
          <a:extLst>
            <a:ext uri="{FF2B5EF4-FFF2-40B4-BE49-F238E27FC236}">
              <a16:creationId xmlns:a16="http://schemas.microsoft.com/office/drawing/2014/main" id="{AC41AD0E-9553-43A7-B6CD-F5403B8D5FD4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8" name="CaixaDeTexto 357">
          <a:extLst>
            <a:ext uri="{FF2B5EF4-FFF2-40B4-BE49-F238E27FC236}">
              <a16:creationId xmlns:a16="http://schemas.microsoft.com/office/drawing/2014/main" id="{36314531-A500-492B-87A9-A77BFA13DB8A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59" name="CaixaDeTexto 358">
          <a:extLst>
            <a:ext uri="{FF2B5EF4-FFF2-40B4-BE49-F238E27FC236}">
              <a16:creationId xmlns:a16="http://schemas.microsoft.com/office/drawing/2014/main" id="{11BB9CF0-885E-4E1E-A8CE-BC986A6E5EDE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60" name="CaixaDeTexto 359">
          <a:extLst>
            <a:ext uri="{FF2B5EF4-FFF2-40B4-BE49-F238E27FC236}">
              <a16:creationId xmlns:a16="http://schemas.microsoft.com/office/drawing/2014/main" id="{70AAB347-A5CD-437A-97E0-4A3143108E1D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61" name="CaixaDeTexto 360">
          <a:extLst>
            <a:ext uri="{FF2B5EF4-FFF2-40B4-BE49-F238E27FC236}">
              <a16:creationId xmlns:a16="http://schemas.microsoft.com/office/drawing/2014/main" id="{2E14DAD7-C5E2-4B3A-B114-2C1B5B924AE6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CD92B1A4-E0FC-41ED-95C3-F52A560B863D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C004C3CD-68BB-4451-854A-236D4862EDB1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2C90B89C-D8BC-46BE-96D1-25604485BFA7}"/>
            </a:ext>
          </a:extLst>
        </xdr:cNvPr>
        <xdr:cNvSpPr txBox="1"/>
      </xdr:nvSpPr>
      <xdr:spPr>
        <a:xfrm>
          <a:off x="13880913" y="1190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F2995532-50C2-4029-8869-039D9710CE73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E3F29FB5-AC58-4F37-A0B9-B5260FA54546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A49AB582-321D-48C9-802B-3629E15B63B7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68" name="CaixaDeTexto 367">
          <a:extLst>
            <a:ext uri="{FF2B5EF4-FFF2-40B4-BE49-F238E27FC236}">
              <a16:creationId xmlns:a16="http://schemas.microsoft.com/office/drawing/2014/main" id="{FB4BB62A-6EF4-4157-9D80-D1C5F213AA20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25FD27E6-9533-49BF-ABD8-01FA4D57E593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7DFC31AF-EB7F-478C-8E86-F7CB5D68C230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C5398493-8F00-4C4E-A720-DD060531BE44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169ED9A7-77A9-4C84-80DE-0C4A0C55CDAE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3" name="CaixaDeTexto 372">
          <a:extLst>
            <a:ext uri="{FF2B5EF4-FFF2-40B4-BE49-F238E27FC236}">
              <a16:creationId xmlns:a16="http://schemas.microsoft.com/office/drawing/2014/main" id="{AB014E9F-2589-451F-AC41-42B083B78DF7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4" name="CaixaDeTexto 373">
          <a:extLst>
            <a:ext uri="{FF2B5EF4-FFF2-40B4-BE49-F238E27FC236}">
              <a16:creationId xmlns:a16="http://schemas.microsoft.com/office/drawing/2014/main" id="{A1C50564-E6CE-48CD-AA00-CFF71C0F753E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1356DA28-221C-45D8-BE89-E6DB8CB2AE76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190E9A3D-70BD-49F0-B4F3-A1E92D73D77D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D537EE38-6128-4A24-9A59-CC3437B926E0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28B0C0D7-CBFE-4CBF-A55F-F0FBDF1B50D1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C143999B-62C6-4691-BEB4-26D805D812C3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0CE280D7-0E9D-413F-A68B-8F01DCD3F3F9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CD6AB61B-DD7B-4829-92A3-72D49F98D8EB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9CF437F1-89B5-4414-BB06-C87084520ECE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5EC8AA03-3B50-4777-AAAC-1B05D60DC91A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7FAAC321-4E01-45EA-B77C-B5B09FD5146C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E0B5E8EC-3577-4C9B-8BFA-BD0A331A76D5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AEF68E4E-695B-4AD8-9635-58B997A809E4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4BF5EA9B-73FC-4E2D-BFCF-CDC43641D40B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11C0A1E7-8C37-4D24-A956-C19F829A26A2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89" name="CaixaDeTexto 388">
          <a:extLst>
            <a:ext uri="{FF2B5EF4-FFF2-40B4-BE49-F238E27FC236}">
              <a16:creationId xmlns:a16="http://schemas.microsoft.com/office/drawing/2014/main" id="{B91D0230-FD1F-4D37-A8A9-552750980222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0" name="CaixaDeTexto 389">
          <a:extLst>
            <a:ext uri="{FF2B5EF4-FFF2-40B4-BE49-F238E27FC236}">
              <a16:creationId xmlns:a16="http://schemas.microsoft.com/office/drawing/2014/main" id="{C72D3B42-D0A1-4F12-995E-CF69557A9F47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C6223C75-D041-4F47-911C-1A5CA34287B4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D9596CB1-E7BE-41D3-A856-2957BEB0A198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3" name="CaixaDeTexto 392">
          <a:extLst>
            <a:ext uri="{FF2B5EF4-FFF2-40B4-BE49-F238E27FC236}">
              <a16:creationId xmlns:a16="http://schemas.microsoft.com/office/drawing/2014/main" id="{E557D8DD-9DAF-4A76-A4EB-88334F81757D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A9CF1BB1-31AE-4B69-BF35-21D594D944DF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175F42EE-30AF-4E00-B738-916002691D16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8D98A7A5-A8E0-4703-B996-23A2A81C2D63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84731" cy="264560"/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AF5F6E8B-0E15-4B35-B033-D24DA34FF269}"/>
            </a:ext>
          </a:extLst>
        </xdr:cNvPr>
        <xdr:cNvSpPr txBox="1"/>
      </xdr:nvSpPr>
      <xdr:spPr>
        <a:xfrm>
          <a:off x="3476625" y="3076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2728E659-DC40-4FB0-9BED-620680AD8495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9023229C-3AAE-460B-BB63-604A2F9CD859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81</xdr:row>
      <xdr:rowOff>0</xdr:rowOff>
    </xdr:from>
    <xdr:ext cx="184731" cy="264560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9BA86CFA-EF43-4204-BA12-F7ACD1243C09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81</xdr:row>
      <xdr:rowOff>0</xdr:rowOff>
    </xdr:from>
    <xdr:ext cx="184731" cy="264560"/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3AAE241B-1B8A-4C2E-BFAC-7B6545BB871D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81</xdr:row>
      <xdr:rowOff>0</xdr:rowOff>
    </xdr:from>
    <xdr:ext cx="184731" cy="264560"/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FD10114D-E15A-4825-8B87-64F544A4F368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81</xdr:row>
      <xdr:rowOff>0</xdr:rowOff>
    </xdr:from>
    <xdr:ext cx="184731" cy="264560"/>
    <xdr:sp macro="" textlink="">
      <xdr:nvSpPr>
        <xdr:cNvPr id="403" name="CaixaDeTexto 402">
          <a:extLst>
            <a:ext uri="{FF2B5EF4-FFF2-40B4-BE49-F238E27FC236}">
              <a16:creationId xmlns:a16="http://schemas.microsoft.com/office/drawing/2014/main" id="{083CEFE4-5EED-4D79-9121-AD6F382EFCAC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37C45958-D734-45BD-A895-E9C87C892DE9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B09AF406-C96A-45EB-B942-A4DB01B9C1C7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69E51248-69C1-44E4-923C-3204FBBDDFED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6E5BCFF7-8B2C-4276-AA93-873704C9B512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6D125305-B20E-4A79-935F-2D4BA59545EC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09" name="CaixaDeTexto 408">
          <a:extLst>
            <a:ext uri="{FF2B5EF4-FFF2-40B4-BE49-F238E27FC236}">
              <a16:creationId xmlns:a16="http://schemas.microsoft.com/office/drawing/2014/main" id="{5A3B9D17-9953-4017-83D1-8C79BE8F2290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10" name="CaixaDeTexto 409">
          <a:extLst>
            <a:ext uri="{FF2B5EF4-FFF2-40B4-BE49-F238E27FC236}">
              <a16:creationId xmlns:a16="http://schemas.microsoft.com/office/drawing/2014/main" id="{BE508CA2-3D31-4E8E-8802-4DC829910674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411" name="CaixaDeTexto 410">
          <a:extLst>
            <a:ext uri="{FF2B5EF4-FFF2-40B4-BE49-F238E27FC236}">
              <a16:creationId xmlns:a16="http://schemas.microsoft.com/office/drawing/2014/main" id="{8E2844FE-0D08-4AC5-8531-90A61E14F936}"/>
            </a:ext>
          </a:extLst>
        </xdr:cNvPr>
        <xdr:cNvSpPr txBox="1"/>
      </xdr:nvSpPr>
      <xdr:spPr>
        <a:xfrm>
          <a:off x="13880913" y="267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4E0E335E-9702-4DE8-968C-7EB3BAE37222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58CFCF88-D715-49F0-B020-87F4472B6EBD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98BEB5D3-C3E6-4B26-9FFB-7DB8E5DF6BED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FC70DDA4-DE47-4D24-9F5D-81C03F86C2DE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6" name="CaixaDeTexto 415">
          <a:extLst>
            <a:ext uri="{FF2B5EF4-FFF2-40B4-BE49-F238E27FC236}">
              <a16:creationId xmlns:a16="http://schemas.microsoft.com/office/drawing/2014/main" id="{FAEEF326-2512-4550-BABE-1EB767FC43BC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C3B3F127-4580-42F4-9F54-02A765D2F5EA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A6F3CD00-2784-410A-94A4-C46E349BFB67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F95CA743-403A-4D7D-8BB9-8CD246D69F31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9F0D3050-EFD9-4958-BC0F-A8C88C1827C3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21" name="CaixaDeTexto 420">
          <a:extLst>
            <a:ext uri="{FF2B5EF4-FFF2-40B4-BE49-F238E27FC236}">
              <a16:creationId xmlns:a16="http://schemas.microsoft.com/office/drawing/2014/main" id="{170501E3-922A-4B5B-BCC2-7B663BA25B40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CCCE249F-1495-4B55-BCEC-482B7E3EF8BA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207D4F37-C448-4229-942A-70D78BC4367A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1CB84A8C-6FD4-4BE9-A473-6C44DA43DA47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6B9027B0-6465-4BD2-B74F-1F49A418040A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61DFF5DA-35A9-4387-98FA-3645D5B1CE87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6C3D057-3E6D-4520-AE2F-49379F31AE3A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FE53B503-61E0-4EAB-9F22-ADA058167D60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4457E5F5-1416-469C-88B1-AEAEC80B3BAC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AA6301EA-BA91-400F-873A-CB54E4BABAFE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71F00B74-0116-431B-ABF0-967E73F4DF76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611BAC58-E3BE-4550-A371-0C1621E6C357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86</xdr:row>
      <xdr:rowOff>0</xdr:rowOff>
    </xdr:from>
    <xdr:ext cx="184731" cy="264560"/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C527735B-15D5-4F2B-98DE-9C031DAF6F66}"/>
            </a:ext>
          </a:extLst>
        </xdr:cNvPr>
        <xdr:cNvSpPr txBox="1"/>
      </xdr:nvSpPr>
      <xdr:spPr>
        <a:xfrm>
          <a:off x="14681013" y="3095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34" name="CaixaDeTexto 433">
          <a:extLst>
            <a:ext uri="{FF2B5EF4-FFF2-40B4-BE49-F238E27FC236}">
              <a16:creationId xmlns:a16="http://schemas.microsoft.com/office/drawing/2014/main" id="{0F0A58DE-311A-459E-AD38-986BCE339DC7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35" name="CaixaDeTexto 434">
          <a:extLst>
            <a:ext uri="{FF2B5EF4-FFF2-40B4-BE49-F238E27FC236}">
              <a16:creationId xmlns:a16="http://schemas.microsoft.com/office/drawing/2014/main" id="{C57773AE-EA77-41B8-92D4-3E092C1D615D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36" name="CaixaDeTexto 435">
          <a:extLst>
            <a:ext uri="{FF2B5EF4-FFF2-40B4-BE49-F238E27FC236}">
              <a16:creationId xmlns:a16="http://schemas.microsoft.com/office/drawing/2014/main" id="{377E50C4-13EF-42DA-B9B1-58A0641C2170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37" name="CaixaDeTexto 436">
          <a:extLst>
            <a:ext uri="{FF2B5EF4-FFF2-40B4-BE49-F238E27FC236}">
              <a16:creationId xmlns:a16="http://schemas.microsoft.com/office/drawing/2014/main" id="{DE17E7A9-0870-409E-B6F8-C37F502047DD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38" name="CaixaDeTexto 437">
          <a:extLst>
            <a:ext uri="{FF2B5EF4-FFF2-40B4-BE49-F238E27FC236}">
              <a16:creationId xmlns:a16="http://schemas.microsoft.com/office/drawing/2014/main" id="{5B88A2FA-77E3-4B77-8C81-D6EDE152FD66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39" name="CaixaDeTexto 438">
          <a:extLst>
            <a:ext uri="{FF2B5EF4-FFF2-40B4-BE49-F238E27FC236}">
              <a16:creationId xmlns:a16="http://schemas.microsoft.com/office/drawing/2014/main" id="{277381E7-33CB-477B-9874-6FDD7A59E401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40" name="CaixaDeTexto 439">
          <a:extLst>
            <a:ext uri="{FF2B5EF4-FFF2-40B4-BE49-F238E27FC236}">
              <a16:creationId xmlns:a16="http://schemas.microsoft.com/office/drawing/2014/main" id="{01B343DC-6677-4AE5-9152-C79F4A53658E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B7F9C405-AD09-4185-889B-A8E8758562EE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314F3A60-DA5A-4219-8F44-A214E9B7FE14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79B9BBD5-9D06-4957-B2BF-223252A07791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993588</xdr:colOff>
      <xdr:row>87</xdr:row>
      <xdr:rowOff>0</xdr:rowOff>
    </xdr:from>
    <xdr:ext cx="184731" cy="264560"/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1416C2D9-234F-4101-8A8C-12599241B51E}"/>
            </a:ext>
          </a:extLst>
        </xdr:cNvPr>
        <xdr:cNvSpPr txBox="1"/>
      </xdr:nvSpPr>
      <xdr:spPr>
        <a:xfrm>
          <a:off x="14681013" y="3114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A25F36CE-6188-43BB-9AD1-93B260B93949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43D3E54A-32A2-43BF-87E1-03306F8E9AA8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3B89DB2A-8BE0-4980-881B-B4AF4DC33716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03F4F886-8CEC-4D51-90F2-1272E6E870DF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E58D5FFB-1345-4172-9977-E5727BB42ED0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8828CD15-717D-44D7-99AA-803FC7CD8FDD}"/>
            </a:ext>
          </a:extLst>
        </xdr:cNvPr>
        <xdr:cNvSpPr txBox="1"/>
      </xdr:nvSpPr>
      <xdr:spPr>
        <a:xfrm>
          <a:off x="13880913" y="22383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8A4B17DD-05DB-4AB0-8504-7B6F5C386BCE}"/>
            </a:ext>
          </a:extLst>
        </xdr:cNvPr>
        <xdr:cNvSpPr txBox="1"/>
      </xdr:nvSpPr>
      <xdr:spPr>
        <a:xfrm>
          <a:off x="13880913" y="2257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7B7BAEBD-0E16-43A7-BD68-87F70327D069}"/>
            </a:ext>
          </a:extLst>
        </xdr:cNvPr>
        <xdr:cNvSpPr txBox="1"/>
      </xdr:nvSpPr>
      <xdr:spPr>
        <a:xfrm>
          <a:off x="13880913" y="2257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54" name="CaixaDeTexto 453">
          <a:extLst>
            <a:ext uri="{FF2B5EF4-FFF2-40B4-BE49-F238E27FC236}">
              <a16:creationId xmlns:a16="http://schemas.microsoft.com/office/drawing/2014/main" id="{724D5645-227A-4017-B06A-DA0DE627548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55" name="CaixaDeTexto 454">
          <a:extLst>
            <a:ext uri="{FF2B5EF4-FFF2-40B4-BE49-F238E27FC236}">
              <a16:creationId xmlns:a16="http://schemas.microsoft.com/office/drawing/2014/main" id="{EC5C78B5-761C-437B-8ECC-C58B5FDDD78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56" name="CaixaDeTexto 455">
          <a:extLst>
            <a:ext uri="{FF2B5EF4-FFF2-40B4-BE49-F238E27FC236}">
              <a16:creationId xmlns:a16="http://schemas.microsoft.com/office/drawing/2014/main" id="{F038113F-DC18-4F5D-AFAD-9BEDD6250CD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57" name="CaixaDeTexto 456">
          <a:extLst>
            <a:ext uri="{FF2B5EF4-FFF2-40B4-BE49-F238E27FC236}">
              <a16:creationId xmlns:a16="http://schemas.microsoft.com/office/drawing/2014/main" id="{EED70FD5-76A4-47F1-BBD4-74716A3C3F2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58" name="CaixaDeTexto 457">
          <a:extLst>
            <a:ext uri="{FF2B5EF4-FFF2-40B4-BE49-F238E27FC236}">
              <a16:creationId xmlns:a16="http://schemas.microsoft.com/office/drawing/2014/main" id="{4680F2C5-52C5-49F9-B77C-EA1B3C25576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59" name="CaixaDeTexto 458">
          <a:extLst>
            <a:ext uri="{FF2B5EF4-FFF2-40B4-BE49-F238E27FC236}">
              <a16:creationId xmlns:a16="http://schemas.microsoft.com/office/drawing/2014/main" id="{DF837001-F9DF-4720-86A2-1459B6FC9F3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0" name="CaixaDeTexto 459">
          <a:extLst>
            <a:ext uri="{FF2B5EF4-FFF2-40B4-BE49-F238E27FC236}">
              <a16:creationId xmlns:a16="http://schemas.microsoft.com/office/drawing/2014/main" id="{D0EB7EC9-E321-4ED4-B0C5-187CB5BB12A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1" name="CaixaDeTexto 460">
          <a:extLst>
            <a:ext uri="{FF2B5EF4-FFF2-40B4-BE49-F238E27FC236}">
              <a16:creationId xmlns:a16="http://schemas.microsoft.com/office/drawing/2014/main" id="{616DDDC4-94CC-487D-A675-C54A4A17262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2" name="CaixaDeTexto 461">
          <a:extLst>
            <a:ext uri="{FF2B5EF4-FFF2-40B4-BE49-F238E27FC236}">
              <a16:creationId xmlns:a16="http://schemas.microsoft.com/office/drawing/2014/main" id="{2F650079-95B4-4BA8-BE2F-385F9C3F7C3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59394664-F20C-4919-AB7A-88EA58CA1B4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4" name="CaixaDeTexto 463">
          <a:extLst>
            <a:ext uri="{FF2B5EF4-FFF2-40B4-BE49-F238E27FC236}">
              <a16:creationId xmlns:a16="http://schemas.microsoft.com/office/drawing/2014/main" id="{9294067C-8E08-4D1B-BB1B-85A1D0ADBDE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7D4C17BF-6F4F-4E3D-895C-BD15318A2E6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6" name="CaixaDeTexto 465">
          <a:extLst>
            <a:ext uri="{FF2B5EF4-FFF2-40B4-BE49-F238E27FC236}">
              <a16:creationId xmlns:a16="http://schemas.microsoft.com/office/drawing/2014/main" id="{8CBF35E7-1461-462A-B843-431E7D7E2A9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74</xdr:row>
      <xdr:rowOff>0</xdr:rowOff>
    </xdr:from>
    <xdr:ext cx="184731" cy="264560"/>
    <xdr:sp macro="" textlink="">
      <xdr:nvSpPr>
        <xdr:cNvPr id="467" name="CaixaDeTexto 466">
          <a:extLst>
            <a:ext uri="{FF2B5EF4-FFF2-40B4-BE49-F238E27FC236}">
              <a16:creationId xmlns:a16="http://schemas.microsoft.com/office/drawing/2014/main" id="{A0706A95-8D1A-49DD-BE9E-A65A45B5A30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68" name="CaixaDeTexto 467">
          <a:extLst>
            <a:ext uri="{FF2B5EF4-FFF2-40B4-BE49-F238E27FC236}">
              <a16:creationId xmlns:a16="http://schemas.microsoft.com/office/drawing/2014/main" id="{A5EA719F-3EE9-4454-8E99-9146A07E7C8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69" name="CaixaDeTexto 468">
          <a:extLst>
            <a:ext uri="{FF2B5EF4-FFF2-40B4-BE49-F238E27FC236}">
              <a16:creationId xmlns:a16="http://schemas.microsoft.com/office/drawing/2014/main" id="{759945CC-5D99-45BA-B4CB-786836BD6EF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70" name="CaixaDeTexto 469">
          <a:extLst>
            <a:ext uri="{FF2B5EF4-FFF2-40B4-BE49-F238E27FC236}">
              <a16:creationId xmlns:a16="http://schemas.microsoft.com/office/drawing/2014/main" id="{7EE5CF87-0B86-4425-B976-24A85CF4F25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71" name="CaixaDeTexto 470">
          <a:extLst>
            <a:ext uri="{FF2B5EF4-FFF2-40B4-BE49-F238E27FC236}">
              <a16:creationId xmlns:a16="http://schemas.microsoft.com/office/drawing/2014/main" id="{A5710F9A-338D-48EA-9BBA-2FE4886E58A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72" name="CaixaDeTexto 471">
          <a:extLst>
            <a:ext uri="{FF2B5EF4-FFF2-40B4-BE49-F238E27FC236}">
              <a16:creationId xmlns:a16="http://schemas.microsoft.com/office/drawing/2014/main" id="{00F2ACDD-C28B-47DE-B2D3-AA6845FC84F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95C13731-23F9-4267-BB93-C135AFE297F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EA9E746A-898E-4042-9675-BFC41D4B051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28B2BB26-3566-4813-B77A-F3010FA3B53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76" name="CaixaDeTexto 475">
          <a:extLst>
            <a:ext uri="{FF2B5EF4-FFF2-40B4-BE49-F238E27FC236}">
              <a16:creationId xmlns:a16="http://schemas.microsoft.com/office/drawing/2014/main" id="{2EBA6EC7-D780-495C-91C1-69597BD59BE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7E6001AD-2E48-4B33-A9B9-F81AD49B2F3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EB7E903C-8990-4F8A-88BC-4ACC50C5E0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4CAB6E4B-F0E5-4C24-A951-07ADD8DB6F0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A43CD122-2C07-4D61-B676-B244B861490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75</xdr:row>
      <xdr:rowOff>0</xdr:rowOff>
    </xdr:from>
    <xdr:ext cx="184731" cy="264560"/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B116CC72-866E-4A91-AF47-474336376D7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82" name="CaixaDeTexto 481">
          <a:extLst>
            <a:ext uri="{FF2B5EF4-FFF2-40B4-BE49-F238E27FC236}">
              <a16:creationId xmlns:a16="http://schemas.microsoft.com/office/drawing/2014/main" id="{756A0B34-6918-4702-8030-F7C317CF06A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6FB9A9BA-036C-4582-89EB-28D1076D702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803DE3DB-DC79-45C9-A5F2-5BE7C2E1DCB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485" name="CaixaDeTexto 484">
          <a:extLst>
            <a:ext uri="{FF2B5EF4-FFF2-40B4-BE49-F238E27FC236}">
              <a16:creationId xmlns:a16="http://schemas.microsoft.com/office/drawing/2014/main" id="{4D7DA71D-F21C-443E-836D-48928101F6A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D9532060-16D7-41EF-8B3E-7030E6197AB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487" name="CaixaDeTexto 486">
          <a:extLst>
            <a:ext uri="{FF2B5EF4-FFF2-40B4-BE49-F238E27FC236}">
              <a16:creationId xmlns:a16="http://schemas.microsoft.com/office/drawing/2014/main" id="{BA382B80-1F07-4B29-B0D0-A9B49E79037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88" name="CaixaDeTexto 487">
          <a:extLst>
            <a:ext uri="{FF2B5EF4-FFF2-40B4-BE49-F238E27FC236}">
              <a16:creationId xmlns:a16="http://schemas.microsoft.com/office/drawing/2014/main" id="{FF0F3E27-31C4-4126-B349-14A9C9BA9FC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89" name="CaixaDeTexto 488">
          <a:extLst>
            <a:ext uri="{FF2B5EF4-FFF2-40B4-BE49-F238E27FC236}">
              <a16:creationId xmlns:a16="http://schemas.microsoft.com/office/drawing/2014/main" id="{FB59A561-2213-47FD-AFD1-66639416CC4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90" name="CaixaDeTexto 489">
          <a:extLst>
            <a:ext uri="{FF2B5EF4-FFF2-40B4-BE49-F238E27FC236}">
              <a16:creationId xmlns:a16="http://schemas.microsoft.com/office/drawing/2014/main" id="{56AEC3B8-B536-4C74-AC17-4CF4240F5A5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91" name="CaixaDeTexto 490">
          <a:extLst>
            <a:ext uri="{FF2B5EF4-FFF2-40B4-BE49-F238E27FC236}">
              <a16:creationId xmlns:a16="http://schemas.microsoft.com/office/drawing/2014/main" id="{B7FBB732-4D07-45C4-96B2-E7D5128FCB8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92" name="CaixaDeTexto 491">
          <a:extLst>
            <a:ext uri="{FF2B5EF4-FFF2-40B4-BE49-F238E27FC236}">
              <a16:creationId xmlns:a16="http://schemas.microsoft.com/office/drawing/2014/main" id="{9F456491-8908-4F02-84E8-4B4588EBD30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93" name="CaixaDeTexto 492">
          <a:extLst>
            <a:ext uri="{FF2B5EF4-FFF2-40B4-BE49-F238E27FC236}">
              <a16:creationId xmlns:a16="http://schemas.microsoft.com/office/drawing/2014/main" id="{0647AE4A-CA6F-4FD4-8AAE-A8C2CE09827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94" name="CaixaDeTexto 493">
          <a:extLst>
            <a:ext uri="{FF2B5EF4-FFF2-40B4-BE49-F238E27FC236}">
              <a16:creationId xmlns:a16="http://schemas.microsoft.com/office/drawing/2014/main" id="{E04F4248-77E2-4E88-BFA5-19BA60105DF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76</xdr:row>
      <xdr:rowOff>0</xdr:rowOff>
    </xdr:from>
    <xdr:ext cx="184731" cy="264560"/>
    <xdr:sp macro="" textlink="">
      <xdr:nvSpPr>
        <xdr:cNvPr id="495" name="CaixaDeTexto 494">
          <a:extLst>
            <a:ext uri="{FF2B5EF4-FFF2-40B4-BE49-F238E27FC236}">
              <a16:creationId xmlns:a16="http://schemas.microsoft.com/office/drawing/2014/main" id="{F7DD29BA-D2DE-4DE1-A9BC-EC6BD0B63F7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496" name="CaixaDeTexto 495">
          <a:extLst>
            <a:ext uri="{FF2B5EF4-FFF2-40B4-BE49-F238E27FC236}">
              <a16:creationId xmlns:a16="http://schemas.microsoft.com/office/drawing/2014/main" id="{6CB5D946-BC10-4E10-9E4C-2397ACAE53D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497" name="CaixaDeTexto 496">
          <a:extLst>
            <a:ext uri="{FF2B5EF4-FFF2-40B4-BE49-F238E27FC236}">
              <a16:creationId xmlns:a16="http://schemas.microsoft.com/office/drawing/2014/main" id="{6A93886D-FD3F-4AA1-BFDB-6332082F982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498" name="CaixaDeTexto 497">
          <a:extLst>
            <a:ext uri="{FF2B5EF4-FFF2-40B4-BE49-F238E27FC236}">
              <a16:creationId xmlns:a16="http://schemas.microsoft.com/office/drawing/2014/main" id="{C029A172-5367-4207-8DB9-889DD941272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499" name="CaixaDeTexto 498">
          <a:extLst>
            <a:ext uri="{FF2B5EF4-FFF2-40B4-BE49-F238E27FC236}">
              <a16:creationId xmlns:a16="http://schemas.microsoft.com/office/drawing/2014/main" id="{0ED732C0-64AB-460A-A78C-29AC30384D5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00" name="CaixaDeTexto 499">
          <a:extLst>
            <a:ext uri="{FF2B5EF4-FFF2-40B4-BE49-F238E27FC236}">
              <a16:creationId xmlns:a16="http://schemas.microsoft.com/office/drawing/2014/main" id="{0E2BC16B-350A-4AC5-9FF7-72D3F411A51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01" name="CaixaDeTexto 500">
          <a:extLst>
            <a:ext uri="{FF2B5EF4-FFF2-40B4-BE49-F238E27FC236}">
              <a16:creationId xmlns:a16="http://schemas.microsoft.com/office/drawing/2014/main" id="{FC5076A1-FA87-4C8D-810D-2977DF72E3C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2" name="CaixaDeTexto 501">
          <a:extLst>
            <a:ext uri="{FF2B5EF4-FFF2-40B4-BE49-F238E27FC236}">
              <a16:creationId xmlns:a16="http://schemas.microsoft.com/office/drawing/2014/main" id="{52EE2477-08CF-4C14-904E-A6542539A87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3" name="CaixaDeTexto 502">
          <a:extLst>
            <a:ext uri="{FF2B5EF4-FFF2-40B4-BE49-F238E27FC236}">
              <a16:creationId xmlns:a16="http://schemas.microsoft.com/office/drawing/2014/main" id="{3F9788C9-743A-419C-8C72-6D421911E0D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4" name="CaixaDeTexto 503">
          <a:extLst>
            <a:ext uri="{FF2B5EF4-FFF2-40B4-BE49-F238E27FC236}">
              <a16:creationId xmlns:a16="http://schemas.microsoft.com/office/drawing/2014/main" id="{2A312A92-B975-4F83-8EB3-EDB2E048D0E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5" name="CaixaDeTexto 504">
          <a:extLst>
            <a:ext uri="{FF2B5EF4-FFF2-40B4-BE49-F238E27FC236}">
              <a16:creationId xmlns:a16="http://schemas.microsoft.com/office/drawing/2014/main" id="{21BE89D0-7253-43EC-9C7E-4AF0FDD6EE3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6" name="CaixaDeTexto 505">
          <a:extLst>
            <a:ext uri="{FF2B5EF4-FFF2-40B4-BE49-F238E27FC236}">
              <a16:creationId xmlns:a16="http://schemas.microsoft.com/office/drawing/2014/main" id="{9D407ABF-3C90-4523-BC48-C327D7D54A1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7" name="CaixaDeTexto 506">
          <a:extLst>
            <a:ext uri="{FF2B5EF4-FFF2-40B4-BE49-F238E27FC236}">
              <a16:creationId xmlns:a16="http://schemas.microsoft.com/office/drawing/2014/main" id="{F0277DDB-B483-4CAC-98E2-2D7E4AD41BC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8" name="CaixaDeTexto 507">
          <a:extLst>
            <a:ext uri="{FF2B5EF4-FFF2-40B4-BE49-F238E27FC236}">
              <a16:creationId xmlns:a16="http://schemas.microsoft.com/office/drawing/2014/main" id="{749F55A7-F3BF-4C50-A9EA-EC3F86EEFA0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77</xdr:row>
      <xdr:rowOff>0</xdr:rowOff>
    </xdr:from>
    <xdr:ext cx="184731" cy="264560"/>
    <xdr:sp macro="" textlink="">
      <xdr:nvSpPr>
        <xdr:cNvPr id="509" name="CaixaDeTexto 508">
          <a:extLst>
            <a:ext uri="{FF2B5EF4-FFF2-40B4-BE49-F238E27FC236}">
              <a16:creationId xmlns:a16="http://schemas.microsoft.com/office/drawing/2014/main" id="{4814B2E2-6ECA-48EB-B93F-58810A98262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10" name="CaixaDeTexto 509">
          <a:extLst>
            <a:ext uri="{FF2B5EF4-FFF2-40B4-BE49-F238E27FC236}">
              <a16:creationId xmlns:a16="http://schemas.microsoft.com/office/drawing/2014/main" id="{9208339A-6879-44E2-808F-383DB89FF91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11" name="CaixaDeTexto 510">
          <a:extLst>
            <a:ext uri="{FF2B5EF4-FFF2-40B4-BE49-F238E27FC236}">
              <a16:creationId xmlns:a16="http://schemas.microsoft.com/office/drawing/2014/main" id="{51ABF889-E429-467B-B1C4-7B003CD5A8A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12" name="CaixaDeTexto 511">
          <a:extLst>
            <a:ext uri="{FF2B5EF4-FFF2-40B4-BE49-F238E27FC236}">
              <a16:creationId xmlns:a16="http://schemas.microsoft.com/office/drawing/2014/main" id="{7FB787B9-7A8B-4F13-B1E1-B9A2542DC5A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13" name="CaixaDeTexto 512">
          <a:extLst>
            <a:ext uri="{FF2B5EF4-FFF2-40B4-BE49-F238E27FC236}">
              <a16:creationId xmlns:a16="http://schemas.microsoft.com/office/drawing/2014/main" id="{1F478D41-C348-4CA7-ABFE-FB46E659579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7AAAABE4-91AA-4965-84EB-49E4B3EC7FC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E13694DE-BC0C-491D-B7DF-E649C04B581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86A68AC9-6C3E-4389-B53B-EAEF131748A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1BB171F5-28E2-456B-A691-0737F4A9BE5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18" name="CaixaDeTexto 517">
          <a:extLst>
            <a:ext uri="{FF2B5EF4-FFF2-40B4-BE49-F238E27FC236}">
              <a16:creationId xmlns:a16="http://schemas.microsoft.com/office/drawing/2014/main" id="{BDE5FA7D-E2F1-4690-8362-36DA48BB476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08136D5A-7056-47F9-B84B-EF712CEE83A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02BEADC5-EFCC-4312-8414-528307F11F0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A6C086CC-40DB-4169-BA10-C7669CD693D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7F7231CC-ED00-47E6-BF68-33AE61A79C6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78</xdr:row>
      <xdr:rowOff>0</xdr:rowOff>
    </xdr:from>
    <xdr:ext cx="184731" cy="264560"/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2C49593A-3C95-417B-BA28-5C1952502D3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DEAB994B-22CB-4BAA-A21B-7835A5B75FA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B5DC5E7-2A91-403A-8A2B-9DDDD8BFDD0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3D3086F5-832C-4980-952F-D0194C2587A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DA702627-6CE7-4FD0-A0C8-55819D478461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528" name="CaixaDeTexto 527">
          <a:extLst>
            <a:ext uri="{FF2B5EF4-FFF2-40B4-BE49-F238E27FC236}">
              <a16:creationId xmlns:a16="http://schemas.microsoft.com/office/drawing/2014/main" id="{D8C8241D-A22B-4569-ABC5-F9FDC682DA0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80</xdr:row>
      <xdr:rowOff>0</xdr:rowOff>
    </xdr:from>
    <xdr:ext cx="184731" cy="264560"/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86790755-2783-4D1E-B397-61676BCF2FD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B0411F07-1D45-41E3-8198-93CF246AAD6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E4886505-6ADC-430D-B213-1EFEC9ACBD6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AC4EBE7D-0BE7-4D51-9CBD-045E6F1938B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200AEF7E-3386-4681-9114-EC85E26E16B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B70BCCF9-F8B2-449C-A15D-851C331C697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CC8D6E28-8C3A-430C-BD1C-B4BF95C6844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A3B81FF9-3B5A-40D7-BDBB-1C302B88D1E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79</xdr:row>
      <xdr:rowOff>0</xdr:rowOff>
    </xdr:from>
    <xdr:ext cx="184731" cy="264560"/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2584441E-2373-489F-B37B-D105BA09C8D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38" name="CaixaDeTexto 537">
          <a:extLst>
            <a:ext uri="{FF2B5EF4-FFF2-40B4-BE49-F238E27FC236}">
              <a16:creationId xmlns:a16="http://schemas.microsoft.com/office/drawing/2014/main" id="{10D01DF9-BB41-4407-9A9B-1E624E261E0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39" name="CaixaDeTexto 538">
          <a:extLst>
            <a:ext uri="{FF2B5EF4-FFF2-40B4-BE49-F238E27FC236}">
              <a16:creationId xmlns:a16="http://schemas.microsoft.com/office/drawing/2014/main" id="{CA40C8C5-5EBB-44B3-87F6-224CF55780B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40" name="CaixaDeTexto 539">
          <a:extLst>
            <a:ext uri="{FF2B5EF4-FFF2-40B4-BE49-F238E27FC236}">
              <a16:creationId xmlns:a16="http://schemas.microsoft.com/office/drawing/2014/main" id="{C9CBC514-7776-493C-8BA6-86EC3CA8125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41" name="CaixaDeTexto 540">
          <a:extLst>
            <a:ext uri="{FF2B5EF4-FFF2-40B4-BE49-F238E27FC236}">
              <a16:creationId xmlns:a16="http://schemas.microsoft.com/office/drawing/2014/main" id="{3745E0BC-F636-4298-AA0F-6B8844C8FAA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42" name="CaixaDeTexto 541">
          <a:extLst>
            <a:ext uri="{FF2B5EF4-FFF2-40B4-BE49-F238E27FC236}">
              <a16:creationId xmlns:a16="http://schemas.microsoft.com/office/drawing/2014/main" id="{F49DC98D-907F-44DB-B9CF-564F2C05819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43" name="CaixaDeTexto 542">
          <a:extLst>
            <a:ext uri="{FF2B5EF4-FFF2-40B4-BE49-F238E27FC236}">
              <a16:creationId xmlns:a16="http://schemas.microsoft.com/office/drawing/2014/main" id="{D7369AC8-75D0-450F-A55C-9331238D705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44" name="CaixaDeTexto 543">
          <a:extLst>
            <a:ext uri="{FF2B5EF4-FFF2-40B4-BE49-F238E27FC236}">
              <a16:creationId xmlns:a16="http://schemas.microsoft.com/office/drawing/2014/main" id="{FF1B9B73-D9C9-4FF2-A963-248003B7D30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45" name="CaixaDeTexto 544">
          <a:extLst>
            <a:ext uri="{FF2B5EF4-FFF2-40B4-BE49-F238E27FC236}">
              <a16:creationId xmlns:a16="http://schemas.microsoft.com/office/drawing/2014/main" id="{EA8C0CD9-A3C9-40BB-99EB-21DBA3EA686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46" name="CaixaDeTexto 545">
          <a:extLst>
            <a:ext uri="{FF2B5EF4-FFF2-40B4-BE49-F238E27FC236}">
              <a16:creationId xmlns:a16="http://schemas.microsoft.com/office/drawing/2014/main" id="{2DFECE84-4A4C-4D2B-8FD9-D232DAA94EC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47" name="CaixaDeTexto 546">
          <a:extLst>
            <a:ext uri="{FF2B5EF4-FFF2-40B4-BE49-F238E27FC236}">
              <a16:creationId xmlns:a16="http://schemas.microsoft.com/office/drawing/2014/main" id="{0CAF14ED-1B52-4195-92E7-059FE676290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48" name="CaixaDeTexto 547">
          <a:extLst>
            <a:ext uri="{FF2B5EF4-FFF2-40B4-BE49-F238E27FC236}">
              <a16:creationId xmlns:a16="http://schemas.microsoft.com/office/drawing/2014/main" id="{BE33B6A7-6203-4E0A-A2E5-FF25E5286E0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49" name="CaixaDeTexto 548">
          <a:extLst>
            <a:ext uri="{FF2B5EF4-FFF2-40B4-BE49-F238E27FC236}">
              <a16:creationId xmlns:a16="http://schemas.microsoft.com/office/drawing/2014/main" id="{781A5232-3299-4C2F-A235-89B75E98D7F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50" name="CaixaDeTexto 549">
          <a:extLst>
            <a:ext uri="{FF2B5EF4-FFF2-40B4-BE49-F238E27FC236}">
              <a16:creationId xmlns:a16="http://schemas.microsoft.com/office/drawing/2014/main" id="{AB5A5BE4-36E3-4248-AC6A-A06E793D707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51" name="CaixaDeTexto 550">
          <a:extLst>
            <a:ext uri="{FF2B5EF4-FFF2-40B4-BE49-F238E27FC236}">
              <a16:creationId xmlns:a16="http://schemas.microsoft.com/office/drawing/2014/main" id="{FAD3F7B1-63DA-492D-8115-97F43935B6C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52" name="CaixaDeTexto 551">
          <a:extLst>
            <a:ext uri="{FF2B5EF4-FFF2-40B4-BE49-F238E27FC236}">
              <a16:creationId xmlns:a16="http://schemas.microsoft.com/office/drawing/2014/main" id="{25D23B77-1DBB-40ED-9814-3276139489F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53" name="CaixaDeTexto 552">
          <a:extLst>
            <a:ext uri="{FF2B5EF4-FFF2-40B4-BE49-F238E27FC236}">
              <a16:creationId xmlns:a16="http://schemas.microsoft.com/office/drawing/2014/main" id="{D0EF30B3-086E-4855-B21C-73D0C4009AB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B818475A-B974-41C7-97F3-929EBA904F2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54</xdr:row>
      <xdr:rowOff>0</xdr:rowOff>
    </xdr:from>
    <xdr:ext cx="184731" cy="264560"/>
    <xdr:sp macro="" textlink="">
      <xdr:nvSpPr>
        <xdr:cNvPr id="555" name="CaixaDeTexto 554">
          <a:extLst>
            <a:ext uri="{FF2B5EF4-FFF2-40B4-BE49-F238E27FC236}">
              <a16:creationId xmlns:a16="http://schemas.microsoft.com/office/drawing/2014/main" id="{E830DB8F-3C35-4737-B802-FF3C5A9062B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56" name="CaixaDeTexto 555">
          <a:extLst>
            <a:ext uri="{FF2B5EF4-FFF2-40B4-BE49-F238E27FC236}">
              <a16:creationId xmlns:a16="http://schemas.microsoft.com/office/drawing/2014/main" id="{C62D3C11-4444-4639-92B0-A18CFA39528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57" name="CaixaDeTexto 556">
          <a:extLst>
            <a:ext uri="{FF2B5EF4-FFF2-40B4-BE49-F238E27FC236}">
              <a16:creationId xmlns:a16="http://schemas.microsoft.com/office/drawing/2014/main" id="{17DD6DD6-1A01-4D8D-BAFD-15827F7585C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58" name="CaixaDeTexto 557">
          <a:extLst>
            <a:ext uri="{FF2B5EF4-FFF2-40B4-BE49-F238E27FC236}">
              <a16:creationId xmlns:a16="http://schemas.microsoft.com/office/drawing/2014/main" id="{FC712AB7-0295-4A50-A02D-29EA7408936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59" name="CaixaDeTexto 558">
          <a:extLst>
            <a:ext uri="{FF2B5EF4-FFF2-40B4-BE49-F238E27FC236}">
              <a16:creationId xmlns:a16="http://schemas.microsoft.com/office/drawing/2014/main" id="{5E00CBFB-B6C6-40D6-81E1-55474970243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60" name="CaixaDeTexto 559">
          <a:extLst>
            <a:ext uri="{FF2B5EF4-FFF2-40B4-BE49-F238E27FC236}">
              <a16:creationId xmlns:a16="http://schemas.microsoft.com/office/drawing/2014/main" id="{7D1C09E7-2943-4CF7-A924-FD3EEE3986C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2A3B0637-FA7B-428A-AEB4-FDB4DE3280E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25C53CCE-3842-450A-93E3-1593941041D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D5D62BA7-1720-4E8B-BE64-6ECD5B91A89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4" name="CaixaDeTexto 563">
          <a:extLst>
            <a:ext uri="{FF2B5EF4-FFF2-40B4-BE49-F238E27FC236}">
              <a16:creationId xmlns:a16="http://schemas.microsoft.com/office/drawing/2014/main" id="{C5197DD4-FFC9-448D-9ED4-D42032C8130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5" name="CaixaDeTexto 564">
          <a:extLst>
            <a:ext uri="{FF2B5EF4-FFF2-40B4-BE49-F238E27FC236}">
              <a16:creationId xmlns:a16="http://schemas.microsoft.com/office/drawing/2014/main" id="{D7489E1B-E82E-4002-997E-37296D3AFEF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6" name="CaixaDeTexto 565">
          <a:extLst>
            <a:ext uri="{FF2B5EF4-FFF2-40B4-BE49-F238E27FC236}">
              <a16:creationId xmlns:a16="http://schemas.microsoft.com/office/drawing/2014/main" id="{C741B861-467A-4927-8C7E-AC47AF2A12F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7" name="CaixaDeTexto 566">
          <a:extLst>
            <a:ext uri="{FF2B5EF4-FFF2-40B4-BE49-F238E27FC236}">
              <a16:creationId xmlns:a16="http://schemas.microsoft.com/office/drawing/2014/main" id="{A47D1DAE-3F2A-46B7-AC85-FC7DE2B54F4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8" name="CaixaDeTexto 567">
          <a:extLst>
            <a:ext uri="{FF2B5EF4-FFF2-40B4-BE49-F238E27FC236}">
              <a16:creationId xmlns:a16="http://schemas.microsoft.com/office/drawing/2014/main" id="{DE59BEBB-3402-4425-9369-C378888880B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69" name="CaixaDeTexto 568">
          <a:extLst>
            <a:ext uri="{FF2B5EF4-FFF2-40B4-BE49-F238E27FC236}">
              <a16:creationId xmlns:a16="http://schemas.microsoft.com/office/drawing/2014/main" id="{65FD0FEF-7A52-4864-9980-EC27ED9B858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70" name="CaixaDeTexto 569">
          <a:extLst>
            <a:ext uri="{FF2B5EF4-FFF2-40B4-BE49-F238E27FC236}">
              <a16:creationId xmlns:a16="http://schemas.microsoft.com/office/drawing/2014/main" id="{8BAD8BC9-0F1B-4B63-9E04-6450F2B2C52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71" name="CaixaDeTexto 570">
          <a:extLst>
            <a:ext uri="{FF2B5EF4-FFF2-40B4-BE49-F238E27FC236}">
              <a16:creationId xmlns:a16="http://schemas.microsoft.com/office/drawing/2014/main" id="{6C895797-7144-4D93-805C-796D6206C5B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72" name="CaixaDeTexto 571">
          <a:extLst>
            <a:ext uri="{FF2B5EF4-FFF2-40B4-BE49-F238E27FC236}">
              <a16:creationId xmlns:a16="http://schemas.microsoft.com/office/drawing/2014/main" id="{F48B034B-65C8-4486-B6DC-384ED18F65E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55</xdr:row>
      <xdr:rowOff>0</xdr:rowOff>
    </xdr:from>
    <xdr:ext cx="184731" cy="264560"/>
    <xdr:sp macro="" textlink="">
      <xdr:nvSpPr>
        <xdr:cNvPr id="573" name="CaixaDeTexto 572">
          <a:extLst>
            <a:ext uri="{FF2B5EF4-FFF2-40B4-BE49-F238E27FC236}">
              <a16:creationId xmlns:a16="http://schemas.microsoft.com/office/drawing/2014/main" id="{7ACAA3A4-E3AC-4025-BFFD-93179CEA687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74" name="CaixaDeTexto 573">
          <a:extLst>
            <a:ext uri="{FF2B5EF4-FFF2-40B4-BE49-F238E27FC236}">
              <a16:creationId xmlns:a16="http://schemas.microsoft.com/office/drawing/2014/main" id="{44A4D24E-5E87-4BA5-82BE-A083504386A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75" name="CaixaDeTexto 574">
          <a:extLst>
            <a:ext uri="{FF2B5EF4-FFF2-40B4-BE49-F238E27FC236}">
              <a16:creationId xmlns:a16="http://schemas.microsoft.com/office/drawing/2014/main" id="{CF0CDCA0-6B43-4327-B2DB-754251B0D66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76" name="CaixaDeTexto 575">
          <a:extLst>
            <a:ext uri="{FF2B5EF4-FFF2-40B4-BE49-F238E27FC236}">
              <a16:creationId xmlns:a16="http://schemas.microsoft.com/office/drawing/2014/main" id="{13B7FE65-9355-4321-90B3-7E4B6240DCE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77" name="CaixaDeTexto 576">
          <a:extLst>
            <a:ext uri="{FF2B5EF4-FFF2-40B4-BE49-F238E27FC236}">
              <a16:creationId xmlns:a16="http://schemas.microsoft.com/office/drawing/2014/main" id="{E870B34C-749B-4221-B348-83E7E5CBF5B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78" name="CaixaDeTexto 577">
          <a:extLst>
            <a:ext uri="{FF2B5EF4-FFF2-40B4-BE49-F238E27FC236}">
              <a16:creationId xmlns:a16="http://schemas.microsoft.com/office/drawing/2014/main" id="{0578D686-6B9A-4BBA-A0A5-ACCAE0A70BB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79" name="CaixaDeTexto 578">
          <a:extLst>
            <a:ext uri="{FF2B5EF4-FFF2-40B4-BE49-F238E27FC236}">
              <a16:creationId xmlns:a16="http://schemas.microsoft.com/office/drawing/2014/main" id="{665A8A21-A788-4F5C-B3CF-2BA6EB2D57E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0" name="CaixaDeTexto 579">
          <a:extLst>
            <a:ext uri="{FF2B5EF4-FFF2-40B4-BE49-F238E27FC236}">
              <a16:creationId xmlns:a16="http://schemas.microsoft.com/office/drawing/2014/main" id="{667C66EE-67AB-495F-9CAA-142F6C0D55B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1" name="CaixaDeTexto 580">
          <a:extLst>
            <a:ext uri="{FF2B5EF4-FFF2-40B4-BE49-F238E27FC236}">
              <a16:creationId xmlns:a16="http://schemas.microsoft.com/office/drawing/2014/main" id="{2F77855F-E4B9-4A9A-8E1B-A54DD82F9F8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2" name="CaixaDeTexto 581">
          <a:extLst>
            <a:ext uri="{FF2B5EF4-FFF2-40B4-BE49-F238E27FC236}">
              <a16:creationId xmlns:a16="http://schemas.microsoft.com/office/drawing/2014/main" id="{A041BF88-0634-4A83-B286-BAF09F61483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3" name="CaixaDeTexto 582">
          <a:extLst>
            <a:ext uri="{FF2B5EF4-FFF2-40B4-BE49-F238E27FC236}">
              <a16:creationId xmlns:a16="http://schemas.microsoft.com/office/drawing/2014/main" id="{033EDE3B-6C40-4FD6-9E5C-66847A8710C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4" name="CaixaDeTexto 583">
          <a:extLst>
            <a:ext uri="{FF2B5EF4-FFF2-40B4-BE49-F238E27FC236}">
              <a16:creationId xmlns:a16="http://schemas.microsoft.com/office/drawing/2014/main" id="{1852A53D-6FC2-41E4-88EA-58B3961030A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5" name="CaixaDeTexto 584">
          <a:extLst>
            <a:ext uri="{FF2B5EF4-FFF2-40B4-BE49-F238E27FC236}">
              <a16:creationId xmlns:a16="http://schemas.microsoft.com/office/drawing/2014/main" id="{DB708145-B76B-48F5-B249-04FD7AE0852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6" name="CaixaDeTexto 585">
          <a:extLst>
            <a:ext uri="{FF2B5EF4-FFF2-40B4-BE49-F238E27FC236}">
              <a16:creationId xmlns:a16="http://schemas.microsoft.com/office/drawing/2014/main" id="{2D0C345F-5B26-4F6D-9BCD-0A07DB28E96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7" name="CaixaDeTexto 586">
          <a:extLst>
            <a:ext uri="{FF2B5EF4-FFF2-40B4-BE49-F238E27FC236}">
              <a16:creationId xmlns:a16="http://schemas.microsoft.com/office/drawing/2014/main" id="{F55D18CF-7A4B-46AE-BD30-99C658C3390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8" name="CaixaDeTexto 587">
          <a:extLst>
            <a:ext uri="{FF2B5EF4-FFF2-40B4-BE49-F238E27FC236}">
              <a16:creationId xmlns:a16="http://schemas.microsoft.com/office/drawing/2014/main" id="{CEF06718-A08C-4C45-A446-A3FCCD98008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89" name="CaixaDeTexto 588">
          <a:extLst>
            <a:ext uri="{FF2B5EF4-FFF2-40B4-BE49-F238E27FC236}">
              <a16:creationId xmlns:a16="http://schemas.microsoft.com/office/drawing/2014/main" id="{60698E8D-9E39-4790-8060-5E8A286959F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90" name="CaixaDeTexto 589">
          <a:extLst>
            <a:ext uri="{FF2B5EF4-FFF2-40B4-BE49-F238E27FC236}">
              <a16:creationId xmlns:a16="http://schemas.microsoft.com/office/drawing/2014/main" id="{A17B2666-DBDF-4EAB-87BA-622E937394E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56</xdr:row>
      <xdr:rowOff>0</xdr:rowOff>
    </xdr:from>
    <xdr:ext cx="184731" cy="264560"/>
    <xdr:sp macro="" textlink="">
      <xdr:nvSpPr>
        <xdr:cNvPr id="591" name="CaixaDeTexto 590">
          <a:extLst>
            <a:ext uri="{FF2B5EF4-FFF2-40B4-BE49-F238E27FC236}">
              <a16:creationId xmlns:a16="http://schemas.microsoft.com/office/drawing/2014/main" id="{F4B86692-C150-4E2C-9645-780E536CCCC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92" name="CaixaDeTexto 591">
          <a:extLst>
            <a:ext uri="{FF2B5EF4-FFF2-40B4-BE49-F238E27FC236}">
              <a16:creationId xmlns:a16="http://schemas.microsoft.com/office/drawing/2014/main" id="{FFB2F36C-4062-4756-B1C6-1BC24B961E0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93" name="CaixaDeTexto 592">
          <a:extLst>
            <a:ext uri="{FF2B5EF4-FFF2-40B4-BE49-F238E27FC236}">
              <a16:creationId xmlns:a16="http://schemas.microsoft.com/office/drawing/2014/main" id="{F2082096-3901-4B1E-844B-99280A22B69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594" name="CaixaDeTexto 593">
          <a:extLst>
            <a:ext uri="{FF2B5EF4-FFF2-40B4-BE49-F238E27FC236}">
              <a16:creationId xmlns:a16="http://schemas.microsoft.com/office/drawing/2014/main" id="{29171FAC-4F0E-4B26-87B3-C083E989710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595" name="CaixaDeTexto 594">
          <a:extLst>
            <a:ext uri="{FF2B5EF4-FFF2-40B4-BE49-F238E27FC236}">
              <a16:creationId xmlns:a16="http://schemas.microsoft.com/office/drawing/2014/main" id="{285033BA-A5F0-4CA0-B3FC-41CEB3E9FF1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596" name="CaixaDeTexto 595">
          <a:extLst>
            <a:ext uri="{FF2B5EF4-FFF2-40B4-BE49-F238E27FC236}">
              <a16:creationId xmlns:a16="http://schemas.microsoft.com/office/drawing/2014/main" id="{DAB947D7-BA74-49FC-8706-DBC3E951888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597" name="CaixaDeTexto 596">
          <a:extLst>
            <a:ext uri="{FF2B5EF4-FFF2-40B4-BE49-F238E27FC236}">
              <a16:creationId xmlns:a16="http://schemas.microsoft.com/office/drawing/2014/main" id="{88C62306-5DEB-4ABB-9E24-55068E4F1B6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98" name="CaixaDeTexto 597">
          <a:extLst>
            <a:ext uri="{FF2B5EF4-FFF2-40B4-BE49-F238E27FC236}">
              <a16:creationId xmlns:a16="http://schemas.microsoft.com/office/drawing/2014/main" id="{6993F507-B82A-4EDD-82D1-11AE02B7BB9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599" name="CaixaDeTexto 598">
          <a:extLst>
            <a:ext uri="{FF2B5EF4-FFF2-40B4-BE49-F238E27FC236}">
              <a16:creationId xmlns:a16="http://schemas.microsoft.com/office/drawing/2014/main" id="{EA30CEC1-4B7B-403D-A91B-8D524F828D7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0" name="CaixaDeTexto 599">
          <a:extLst>
            <a:ext uri="{FF2B5EF4-FFF2-40B4-BE49-F238E27FC236}">
              <a16:creationId xmlns:a16="http://schemas.microsoft.com/office/drawing/2014/main" id="{B53966C8-6C85-496F-9F8A-6884295FA3A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1" name="CaixaDeTexto 600">
          <a:extLst>
            <a:ext uri="{FF2B5EF4-FFF2-40B4-BE49-F238E27FC236}">
              <a16:creationId xmlns:a16="http://schemas.microsoft.com/office/drawing/2014/main" id="{EE497248-1815-47A7-BC9A-B10AA150DA8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2" name="CaixaDeTexto 601">
          <a:extLst>
            <a:ext uri="{FF2B5EF4-FFF2-40B4-BE49-F238E27FC236}">
              <a16:creationId xmlns:a16="http://schemas.microsoft.com/office/drawing/2014/main" id="{18C763C1-81CE-4266-AD5E-D3E1C6E03C9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3" name="CaixaDeTexto 602">
          <a:extLst>
            <a:ext uri="{FF2B5EF4-FFF2-40B4-BE49-F238E27FC236}">
              <a16:creationId xmlns:a16="http://schemas.microsoft.com/office/drawing/2014/main" id="{9420AC59-62D5-4333-BE45-07EA2C6C2EC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4" name="CaixaDeTexto 603">
          <a:extLst>
            <a:ext uri="{FF2B5EF4-FFF2-40B4-BE49-F238E27FC236}">
              <a16:creationId xmlns:a16="http://schemas.microsoft.com/office/drawing/2014/main" id="{5923397A-F10D-49E2-84FF-ADB6C2525AB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5" name="CaixaDeTexto 604">
          <a:extLst>
            <a:ext uri="{FF2B5EF4-FFF2-40B4-BE49-F238E27FC236}">
              <a16:creationId xmlns:a16="http://schemas.microsoft.com/office/drawing/2014/main" id="{86C9B022-81D8-4A1F-9D3E-3CF8A7369FF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6" name="CaixaDeTexto 605">
          <a:extLst>
            <a:ext uri="{FF2B5EF4-FFF2-40B4-BE49-F238E27FC236}">
              <a16:creationId xmlns:a16="http://schemas.microsoft.com/office/drawing/2014/main" id="{3747CB50-71A2-4FBA-8A81-63730C27184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7" name="CaixaDeTexto 606">
          <a:extLst>
            <a:ext uri="{FF2B5EF4-FFF2-40B4-BE49-F238E27FC236}">
              <a16:creationId xmlns:a16="http://schemas.microsoft.com/office/drawing/2014/main" id="{9C8DA9D4-941F-4F6D-8479-0D28280AB9F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8" name="CaixaDeTexto 607">
          <a:extLst>
            <a:ext uri="{FF2B5EF4-FFF2-40B4-BE49-F238E27FC236}">
              <a16:creationId xmlns:a16="http://schemas.microsoft.com/office/drawing/2014/main" id="{575F03E0-296B-4A7B-80E3-A8A8EF1E6E3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57</xdr:row>
      <xdr:rowOff>0</xdr:rowOff>
    </xdr:from>
    <xdr:ext cx="184731" cy="264560"/>
    <xdr:sp macro="" textlink="">
      <xdr:nvSpPr>
        <xdr:cNvPr id="609" name="CaixaDeTexto 608">
          <a:extLst>
            <a:ext uri="{FF2B5EF4-FFF2-40B4-BE49-F238E27FC236}">
              <a16:creationId xmlns:a16="http://schemas.microsoft.com/office/drawing/2014/main" id="{29C48124-AE2D-4C8D-A766-4FD456E395A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10" name="CaixaDeTexto 609">
          <a:extLst>
            <a:ext uri="{FF2B5EF4-FFF2-40B4-BE49-F238E27FC236}">
              <a16:creationId xmlns:a16="http://schemas.microsoft.com/office/drawing/2014/main" id="{AADFB8EC-EAC3-415C-98C3-43F0B7F48B5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11" name="CaixaDeTexto 610">
          <a:extLst>
            <a:ext uri="{FF2B5EF4-FFF2-40B4-BE49-F238E27FC236}">
              <a16:creationId xmlns:a16="http://schemas.microsoft.com/office/drawing/2014/main" id="{EFBC05D6-FA98-48E5-ABE3-5D98F6E0FDB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12" name="CaixaDeTexto 611">
          <a:extLst>
            <a:ext uri="{FF2B5EF4-FFF2-40B4-BE49-F238E27FC236}">
              <a16:creationId xmlns:a16="http://schemas.microsoft.com/office/drawing/2014/main" id="{C36604BA-E715-490F-9CCB-2F1B97298BC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13" name="CaixaDeTexto 612">
          <a:extLst>
            <a:ext uri="{FF2B5EF4-FFF2-40B4-BE49-F238E27FC236}">
              <a16:creationId xmlns:a16="http://schemas.microsoft.com/office/drawing/2014/main" id="{EEE9D14E-385B-492B-A96A-3D801DF4D59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14" name="CaixaDeTexto 613">
          <a:extLst>
            <a:ext uri="{FF2B5EF4-FFF2-40B4-BE49-F238E27FC236}">
              <a16:creationId xmlns:a16="http://schemas.microsoft.com/office/drawing/2014/main" id="{CFF4C51F-93EE-4976-BED1-B0F41283521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15" name="CaixaDeTexto 614">
          <a:extLst>
            <a:ext uri="{FF2B5EF4-FFF2-40B4-BE49-F238E27FC236}">
              <a16:creationId xmlns:a16="http://schemas.microsoft.com/office/drawing/2014/main" id="{2E4E77D0-D431-46DB-84C8-074FB58C207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16" name="CaixaDeTexto 615">
          <a:extLst>
            <a:ext uri="{FF2B5EF4-FFF2-40B4-BE49-F238E27FC236}">
              <a16:creationId xmlns:a16="http://schemas.microsoft.com/office/drawing/2014/main" id="{2BEBD8F5-C5DE-493B-A225-E7329775D90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17" name="CaixaDeTexto 616">
          <a:extLst>
            <a:ext uri="{FF2B5EF4-FFF2-40B4-BE49-F238E27FC236}">
              <a16:creationId xmlns:a16="http://schemas.microsoft.com/office/drawing/2014/main" id="{16873453-1765-4D77-9696-40D62660A02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18" name="CaixaDeTexto 617">
          <a:extLst>
            <a:ext uri="{FF2B5EF4-FFF2-40B4-BE49-F238E27FC236}">
              <a16:creationId xmlns:a16="http://schemas.microsoft.com/office/drawing/2014/main" id="{35EE03FF-8C4D-43FF-AA0A-153639FC7CA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19" name="CaixaDeTexto 618">
          <a:extLst>
            <a:ext uri="{FF2B5EF4-FFF2-40B4-BE49-F238E27FC236}">
              <a16:creationId xmlns:a16="http://schemas.microsoft.com/office/drawing/2014/main" id="{63EC0ABC-A483-421D-85F4-520842958DB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0" name="CaixaDeTexto 619">
          <a:extLst>
            <a:ext uri="{FF2B5EF4-FFF2-40B4-BE49-F238E27FC236}">
              <a16:creationId xmlns:a16="http://schemas.microsoft.com/office/drawing/2014/main" id="{3D61BFB1-A2FB-45A2-92E2-DDF00F3826C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1" name="CaixaDeTexto 620">
          <a:extLst>
            <a:ext uri="{FF2B5EF4-FFF2-40B4-BE49-F238E27FC236}">
              <a16:creationId xmlns:a16="http://schemas.microsoft.com/office/drawing/2014/main" id="{0E8CF1AB-06ED-42E9-A33F-043203D0F91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2" name="CaixaDeTexto 621">
          <a:extLst>
            <a:ext uri="{FF2B5EF4-FFF2-40B4-BE49-F238E27FC236}">
              <a16:creationId xmlns:a16="http://schemas.microsoft.com/office/drawing/2014/main" id="{305F4FF0-958A-4C18-B37C-DBBDC992626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3" name="CaixaDeTexto 622">
          <a:extLst>
            <a:ext uri="{FF2B5EF4-FFF2-40B4-BE49-F238E27FC236}">
              <a16:creationId xmlns:a16="http://schemas.microsoft.com/office/drawing/2014/main" id="{81549606-9FAB-4D32-86A2-09928886B42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4" name="CaixaDeTexto 623">
          <a:extLst>
            <a:ext uri="{FF2B5EF4-FFF2-40B4-BE49-F238E27FC236}">
              <a16:creationId xmlns:a16="http://schemas.microsoft.com/office/drawing/2014/main" id="{0BC0DFB9-0F3C-4EFC-8698-ECF1F294727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5" name="CaixaDeTexto 624">
          <a:extLst>
            <a:ext uri="{FF2B5EF4-FFF2-40B4-BE49-F238E27FC236}">
              <a16:creationId xmlns:a16="http://schemas.microsoft.com/office/drawing/2014/main" id="{F835D787-F9D1-4584-B293-B5610393A8E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6" name="CaixaDeTexto 625">
          <a:extLst>
            <a:ext uri="{FF2B5EF4-FFF2-40B4-BE49-F238E27FC236}">
              <a16:creationId xmlns:a16="http://schemas.microsoft.com/office/drawing/2014/main" id="{462B3308-DF8E-4F69-9C3A-F4FE62DFA09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58</xdr:row>
      <xdr:rowOff>0</xdr:rowOff>
    </xdr:from>
    <xdr:ext cx="184731" cy="264560"/>
    <xdr:sp macro="" textlink="">
      <xdr:nvSpPr>
        <xdr:cNvPr id="627" name="CaixaDeTexto 626">
          <a:extLst>
            <a:ext uri="{FF2B5EF4-FFF2-40B4-BE49-F238E27FC236}">
              <a16:creationId xmlns:a16="http://schemas.microsoft.com/office/drawing/2014/main" id="{B6C4CC09-F4A5-4E4C-AADB-E4E695869FC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28" name="CaixaDeTexto 627">
          <a:extLst>
            <a:ext uri="{FF2B5EF4-FFF2-40B4-BE49-F238E27FC236}">
              <a16:creationId xmlns:a16="http://schemas.microsoft.com/office/drawing/2014/main" id="{47F401EC-68FB-4A4F-B578-52DB2D35ECF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29" name="CaixaDeTexto 628">
          <a:extLst>
            <a:ext uri="{FF2B5EF4-FFF2-40B4-BE49-F238E27FC236}">
              <a16:creationId xmlns:a16="http://schemas.microsoft.com/office/drawing/2014/main" id="{E025DBCD-F3B3-46E8-9D3D-E6BB6BA8D5E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30" name="CaixaDeTexto 629">
          <a:extLst>
            <a:ext uri="{FF2B5EF4-FFF2-40B4-BE49-F238E27FC236}">
              <a16:creationId xmlns:a16="http://schemas.microsoft.com/office/drawing/2014/main" id="{82E4FFB2-F591-45BA-B9B3-7A1A4E67B70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31" name="CaixaDeTexto 630">
          <a:extLst>
            <a:ext uri="{FF2B5EF4-FFF2-40B4-BE49-F238E27FC236}">
              <a16:creationId xmlns:a16="http://schemas.microsoft.com/office/drawing/2014/main" id="{11476300-8801-4893-B073-4DEBEF0C225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32" name="CaixaDeTexto 631">
          <a:extLst>
            <a:ext uri="{FF2B5EF4-FFF2-40B4-BE49-F238E27FC236}">
              <a16:creationId xmlns:a16="http://schemas.microsoft.com/office/drawing/2014/main" id="{FFC629EE-AEC5-4EE7-B5ED-B26A0C6ACF9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33" name="CaixaDeTexto 632">
          <a:extLst>
            <a:ext uri="{FF2B5EF4-FFF2-40B4-BE49-F238E27FC236}">
              <a16:creationId xmlns:a16="http://schemas.microsoft.com/office/drawing/2014/main" id="{62A5D829-0FCF-4975-831B-AE134D5BF2E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34" name="CaixaDeTexto 633">
          <a:extLst>
            <a:ext uri="{FF2B5EF4-FFF2-40B4-BE49-F238E27FC236}">
              <a16:creationId xmlns:a16="http://schemas.microsoft.com/office/drawing/2014/main" id="{1D411DE6-DDA1-4750-BC84-8292C6EA79E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35" name="CaixaDeTexto 634">
          <a:extLst>
            <a:ext uri="{FF2B5EF4-FFF2-40B4-BE49-F238E27FC236}">
              <a16:creationId xmlns:a16="http://schemas.microsoft.com/office/drawing/2014/main" id="{4D38B962-DD9A-4249-9685-3ED9AD7BD1E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36" name="CaixaDeTexto 635">
          <a:extLst>
            <a:ext uri="{FF2B5EF4-FFF2-40B4-BE49-F238E27FC236}">
              <a16:creationId xmlns:a16="http://schemas.microsoft.com/office/drawing/2014/main" id="{009F45DC-4247-4DF0-8A2F-9BB94D5216C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37" name="CaixaDeTexto 636">
          <a:extLst>
            <a:ext uri="{FF2B5EF4-FFF2-40B4-BE49-F238E27FC236}">
              <a16:creationId xmlns:a16="http://schemas.microsoft.com/office/drawing/2014/main" id="{FE0221F6-CFBF-4333-AD36-98E475AF4BD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38" name="CaixaDeTexto 637">
          <a:extLst>
            <a:ext uri="{FF2B5EF4-FFF2-40B4-BE49-F238E27FC236}">
              <a16:creationId xmlns:a16="http://schemas.microsoft.com/office/drawing/2014/main" id="{FD1F6753-A90A-45A0-BE8E-57A6B0EE08C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39" name="CaixaDeTexto 638">
          <a:extLst>
            <a:ext uri="{FF2B5EF4-FFF2-40B4-BE49-F238E27FC236}">
              <a16:creationId xmlns:a16="http://schemas.microsoft.com/office/drawing/2014/main" id="{8431783E-635B-4E81-957F-5ED81BB173E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40" name="CaixaDeTexto 639">
          <a:extLst>
            <a:ext uri="{FF2B5EF4-FFF2-40B4-BE49-F238E27FC236}">
              <a16:creationId xmlns:a16="http://schemas.microsoft.com/office/drawing/2014/main" id="{2647A51E-66B7-4765-94F0-DBCB1008E06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41" name="CaixaDeTexto 640">
          <a:extLst>
            <a:ext uri="{FF2B5EF4-FFF2-40B4-BE49-F238E27FC236}">
              <a16:creationId xmlns:a16="http://schemas.microsoft.com/office/drawing/2014/main" id="{B1F9B9CF-100C-4B1F-AACF-8648DCA67AD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42" name="CaixaDeTexto 641">
          <a:extLst>
            <a:ext uri="{FF2B5EF4-FFF2-40B4-BE49-F238E27FC236}">
              <a16:creationId xmlns:a16="http://schemas.microsoft.com/office/drawing/2014/main" id="{B090E54A-AA6E-4E72-BFAF-1CE6D7B843E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43" name="CaixaDeTexto 642">
          <a:extLst>
            <a:ext uri="{FF2B5EF4-FFF2-40B4-BE49-F238E27FC236}">
              <a16:creationId xmlns:a16="http://schemas.microsoft.com/office/drawing/2014/main" id="{5C73AE0B-BEF3-476F-8185-A1E1AF04011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44" name="CaixaDeTexto 643">
          <a:extLst>
            <a:ext uri="{FF2B5EF4-FFF2-40B4-BE49-F238E27FC236}">
              <a16:creationId xmlns:a16="http://schemas.microsoft.com/office/drawing/2014/main" id="{19A491B4-0A7D-4D7E-952F-AB2242841F3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59</xdr:row>
      <xdr:rowOff>0</xdr:rowOff>
    </xdr:from>
    <xdr:ext cx="184731" cy="264560"/>
    <xdr:sp macro="" textlink="">
      <xdr:nvSpPr>
        <xdr:cNvPr id="645" name="CaixaDeTexto 644">
          <a:extLst>
            <a:ext uri="{FF2B5EF4-FFF2-40B4-BE49-F238E27FC236}">
              <a16:creationId xmlns:a16="http://schemas.microsoft.com/office/drawing/2014/main" id="{FC8E39B6-8683-4C21-911A-23EC18E47B7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46" name="CaixaDeTexto 645">
          <a:extLst>
            <a:ext uri="{FF2B5EF4-FFF2-40B4-BE49-F238E27FC236}">
              <a16:creationId xmlns:a16="http://schemas.microsoft.com/office/drawing/2014/main" id="{545EAF8C-D348-4C1C-9186-356A3835F9C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47" name="CaixaDeTexto 646">
          <a:extLst>
            <a:ext uri="{FF2B5EF4-FFF2-40B4-BE49-F238E27FC236}">
              <a16:creationId xmlns:a16="http://schemas.microsoft.com/office/drawing/2014/main" id="{F7289CCC-4F9C-402F-A903-145F0E581F8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48" name="CaixaDeTexto 647">
          <a:extLst>
            <a:ext uri="{FF2B5EF4-FFF2-40B4-BE49-F238E27FC236}">
              <a16:creationId xmlns:a16="http://schemas.microsoft.com/office/drawing/2014/main" id="{C6447466-07D9-41E8-862E-54FF13A0B72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49" name="CaixaDeTexto 648">
          <a:extLst>
            <a:ext uri="{FF2B5EF4-FFF2-40B4-BE49-F238E27FC236}">
              <a16:creationId xmlns:a16="http://schemas.microsoft.com/office/drawing/2014/main" id="{9DB3CECD-FFC9-48A3-B710-2FAA802F66F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50" name="CaixaDeTexto 649">
          <a:extLst>
            <a:ext uri="{FF2B5EF4-FFF2-40B4-BE49-F238E27FC236}">
              <a16:creationId xmlns:a16="http://schemas.microsoft.com/office/drawing/2014/main" id="{80383DC5-C49E-4B6F-8569-836BA78DEEC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51" name="CaixaDeTexto 650">
          <a:extLst>
            <a:ext uri="{FF2B5EF4-FFF2-40B4-BE49-F238E27FC236}">
              <a16:creationId xmlns:a16="http://schemas.microsoft.com/office/drawing/2014/main" id="{18519372-5120-4270-9AF4-36556377210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2" name="CaixaDeTexto 651">
          <a:extLst>
            <a:ext uri="{FF2B5EF4-FFF2-40B4-BE49-F238E27FC236}">
              <a16:creationId xmlns:a16="http://schemas.microsoft.com/office/drawing/2014/main" id="{BA71E336-449E-454B-A093-C71AACF341E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3" name="CaixaDeTexto 652">
          <a:extLst>
            <a:ext uri="{FF2B5EF4-FFF2-40B4-BE49-F238E27FC236}">
              <a16:creationId xmlns:a16="http://schemas.microsoft.com/office/drawing/2014/main" id="{EFFAA809-E9BC-4C14-B16A-FD806B38270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4" name="CaixaDeTexto 653">
          <a:extLst>
            <a:ext uri="{FF2B5EF4-FFF2-40B4-BE49-F238E27FC236}">
              <a16:creationId xmlns:a16="http://schemas.microsoft.com/office/drawing/2014/main" id="{FD5839FD-1B28-43A2-B792-6C3927A8C79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5" name="CaixaDeTexto 654">
          <a:extLst>
            <a:ext uri="{FF2B5EF4-FFF2-40B4-BE49-F238E27FC236}">
              <a16:creationId xmlns:a16="http://schemas.microsoft.com/office/drawing/2014/main" id="{94CBA8A3-071F-4B55-A846-8571B3A8118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6" name="CaixaDeTexto 655">
          <a:extLst>
            <a:ext uri="{FF2B5EF4-FFF2-40B4-BE49-F238E27FC236}">
              <a16:creationId xmlns:a16="http://schemas.microsoft.com/office/drawing/2014/main" id="{4EBAE9AB-B6E6-46C4-BC07-B95CDB6C722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7" name="CaixaDeTexto 656">
          <a:extLst>
            <a:ext uri="{FF2B5EF4-FFF2-40B4-BE49-F238E27FC236}">
              <a16:creationId xmlns:a16="http://schemas.microsoft.com/office/drawing/2014/main" id="{5668EA6E-16EC-45EC-ADDE-F1D188B1BB7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8" name="CaixaDeTexto 657">
          <a:extLst>
            <a:ext uri="{FF2B5EF4-FFF2-40B4-BE49-F238E27FC236}">
              <a16:creationId xmlns:a16="http://schemas.microsoft.com/office/drawing/2014/main" id="{43A43696-CF8A-4512-B2F8-090EF072DAA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59" name="CaixaDeTexto 658">
          <a:extLst>
            <a:ext uri="{FF2B5EF4-FFF2-40B4-BE49-F238E27FC236}">
              <a16:creationId xmlns:a16="http://schemas.microsoft.com/office/drawing/2014/main" id="{63CC069B-E58D-4E18-ACD0-BF4C65DFD70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60" name="CaixaDeTexto 659">
          <a:extLst>
            <a:ext uri="{FF2B5EF4-FFF2-40B4-BE49-F238E27FC236}">
              <a16:creationId xmlns:a16="http://schemas.microsoft.com/office/drawing/2014/main" id="{5E318C23-E32E-417F-937C-60C8BAA84F3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61" name="CaixaDeTexto 660">
          <a:extLst>
            <a:ext uri="{FF2B5EF4-FFF2-40B4-BE49-F238E27FC236}">
              <a16:creationId xmlns:a16="http://schemas.microsoft.com/office/drawing/2014/main" id="{2A879146-0E0F-480D-93E5-5979B2B0A8D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62" name="CaixaDeTexto 661">
          <a:extLst>
            <a:ext uri="{FF2B5EF4-FFF2-40B4-BE49-F238E27FC236}">
              <a16:creationId xmlns:a16="http://schemas.microsoft.com/office/drawing/2014/main" id="{5CCD891A-6E09-4737-946E-154F090F74C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64</xdr:row>
      <xdr:rowOff>0</xdr:rowOff>
    </xdr:from>
    <xdr:ext cx="184731" cy="264560"/>
    <xdr:sp macro="" textlink="">
      <xdr:nvSpPr>
        <xdr:cNvPr id="663" name="CaixaDeTexto 662">
          <a:extLst>
            <a:ext uri="{FF2B5EF4-FFF2-40B4-BE49-F238E27FC236}">
              <a16:creationId xmlns:a16="http://schemas.microsoft.com/office/drawing/2014/main" id="{71877E94-C34C-483B-BBFE-60445473BBD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64" name="CaixaDeTexto 663">
          <a:extLst>
            <a:ext uri="{FF2B5EF4-FFF2-40B4-BE49-F238E27FC236}">
              <a16:creationId xmlns:a16="http://schemas.microsoft.com/office/drawing/2014/main" id="{F4A06625-7399-4078-BB86-A5AA7BEAE20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65" name="CaixaDeTexto 664">
          <a:extLst>
            <a:ext uri="{FF2B5EF4-FFF2-40B4-BE49-F238E27FC236}">
              <a16:creationId xmlns:a16="http://schemas.microsoft.com/office/drawing/2014/main" id="{6E405A13-F911-4844-9326-CC7BEBEF3F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66" name="CaixaDeTexto 665">
          <a:extLst>
            <a:ext uri="{FF2B5EF4-FFF2-40B4-BE49-F238E27FC236}">
              <a16:creationId xmlns:a16="http://schemas.microsoft.com/office/drawing/2014/main" id="{88D5EEF4-4D6C-40FB-8265-D68591C790C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67" name="CaixaDeTexto 666">
          <a:extLst>
            <a:ext uri="{FF2B5EF4-FFF2-40B4-BE49-F238E27FC236}">
              <a16:creationId xmlns:a16="http://schemas.microsoft.com/office/drawing/2014/main" id="{F1697C22-A64A-4039-95C4-D5FFD6CFC0E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68" name="CaixaDeTexto 667">
          <a:extLst>
            <a:ext uri="{FF2B5EF4-FFF2-40B4-BE49-F238E27FC236}">
              <a16:creationId xmlns:a16="http://schemas.microsoft.com/office/drawing/2014/main" id="{EC4E1683-6F48-4F36-BB22-89B51E58836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69" name="CaixaDeTexto 668">
          <a:extLst>
            <a:ext uri="{FF2B5EF4-FFF2-40B4-BE49-F238E27FC236}">
              <a16:creationId xmlns:a16="http://schemas.microsoft.com/office/drawing/2014/main" id="{A803E223-79C3-4CB9-9ADD-AB9A3421170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0" name="CaixaDeTexto 669">
          <a:extLst>
            <a:ext uri="{FF2B5EF4-FFF2-40B4-BE49-F238E27FC236}">
              <a16:creationId xmlns:a16="http://schemas.microsoft.com/office/drawing/2014/main" id="{7DC4AF11-84C6-4A8B-8765-D03D40CAC07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1" name="CaixaDeTexto 670">
          <a:extLst>
            <a:ext uri="{FF2B5EF4-FFF2-40B4-BE49-F238E27FC236}">
              <a16:creationId xmlns:a16="http://schemas.microsoft.com/office/drawing/2014/main" id="{2A2A2A4F-A4BD-4232-BCC1-C2162454DBB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2" name="CaixaDeTexto 671">
          <a:extLst>
            <a:ext uri="{FF2B5EF4-FFF2-40B4-BE49-F238E27FC236}">
              <a16:creationId xmlns:a16="http://schemas.microsoft.com/office/drawing/2014/main" id="{D00E922B-ACA6-4E6E-92DA-2D718B983A0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3" name="CaixaDeTexto 672">
          <a:extLst>
            <a:ext uri="{FF2B5EF4-FFF2-40B4-BE49-F238E27FC236}">
              <a16:creationId xmlns:a16="http://schemas.microsoft.com/office/drawing/2014/main" id="{3B4B8007-BC07-4704-AAD9-5D767C862F4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4" name="CaixaDeTexto 673">
          <a:extLst>
            <a:ext uri="{FF2B5EF4-FFF2-40B4-BE49-F238E27FC236}">
              <a16:creationId xmlns:a16="http://schemas.microsoft.com/office/drawing/2014/main" id="{6A47E3F5-0575-4B8D-8DE3-07D0C3C0121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5" name="CaixaDeTexto 674">
          <a:extLst>
            <a:ext uri="{FF2B5EF4-FFF2-40B4-BE49-F238E27FC236}">
              <a16:creationId xmlns:a16="http://schemas.microsoft.com/office/drawing/2014/main" id="{A4E56A39-9AB6-499B-B889-AA19EE07899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6" name="CaixaDeTexto 675">
          <a:extLst>
            <a:ext uri="{FF2B5EF4-FFF2-40B4-BE49-F238E27FC236}">
              <a16:creationId xmlns:a16="http://schemas.microsoft.com/office/drawing/2014/main" id="{8BBBE9F7-5A44-486C-B7FF-B5CCDD612A8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7" name="CaixaDeTexto 676">
          <a:extLst>
            <a:ext uri="{FF2B5EF4-FFF2-40B4-BE49-F238E27FC236}">
              <a16:creationId xmlns:a16="http://schemas.microsoft.com/office/drawing/2014/main" id="{B60B3156-48FD-4030-A24B-AE5F191978B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8" name="CaixaDeTexto 677">
          <a:extLst>
            <a:ext uri="{FF2B5EF4-FFF2-40B4-BE49-F238E27FC236}">
              <a16:creationId xmlns:a16="http://schemas.microsoft.com/office/drawing/2014/main" id="{17D4D0B8-EFA3-442F-A04E-89085426970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79" name="CaixaDeTexto 678">
          <a:extLst>
            <a:ext uri="{FF2B5EF4-FFF2-40B4-BE49-F238E27FC236}">
              <a16:creationId xmlns:a16="http://schemas.microsoft.com/office/drawing/2014/main" id="{DDBBB005-BE1F-4C18-85CE-FA8C18BC3DE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80" name="CaixaDeTexto 679">
          <a:extLst>
            <a:ext uri="{FF2B5EF4-FFF2-40B4-BE49-F238E27FC236}">
              <a16:creationId xmlns:a16="http://schemas.microsoft.com/office/drawing/2014/main" id="{E360AD54-CF09-445C-B21A-57BA9B0697C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65</xdr:row>
      <xdr:rowOff>0</xdr:rowOff>
    </xdr:from>
    <xdr:ext cx="184731" cy="264560"/>
    <xdr:sp macro="" textlink="">
      <xdr:nvSpPr>
        <xdr:cNvPr id="681" name="CaixaDeTexto 680">
          <a:extLst>
            <a:ext uri="{FF2B5EF4-FFF2-40B4-BE49-F238E27FC236}">
              <a16:creationId xmlns:a16="http://schemas.microsoft.com/office/drawing/2014/main" id="{1A43ECE5-F7A1-4ED7-B107-658D0027EAD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82" name="CaixaDeTexto 681">
          <a:extLst>
            <a:ext uri="{FF2B5EF4-FFF2-40B4-BE49-F238E27FC236}">
              <a16:creationId xmlns:a16="http://schemas.microsoft.com/office/drawing/2014/main" id="{CDB844E4-F4EB-4F41-AD67-9E292BA3585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83" name="CaixaDeTexto 682">
          <a:extLst>
            <a:ext uri="{FF2B5EF4-FFF2-40B4-BE49-F238E27FC236}">
              <a16:creationId xmlns:a16="http://schemas.microsoft.com/office/drawing/2014/main" id="{46B1A7DA-0CC8-43F9-AC90-1085EDC09E1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684" name="CaixaDeTexto 683">
          <a:extLst>
            <a:ext uri="{FF2B5EF4-FFF2-40B4-BE49-F238E27FC236}">
              <a16:creationId xmlns:a16="http://schemas.microsoft.com/office/drawing/2014/main" id="{84DC88D0-A9C6-4495-91B3-41E693ACFE9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685" name="CaixaDeTexto 684">
          <a:extLst>
            <a:ext uri="{FF2B5EF4-FFF2-40B4-BE49-F238E27FC236}">
              <a16:creationId xmlns:a16="http://schemas.microsoft.com/office/drawing/2014/main" id="{DB7E44D0-842D-4B44-9B62-F7B0334E197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686" name="CaixaDeTexto 685">
          <a:extLst>
            <a:ext uri="{FF2B5EF4-FFF2-40B4-BE49-F238E27FC236}">
              <a16:creationId xmlns:a16="http://schemas.microsoft.com/office/drawing/2014/main" id="{BC936B2A-4AA8-4B3A-8120-B42DD7EFD25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687" name="CaixaDeTexto 686">
          <a:extLst>
            <a:ext uri="{FF2B5EF4-FFF2-40B4-BE49-F238E27FC236}">
              <a16:creationId xmlns:a16="http://schemas.microsoft.com/office/drawing/2014/main" id="{D1235AC8-8952-418C-8A54-D3991532433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88" name="CaixaDeTexto 687">
          <a:extLst>
            <a:ext uri="{FF2B5EF4-FFF2-40B4-BE49-F238E27FC236}">
              <a16:creationId xmlns:a16="http://schemas.microsoft.com/office/drawing/2014/main" id="{D2FF7030-FF28-48D7-813F-DC4F59771AD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89" name="CaixaDeTexto 688">
          <a:extLst>
            <a:ext uri="{FF2B5EF4-FFF2-40B4-BE49-F238E27FC236}">
              <a16:creationId xmlns:a16="http://schemas.microsoft.com/office/drawing/2014/main" id="{F694EE13-AB40-47F8-A904-8DD357C1D95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0" name="CaixaDeTexto 689">
          <a:extLst>
            <a:ext uri="{FF2B5EF4-FFF2-40B4-BE49-F238E27FC236}">
              <a16:creationId xmlns:a16="http://schemas.microsoft.com/office/drawing/2014/main" id="{BB23DBBC-708A-4CB3-85A5-1C48AEDBA53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1" name="CaixaDeTexto 690">
          <a:extLst>
            <a:ext uri="{FF2B5EF4-FFF2-40B4-BE49-F238E27FC236}">
              <a16:creationId xmlns:a16="http://schemas.microsoft.com/office/drawing/2014/main" id="{78DCF406-7E9C-4E33-B5CF-31D027B307A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2" name="CaixaDeTexto 691">
          <a:extLst>
            <a:ext uri="{FF2B5EF4-FFF2-40B4-BE49-F238E27FC236}">
              <a16:creationId xmlns:a16="http://schemas.microsoft.com/office/drawing/2014/main" id="{053FBA16-6E8A-4F18-ABE3-17330B3A8A7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3" name="CaixaDeTexto 692">
          <a:extLst>
            <a:ext uri="{FF2B5EF4-FFF2-40B4-BE49-F238E27FC236}">
              <a16:creationId xmlns:a16="http://schemas.microsoft.com/office/drawing/2014/main" id="{95A53834-6149-4F22-9B2C-BCCF90E4AC4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4" name="CaixaDeTexto 693">
          <a:extLst>
            <a:ext uri="{FF2B5EF4-FFF2-40B4-BE49-F238E27FC236}">
              <a16:creationId xmlns:a16="http://schemas.microsoft.com/office/drawing/2014/main" id="{A6BB5E4F-CE1A-4077-80D1-46CBB0817B7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5" name="CaixaDeTexto 694">
          <a:extLst>
            <a:ext uri="{FF2B5EF4-FFF2-40B4-BE49-F238E27FC236}">
              <a16:creationId xmlns:a16="http://schemas.microsoft.com/office/drawing/2014/main" id="{20CC5F1F-2AB1-4D3F-BB21-4B1B5EAFEF3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6" name="CaixaDeTexto 695">
          <a:extLst>
            <a:ext uri="{FF2B5EF4-FFF2-40B4-BE49-F238E27FC236}">
              <a16:creationId xmlns:a16="http://schemas.microsoft.com/office/drawing/2014/main" id="{E4FD7CC7-7752-44A8-B079-59D5D632490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7" name="CaixaDeTexto 696">
          <a:extLst>
            <a:ext uri="{FF2B5EF4-FFF2-40B4-BE49-F238E27FC236}">
              <a16:creationId xmlns:a16="http://schemas.microsoft.com/office/drawing/2014/main" id="{BB230173-FD8C-4622-94AB-4142C71E69E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8" name="CaixaDeTexto 697">
          <a:extLst>
            <a:ext uri="{FF2B5EF4-FFF2-40B4-BE49-F238E27FC236}">
              <a16:creationId xmlns:a16="http://schemas.microsoft.com/office/drawing/2014/main" id="{7C607E8D-FF3C-4D02-9C4B-DA5A101E182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66</xdr:row>
      <xdr:rowOff>0</xdr:rowOff>
    </xdr:from>
    <xdr:ext cx="184731" cy="264560"/>
    <xdr:sp macro="" textlink="">
      <xdr:nvSpPr>
        <xdr:cNvPr id="699" name="CaixaDeTexto 698">
          <a:extLst>
            <a:ext uri="{FF2B5EF4-FFF2-40B4-BE49-F238E27FC236}">
              <a16:creationId xmlns:a16="http://schemas.microsoft.com/office/drawing/2014/main" id="{6D9751F4-8D97-45B7-94AF-EA9C8D75B77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00" name="CaixaDeTexto 699">
          <a:extLst>
            <a:ext uri="{FF2B5EF4-FFF2-40B4-BE49-F238E27FC236}">
              <a16:creationId xmlns:a16="http://schemas.microsoft.com/office/drawing/2014/main" id="{E5D88A12-E0C6-43C1-A5D5-19846921406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01" name="CaixaDeTexto 700">
          <a:extLst>
            <a:ext uri="{FF2B5EF4-FFF2-40B4-BE49-F238E27FC236}">
              <a16:creationId xmlns:a16="http://schemas.microsoft.com/office/drawing/2014/main" id="{B1AEA77B-4C26-4B63-9B6C-40508AA58F5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68</xdr:row>
      <xdr:rowOff>0</xdr:rowOff>
    </xdr:from>
    <xdr:ext cx="184731" cy="264560"/>
    <xdr:sp macro="" textlink="">
      <xdr:nvSpPr>
        <xdr:cNvPr id="702" name="CaixaDeTexto 701">
          <a:extLst>
            <a:ext uri="{FF2B5EF4-FFF2-40B4-BE49-F238E27FC236}">
              <a16:creationId xmlns:a16="http://schemas.microsoft.com/office/drawing/2014/main" id="{F7A4A2D6-D6E4-45D9-851E-EEF26E443D7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68</xdr:row>
      <xdr:rowOff>0</xdr:rowOff>
    </xdr:from>
    <xdr:ext cx="184731" cy="264560"/>
    <xdr:sp macro="" textlink="">
      <xdr:nvSpPr>
        <xdr:cNvPr id="703" name="CaixaDeTexto 702">
          <a:extLst>
            <a:ext uri="{FF2B5EF4-FFF2-40B4-BE49-F238E27FC236}">
              <a16:creationId xmlns:a16="http://schemas.microsoft.com/office/drawing/2014/main" id="{80920762-65F5-49EF-97F2-AA6D31F0710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68</xdr:row>
      <xdr:rowOff>0</xdr:rowOff>
    </xdr:from>
    <xdr:ext cx="184731" cy="264560"/>
    <xdr:sp macro="" textlink="">
      <xdr:nvSpPr>
        <xdr:cNvPr id="704" name="CaixaDeTexto 703">
          <a:extLst>
            <a:ext uri="{FF2B5EF4-FFF2-40B4-BE49-F238E27FC236}">
              <a16:creationId xmlns:a16="http://schemas.microsoft.com/office/drawing/2014/main" id="{A3C42FAA-336B-470C-981A-52F212EB6E0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68</xdr:row>
      <xdr:rowOff>0</xdr:rowOff>
    </xdr:from>
    <xdr:ext cx="184731" cy="264560"/>
    <xdr:sp macro="" textlink="">
      <xdr:nvSpPr>
        <xdr:cNvPr id="705" name="CaixaDeTexto 704">
          <a:extLst>
            <a:ext uri="{FF2B5EF4-FFF2-40B4-BE49-F238E27FC236}">
              <a16:creationId xmlns:a16="http://schemas.microsoft.com/office/drawing/2014/main" id="{38FA8FA3-AA0C-4317-9A6E-1B3EA646E71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06" name="CaixaDeTexto 705">
          <a:extLst>
            <a:ext uri="{FF2B5EF4-FFF2-40B4-BE49-F238E27FC236}">
              <a16:creationId xmlns:a16="http://schemas.microsoft.com/office/drawing/2014/main" id="{5BE09F37-2A4A-4862-8E66-24DA340315E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07" name="CaixaDeTexto 706">
          <a:extLst>
            <a:ext uri="{FF2B5EF4-FFF2-40B4-BE49-F238E27FC236}">
              <a16:creationId xmlns:a16="http://schemas.microsoft.com/office/drawing/2014/main" id="{E890195F-C4D6-4BF0-A5C5-622C779355F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08" name="CaixaDeTexto 707">
          <a:extLst>
            <a:ext uri="{FF2B5EF4-FFF2-40B4-BE49-F238E27FC236}">
              <a16:creationId xmlns:a16="http://schemas.microsoft.com/office/drawing/2014/main" id="{0A2DD697-7AF4-4DD7-B423-1CAB9A5C0A4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09" name="CaixaDeTexto 708">
          <a:extLst>
            <a:ext uri="{FF2B5EF4-FFF2-40B4-BE49-F238E27FC236}">
              <a16:creationId xmlns:a16="http://schemas.microsoft.com/office/drawing/2014/main" id="{030AB445-8A03-40EE-985C-49F71804622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0" name="CaixaDeTexto 709">
          <a:extLst>
            <a:ext uri="{FF2B5EF4-FFF2-40B4-BE49-F238E27FC236}">
              <a16:creationId xmlns:a16="http://schemas.microsoft.com/office/drawing/2014/main" id="{2ADD937B-27E0-48BB-B8D1-53D6A929C6F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1" name="CaixaDeTexto 710">
          <a:extLst>
            <a:ext uri="{FF2B5EF4-FFF2-40B4-BE49-F238E27FC236}">
              <a16:creationId xmlns:a16="http://schemas.microsoft.com/office/drawing/2014/main" id="{6E7B6C6E-968A-4C86-B31B-17BACFE26BA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2" name="CaixaDeTexto 711">
          <a:extLst>
            <a:ext uri="{FF2B5EF4-FFF2-40B4-BE49-F238E27FC236}">
              <a16:creationId xmlns:a16="http://schemas.microsoft.com/office/drawing/2014/main" id="{8F2754E9-2E1E-4206-AD03-63298385108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3" name="CaixaDeTexto 712">
          <a:extLst>
            <a:ext uri="{FF2B5EF4-FFF2-40B4-BE49-F238E27FC236}">
              <a16:creationId xmlns:a16="http://schemas.microsoft.com/office/drawing/2014/main" id="{5565D1B1-E14D-4EB3-BD5D-9FD0AD3B9EC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4" name="CaixaDeTexto 713">
          <a:extLst>
            <a:ext uri="{FF2B5EF4-FFF2-40B4-BE49-F238E27FC236}">
              <a16:creationId xmlns:a16="http://schemas.microsoft.com/office/drawing/2014/main" id="{E6E75E9A-E0CB-4949-94A9-BA79EE07F16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5" name="CaixaDeTexto 714">
          <a:extLst>
            <a:ext uri="{FF2B5EF4-FFF2-40B4-BE49-F238E27FC236}">
              <a16:creationId xmlns:a16="http://schemas.microsoft.com/office/drawing/2014/main" id="{7DBD6EA8-97F3-4C39-9FC9-9FE008FD2A4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6" name="CaixaDeTexto 715">
          <a:extLst>
            <a:ext uri="{FF2B5EF4-FFF2-40B4-BE49-F238E27FC236}">
              <a16:creationId xmlns:a16="http://schemas.microsoft.com/office/drawing/2014/main" id="{DE9B6635-5DED-4C6B-8873-F132350ADC7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67</xdr:row>
      <xdr:rowOff>0</xdr:rowOff>
    </xdr:from>
    <xdr:ext cx="184731" cy="264560"/>
    <xdr:sp macro="" textlink="">
      <xdr:nvSpPr>
        <xdr:cNvPr id="717" name="CaixaDeTexto 716">
          <a:extLst>
            <a:ext uri="{FF2B5EF4-FFF2-40B4-BE49-F238E27FC236}">
              <a16:creationId xmlns:a16="http://schemas.microsoft.com/office/drawing/2014/main" id="{9CA4D1E4-AF3A-40C0-B54C-E5143971A78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18" name="CaixaDeTexto 717">
          <a:extLst>
            <a:ext uri="{FF2B5EF4-FFF2-40B4-BE49-F238E27FC236}">
              <a16:creationId xmlns:a16="http://schemas.microsoft.com/office/drawing/2014/main" id="{D3985B88-F467-48E2-AEAE-BDD1B940BA8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19" name="CaixaDeTexto 718">
          <a:extLst>
            <a:ext uri="{FF2B5EF4-FFF2-40B4-BE49-F238E27FC236}">
              <a16:creationId xmlns:a16="http://schemas.microsoft.com/office/drawing/2014/main" id="{938E74FB-D474-4497-B113-A2E7C657A27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20" name="CaixaDeTexto 719">
          <a:extLst>
            <a:ext uri="{FF2B5EF4-FFF2-40B4-BE49-F238E27FC236}">
              <a16:creationId xmlns:a16="http://schemas.microsoft.com/office/drawing/2014/main" id="{783B3F55-6307-4E1D-89F6-59563A76D44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21" name="CaixaDeTexto 720">
          <a:extLst>
            <a:ext uri="{FF2B5EF4-FFF2-40B4-BE49-F238E27FC236}">
              <a16:creationId xmlns:a16="http://schemas.microsoft.com/office/drawing/2014/main" id="{169527C9-6021-44D3-A3B6-F069EE4167F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22" name="CaixaDeTexto 721">
          <a:extLst>
            <a:ext uri="{FF2B5EF4-FFF2-40B4-BE49-F238E27FC236}">
              <a16:creationId xmlns:a16="http://schemas.microsoft.com/office/drawing/2014/main" id="{685F162F-C0EB-47C8-8960-81EC15B7894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23" name="CaixaDeTexto 722">
          <a:extLst>
            <a:ext uri="{FF2B5EF4-FFF2-40B4-BE49-F238E27FC236}">
              <a16:creationId xmlns:a16="http://schemas.microsoft.com/office/drawing/2014/main" id="{98FDA0AE-1E3C-4AD2-A74C-613AD441053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24" name="CaixaDeTexto 723">
          <a:extLst>
            <a:ext uri="{FF2B5EF4-FFF2-40B4-BE49-F238E27FC236}">
              <a16:creationId xmlns:a16="http://schemas.microsoft.com/office/drawing/2014/main" id="{9A80609A-DA0C-4CF1-AA49-7D78FCBCAF6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25" name="CaixaDeTexto 724">
          <a:extLst>
            <a:ext uri="{FF2B5EF4-FFF2-40B4-BE49-F238E27FC236}">
              <a16:creationId xmlns:a16="http://schemas.microsoft.com/office/drawing/2014/main" id="{C0484578-E4AC-414F-9AD1-80AE71CCCC4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26" name="CaixaDeTexto 725">
          <a:extLst>
            <a:ext uri="{FF2B5EF4-FFF2-40B4-BE49-F238E27FC236}">
              <a16:creationId xmlns:a16="http://schemas.microsoft.com/office/drawing/2014/main" id="{8C49DEA8-2CF5-4876-8BD7-16912DAC6C3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27" name="CaixaDeTexto 726">
          <a:extLst>
            <a:ext uri="{FF2B5EF4-FFF2-40B4-BE49-F238E27FC236}">
              <a16:creationId xmlns:a16="http://schemas.microsoft.com/office/drawing/2014/main" id="{BE782267-0051-4AE0-8454-AB8884F6BA3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28" name="CaixaDeTexto 727">
          <a:extLst>
            <a:ext uri="{FF2B5EF4-FFF2-40B4-BE49-F238E27FC236}">
              <a16:creationId xmlns:a16="http://schemas.microsoft.com/office/drawing/2014/main" id="{47BA1C39-E405-4B48-868D-2C4886EAC3E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29" name="CaixaDeTexto 728">
          <a:extLst>
            <a:ext uri="{FF2B5EF4-FFF2-40B4-BE49-F238E27FC236}">
              <a16:creationId xmlns:a16="http://schemas.microsoft.com/office/drawing/2014/main" id="{465431FE-B391-42C8-96FF-EB9A8936FF8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30" name="CaixaDeTexto 729">
          <a:extLst>
            <a:ext uri="{FF2B5EF4-FFF2-40B4-BE49-F238E27FC236}">
              <a16:creationId xmlns:a16="http://schemas.microsoft.com/office/drawing/2014/main" id="{59CB001D-5521-4728-BE2C-44F7C0608F0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31" name="CaixaDeTexto 730">
          <a:extLst>
            <a:ext uri="{FF2B5EF4-FFF2-40B4-BE49-F238E27FC236}">
              <a16:creationId xmlns:a16="http://schemas.microsoft.com/office/drawing/2014/main" id="{39A660D3-F4F7-4D50-AE73-2DC85A3E73E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32" name="CaixaDeTexto 731">
          <a:extLst>
            <a:ext uri="{FF2B5EF4-FFF2-40B4-BE49-F238E27FC236}">
              <a16:creationId xmlns:a16="http://schemas.microsoft.com/office/drawing/2014/main" id="{A97D51ED-8086-445E-9843-B0E13A869EF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33" name="CaixaDeTexto 732">
          <a:extLst>
            <a:ext uri="{FF2B5EF4-FFF2-40B4-BE49-F238E27FC236}">
              <a16:creationId xmlns:a16="http://schemas.microsoft.com/office/drawing/2014/main" id="{4305815B-5D0E-414E-A5E7-D35D8CC0ECA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34" name="CaixaDeTexto 733">
          <a:extLst>
            <a:ext uri="{FF2B5EF4-FFF2-40B4-BE49-F238E27FC236}">
              <a16:creationId xmlns:a16="http://schemas.microsoft.com/office/drawing/2014/main" id="{E4FBC52E-479A-4763-91D8-CBB96E7399D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21</xdr:row>
      <xdr:rowOff>0</xdr:rowOff>
    </xdr:from>
    <xdr:ext cx="184731" cy="264560"/>
    <xdr:sp macro="" textlink="">
      <xdr:nvSpPr>
        <xdr:cNvPr id="735" name="CaixaDeTexto 734">
          <a:extLst>
            <a:ext uri="{FF2B5EF4-FFF2-40B4-BE49-F238E27FC236}">
              <a16:creationId xmlns:a16="http://schemas.microsoft.com/office/drawing/2014/main" id="{2F99F986-F267-4590-8297-86A8DD19A7E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36" name="CaixaDeTexto 735">
          <a:extLst>
            <a:ext uri="{FF2B5EF4-FFF2-40B4-BE49-F238E27FC236}">
              <a16:creationId xmlns:a16="http://schemas.microsoft.com/office/drawing/2014/main" id="{846B1471-C537-4A4E-B366-4C661DD7C41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37" name="CaixaDeTexto 736">
          <a:extLst>
            <a:ext uri="{FF2B5EF4-FFF2-40B4-BE49-F238E27FC236}">
              <a16:creationId xmlns:a16="http://schemas.microsoft.com/office/drawing/2014/main" id="{7FEC24DD-F616-462F-B972-66360B18F51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38" name="CaixaDeTexto 737">
          <a:extLst>
            <a:ext uri="{FF2B5EF4-FFF2-40B4-BE49-F238E27FC236}">
              <a16:creationId xmlns:a16="http://schemas.microsoft.com/office/drawing/2014/main" id="{03010059-33A9-4421-8CE0-F906177EC7E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39" name="CaixaDeTexto 738">
          <a:extLst>
            <a:ext uri="{FF2B5EF4-FFF2-40B4-BE49-F238E27FC236}">
              <a16:creationId xmlns:a16="http://schemas.microsoft.com/office/drawing/2014/main" id="{6F2BD969-CDA0-4210-9FC7-9D001BA975D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40" name="CaixaDeTexto 739">
          <a:extLst>
            <a:ext uri="{FF2B5EF4-FFF2-40B4-BE49-F238E27FC236}">
              <a16:creationId xmlns:a16="http://schemas.microsoft.com/office/drawing/2014/main" id="{D96AC112-64B8-426A-87BF-79868411812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41" name="CaixaDeTexto 740">
          <a:extLst>
            <a:ext uri="{FF2B5EF4-FFF2-40B4-BE49-F238E27FC236}">
              <a16:creationId xmlns:a16="http://schemas.microsoft.com/office/drawing/2014/main" id="{CCA20A9D-4478-435F-900D-50125C1D37C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2" name="CaixaDeTexto 741">
          <a:extLst>
            <a:ext uri="{FF2B5EF4-FFF2-40B4-BE49-F238E27FC236}">
              <a16:creationId xmlns:a16="http://schemas.microsoft.com/office/drawing/2014/main" id="{C177AC71-1024-4078-A648-66A2A6295DA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3" name="CaixaDeTexto 742">
          <a:extLst>
            <a:ext uri="{FF2B5EF4-FFF2-40B4-BE49-F238E27FC236}">
              <a16:creationId xmlns:a16="http://schemas.microsoft.com/office/drawing/2014/main" id="{5A7780E9-5E29-4C1E-ADF1-AB983FE3AA4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4" name="CaixaDeTexto 743">
          <a:extLst>
            <a:ext uri="{FF2B5EF4-FFF2-40B4-BE49-F238E27FC236}">
              <a16:creationId xmlns:a16="http://schemas.microsoft.com/office/drawing/2014/main" id="{901123C2-195E-4392-B988-8B66C65EB8B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5" name="CaixaDeTexto 744">
          <a:extLst>
            <a:ext uri="{FF2B5EF4-FFF2-40B4-BE49-F238E27FC236}">
              <a16:creationId xmlns:a16="http://schemas.microsoft.com/office/drawing/2014/main" id="{319F5332-2437-4398-BFA7-265991AD078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6" name="CaixaDeTexto 745">
          <a:extLst>
            <a:ext uri="{FF2B5EF4-FFF2-40B4-BE49-F238E27FC236}">
              <a16:creationId xmlns:a16="http://schemas.microsoft.com/office/drawing/2014/main" id="{BC63843C-83EB-4F61-85FF-C911FC7F2D8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7" name="CaixaDeTexto 746">
          <a:extLst>
            <a:ext uri="{FF2B5EF4-FFF2-40B4-BE49-F238E27FC236}">
              <a16:creationId xmlns:a16="http://schemas.microsoft.com/office/drawing/2014/main" id="{7D1F1C5F-7195-4C5D-80C7-E21E4F1D5BC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8" name="CaixaDeTexto 747">
          <a:extLst>
            <a:ext uri="{FF2B5EF4-FFF2-40B4-BE49-F238E27FC236}">
              <a16:creationId xmlns:a16="http://schemas.microsoft.com/office/drawing/2014/main" id="{8E33CA19-18AE-4A2B-97A5-F1F6D25D6CD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49" name="CaixaDeTexto 748">
          <a:extLst>
            <a:ext uri="{FF2B5EF4-FFF2-40B4-BE49-F238E27FC236}">
              <a16:creationId xmlns:a16="http://schemas.microsoft.com/office/drawing/2014/main" id="{BAA39313-CD2D-4263-BC62-4EB44F18633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50" name="CaixaDeTexto 749">
          <a:extLst>
            <a:ext uri="{FF2B5EF4-FFF2-40B4-BE49-F238E27FC236}">
              <a16:creationId xmlns:a16="http://schemas.microsoft.com/office/drawing/2014/main" id="{A066F0E9-F220-468D-A008-B5CC2071244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51" name="CaixaDeTexto 750">
          <a:extLst>
            <a:ext uri="{FF2B5EF4-FFF2-40B4-BE49-F238E27FC236}">
              <a16:creationId xmlns:a16="http://schemas.microsoft.com/office/drawing/2014/main" id="{094CF926-7FC3-4C8C-A71E-16F8E81D5C6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52" name="CaixaDeTexto 751">
          <a:extLst>
            <a:ext uri="{FF2B5EF4-FFF2-40B4-BE49-F238E27FC236}">
              <a16:creationId xmlns:a16="http://schemas.microsoft.com/office/drawing/2014/main" id="{66424417-4363-497B-B439-413662D7A02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22</xdr:row>
      <xdr:rowOff>0</xdr:rowOff>
    </xdr:from>
    <xdr:ext cx="184731" cy="264560"/>
    <xdr:sp macro="" textlink="">
      <xdr:nvSpPr>
        <xdr:cNvPr id="753" name="CaixaDeTexto 752">
          <a:extLst>
            <a:ext uri="{FF2B5EF4-FFF2-40B4-BE49-F238E27FC236}">
              <a16:creationId xmlns:a16="http://schemas.microsoft.com/office/drawing/2014/main" id="{332C5D92-0B10-402C-92EE-8444D76EAFC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54" name="CaixaDeTexto 753">
          <a:extLst>
            <a:ext uri="{FF2B5EF4-FFF2-40B4-BE49-F238E27FC236}">
              <a16:creationId xmlns:a16="http://schemas.microsoft.com/office/drawing/2014/main" id="{B5E034A1-60C8-4B8C-8C49-32F4369A626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55" name="CaixaDeTexto 754">
          <a:extLst>
            <a:ext uri="{FF2B5EF4-FFF2-40B4-BE49-F238E27FC236}">
              <a16:creationId xmlns:a16="http://schemas.microsoft.com/office/drawing/2014/main" id="{32C7A1A1-34B3-4AB2-AD7C-9174FD64B6F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56" name="CaixaDeTexto 755">
          <a:extLst>
            <a:ext uri="{FF2B5EF4-FFF2-40B4-BE49-F238E27FC236}">
              <a16:creationId xmlns:a16="http://schemas.microsoft.com/office/drawing/2014/main" id="{B68BF63C-4321-4F50-9C12-F43788C7CC6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57" name="CaixaDeTexto 756">
          <a:extLst>
            <a:ext uri="{FF2B5EF4-FFF2-40B4-BE49-F238E27FC236}">
              <a16:creationId xmlns:a16="http://schemas.microsoft.com/office/drawing/2014/main" id="{031C7B83-2BAF-4E47-98DB-425378E750F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58" name="CaixaDeTexto 757">
          <a:extLst>
            <a:ext uri="{FF2B5EF4-FFF2-40B4-BE49-F238E27FC236}">
              <a16:creationId xmlns:a16="http://schemas.microsoft.com/office/drawing/2014/main" id="{47BAA4DC-F7AD-48F2-8FE7-2F8A77FDBB9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59" name="CaixaDeTexto 758">
          <a:extLst>
            <a:ext uri="{FF2B5EF4-FFF2-40B4-BE49-F238E27FC236}">
              <a16:creationId xmlns:a16="http://schemas.microsoft.com/office/drawing/2014/main" id="{6A3F55C3-B32D-4DEF-BDA8-524A9804261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0" name="CaixaDeTexto 759">
          <a:extLst>
            <a:ext uri="{FF2B5EF4-FFF2-40B4-BE49-F238E27FC236}">
              <a16:creationId xmlns:a16="http://schemas.microsoft.com/office/drawing/2014/main" id="{0521365B-02B8-4564-938F-3078BC2E5B0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1" name="CaixaDeTexto 760">
          <a:extLst>
            <a:ext uri="{FF2B5EF4-FFF2-40B4-BE49-F238E27FC236}">
              <a16:creationId xmlns:a16="http://schemas.microsoft.com/office/drawing/2014/main" id="{B61B2707-5673-4982-AADC-CFE7FCD2BE2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2" name="CaixaDeTexto 761">
          <a:extLst>
            <a:ext uri="{FF2B5EF4-FFF2-40B4-BE49-F238E27FC236}">
              <a16:creationId xmlns:a16="http://schemas.microsoft.com/office/drawing/2014/main" id="{F411B2BB-8912-499F-9C6F-07AC8A1DC61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3" name="CaixaDeTexto 762">
          <a:extLst>
            <a:ext uri="{FF2B5EF4-FFF2-40B4-BE49-F238E27FC236}">
              <a16:creationId xmlns:a16="http://schemas.microsoft.com/office/drawing/2014/main" id="{A53AD024-64E8-4355-89A1-4D9B33AD81F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4" name="CaixaDeTexto 763">
          <a:extLst>
            <a:ext uri="{FF2B5EF4-FFF2-40B4-BE49-F238E27FC236}">
              <a16:creationId xmlns:a16="http://schemas.microsoft.com/office/drawing/2014/main" id="{0076306D-212E-4F4F-83BB-D95D7356270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5" name="CaixaDeTexto 764">
          <a:extLst>
            <a:ext uri="{FF2B5EF4-FFF2-40B4-BE49-F238E27FC236}">
              <a16:creationId xmlns:a16="http://schemas.microsoft.com/office/drawing/2014/main" id="{82D20154-776C-46A9-844B-7ADFBBB3F2C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6" name="CaixaDeTexto 765">
          <a:extLst>
            <a:ext uri="{FF2B5EF4-FFF2-40B4-BE49-F238E27FC236}">
              <a16:creationId xmlns:a16="http://schemas.microsoft.com/office/drawing/2014/main" id="{41B61A7C-44E0-4E3B-B34C-4F69F2AD9ED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7" name="CaixaDeTexto 766">
          <a:extLst>
            <a:ext uri="{FF2B5EF4-FFF2-40B4-BE49-F238E27FC236}">
              <a16:creationId xmlns:a16="http://schemas.microsoft.com/office/drawing/2014/main" id="{487E258B-47D7-4B2F-B31A-63FBDD94E9C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8" name="CaixaDeTexto 767">
          <a:extLst>
            <a:ext uri="{FF2B5EF4-FFF2-40B4-BE49-F238E27FC236}">
              <a16:creationId xmlns:a16="http://schemas.microsoft.com/office/drawing/2014/main" id="{19096035-E16B-44BA-BACE-1732B3264EC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69" name="CaixaDeTexto 768">
          <a:extLst>
            <a:ext uri="{FF2B5EF4-FFF2-40B4-BE49-F238E27FC236}">
              <a16:creationId xmlns:a16="http://schemas.microsoft.com/office/drawing/2014/main" id="{2D4C069D-3226-4234-9673-3043042109B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70" name="CaixaDeTexto 769">
          <a:extLst>
            <a:ext uri="{FF2B5EF4-FFF2-40B4-BE49-F238E27FC236}">
              <a16:creationId xmlns:a16="http://schemas.microsoft.com/office/drawing/2014/main" id="{B6A544A8-23D6-4F4B-88D8-B0EDF9D913F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23</xdr:row>
      <xdr:rowOff>0</xdr:rowOff>
    </xdr:from>
    <xdr:ext cx="184731" cy="264560"/>
    <xdr:sp macro="" textlink="">
      <xdr:nvSpPr>
        <xdr:cNvPr id="771" name="CaixaDeTexto 770">
          <a:extLst>
            <a:ext uri="{FF2B5EF4-FFF2-40B4-BE49-F238E27FC236}">
              <a16:creationId xmlns:a16="http://schemas.microsoft.com/office/drawing/2014/main" id="{5D911F4E-ACE8-456A-AA37-4570FACAC67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72" name="CaixaDeTexto 771">
          <a:extLst>
            <a:ext uri="{FF2B5EF4-FFF2-40B4-BE49-F238E27FC236}">
              <a16:creationId xmlns:a16="http://schemas.microsoft.com/office/drawing/2014/main" id="{CCD9482E-8B46-4FD9-966A-0B91EC15C25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73" name="CaixaDeTexto 772">
          <a:extLst>
            <a:ext uri="{FF2B5EF4-FFF2-40B4-BE49-F238E27FC236}">
              <a16:creationId xmlns:a16="http://schemas.microsoft.com/office/drawing/2014/main" id="{FDAEB9E8-9666-42AA-8086-484B7C42032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74" name="CaixaDeTexto 773">
          <a:extLst>
            <a:ext uri="{FF2B5EF4-FFF2-40B4-BE49-F238E27FC236}">
              <a16:creationId xmlns:a16="http://schemas.microsoft.com/office/drawing/2014/main" id="{6278E36A-9235-4297-B48B-938DFEA3488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75" name="CaixaDeTexto 774">
          <a:extLst>
            <a:ext uri="{FF2B5EF4-FFF2-40B4-BE49-F238E27FC236}">
              <a16:creationId xmlns:a16="http://schemas.microsoft.com/office/drawing/2014/main" id="{8FFF8919-6157-4352-AABB-90D795B486E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76" name="CaixaDeTexto 775">
          <a:extLst>
            <a:ext uri="{FF2B5EF4-FFF2-40B4-BE49-F238E27FC236}">
              <a16:creationId xmlns:a16="http://schemas.microsoft.com/office/drawing/2014/main" id="{7FCEF67A-947D-4F1B-9B7C-EA89898A5D3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77" name="CaixaDeTexto 776">
          <a:extLst>
            <a:ext uri="{FF2B5EF4-FFF2-40B4-BE49-F238E27FC236}">
              <a16:creationId xmlns:a16="http://schemas.microsoft.com/office/drawing/2014/main" id="{2E1E80B6-406B-41CD-A9EF-E2A5DBCBF31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78" name="CaixaDeTexto 777">
          <a:extLst>
            <a:ext uri="{FF2B5EF4-FFF2-40B4-BE49-F238E27FC236}">
              <a16:creationId xmlns:a16="http://schemas.microsoft.com/office/drawing/2014/main" id="{ADC119EA-2A36-490B-9550-A2595BE32FD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79" name="CaixaDeTexto 778">
          <a:extLst>
            <a:ext uri="{FF2B5EF4-FFF2-40B4-BE49-F238E27FC236}">
              <a16:creationId xmlns:a16="http://schemas.microsoft.com/office/drawing/2014/main" id="{1B1D80B6-8A88-4B18-A47C-EB27C6A9657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0" name="CaixaDeTexto 779">
          <a:extLst>
            <a:ext uri="{FF2B5EF4-FFF2-40B4-BE49-F238E27FC236}">
              <a16:creationId xmlns:a16="http://schemas.microsoft.com/office/drawing/2014/main" id="{73B22172-CAE2-4C9A-97AA-1A099F9C28A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1" name="CaixaDeTexto 780">
          <a:extLst>
            <a:ext uri="{FF2B5EF4-FFF2-40B4-BE49-F238E27FC236}">
              <a16:creationId xmlns:a16="http://schemas.microsoft.com/office/drawing/2014/main" id="{D5119479-DAC4-4AE0-909E-C0F1722D168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2" name="CaixaDeTexto 781">
          <a:extLst>
            <a:ext uri="{FF2B5EF4-FFF2-40B4-BE49-F238E27FC236}">
              <a16:creationId xmlns:a16="http://schemas.microsoft.com/office/drawing/2014/main" id="{342F4BF3-F7E9-4AFE-835B-200C36674E0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3" name="CaixaDeTexto 782">
          <a:extLst>
            <a:ext uri="{FF2B5EF4-FFF2-40B4-BE49-F238E27FC236}">
              <a16:creationId xmlns:a16="http://schemas.microsoft.com/office/drawing/2014/main" id="{5BBDCA45-21EE-44B2-A335-F4AA1D8F042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4" name="CaixaDeTexto 783">
          <a:extLst>
            <a:ext uri="{FF2B5EF4-FFF2-40B4-BE49-F238E27FC236}">
              <a16:creationId xmlns:a16="http://schemas.microsoft.com/office/drawing/2014/main" id="{BD94F51A-981A-4D66-B298-4759A91CD03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5" name="CaixaDeTexto 784">
          <a:extLst>
            <a:ext uri="{FF2B5EF4-FFF2-40B4-BE49-F238E27FC236}">
              <a16:creationId xmlns:a16="http://schemas.microsoft.com/office/drawing/2014/main" id="{08C6B313-AC73-4778-B421-DB02EA1470D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6" name="CaixaDeTexto 785">
          <a:extLst>
            <a:ext uri="{FF2B5EF4-FFF2-40B4-BE49-F238E27FC236}">
              <a16:creationId xmlns:a16="http://schemas.microsoft.com/office/drawing/2014/main" id="{81B1A35B-929E-48FE-BB8F-9F2219AC32F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7" name="CaixaDeTexto 786">
          <a:extLst>
            <a:ext uri="{FF2B5EF4-FFF2-40B4-BE49-F238E27FC236}">
              <a16:creationId xmlns:a16="http://schemas.microsoft.com/office/drawing/2014/main" id="{793C0919-7834-46F3-970C-C34B433D3C7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8" name="CaixaDeTexto 787">
          <a:extLst>
            <a:ext uri="{FF2B5EF4-FFF2-40B4-BE49-F238E27FC236}">
              <a16:creationId xmlns:a16="http://schemas.microsoft.com/office/drawing/2014/main" id="{45069426-A372-4846-85C7-E52576F9258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24</xdr:row>
      <xdr:rowOff>0</xdr:rowOff>
    </xdr:from>
    <xdr:ext cx="184731" cy="264560"/>
    <xdr:sp macro="" textlink="">
      <xdr:nvSpPr>
        <xdr:cNvPr id="789" name="CaixaDeTexto 788">
          <a:extLst>
            <a:ext uri="{FF2B5EF4-FFF2-40B4-BE49-F238E27FC236}">
              <a16:creationId xmlns:a16="http://schemas.microsoft.com/office/drawing/2014/main" id="{32CC1127-8D01-43B5-992B-E6CA8322036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90" name="CaixaDeTexto 789">
          <a:extLst>
            <a:ext uri="{FF2B5EF4-FFF2-40B4-BE49-F238E27FC236}">
              <a16:creationId xmlns:a16="http://schemas.microsoft.com/office/drawing/2014/main" id="{78DF6512-495D-4454-88E5-4633349BF7D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91" name="CaixaDeTexto 790">
          <a:extLst>
            <a:ext uri="{FF2B5EF4-FFF2-40B4-BE49-F238E27FC236}">
              <a16:creationId xmlns:a16="http://schemas.microsoft.com/office/drawing/2014/main" id="{DFA235BB-C393-48F9-ABF3-31B624CDFBB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792" name="CaixaDeTexto 791">
          <a:extLst>
            <a:ext uri="{FF2B5EF4-FFF2-40B4-BE49-F238E27FC236}">
              <a16:creationId xmlns:a16="http://schemas.microsoft.com/office/drawing/2014/main" id="{D6100966-0C59-4AA3-A60D-ADC7CE6A54A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793" name="CaixaDeTexto 792">
          <a:extLst>
            <a:ext uri="{FF2B5EF4-FFF2-40B4-BE49-F238E27FC236}">
              <a16:creationId xmlns:a16="http://schemas.microsoft.com/office/drawing/2014/main" id="{47FD6FE3-AD69-4008-A422-3E3144D27AF1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794" name="CaixaDeTexto 793">
          <a:extLst>
            <a:ext uri="{FF2B5EF4-FFF2-40B4-BE49-F238E27FC236}">
              <a16:creationId xmlns:a16="http://schemas.microsoft.com/office/drawing/2014/main" id="{A1B3C60D-B810-4D73-8BDC-5E8091D09D1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795" name="CaixaDeTexto 794">
          <a:extLst>
            <a:ext uri="{FF2B5EF4-FFF2-40B4-BE49-F238E27FC236}">
              <a16:creationId xmlns:a16="http://schemas.microsoft.com/office/drawing/2014/main" id="{BC23D6C3-16E9-4EF1-A9BA-EAE36D8D59F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96" name="CaixaDeTexto 795">
          <a:extLst>
            <a:ext uri="{FF2B5EF4-FFF2-40B4-BE49-F238E27FC236}">
              <a16:creationId xmlns:a16="http://schemas.microsoft.com/office/drawing/2014/main" id="{4FA14B23-5160-4365-A395-741414D81B4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97" name="CaixaDeTexto 796">
          <a:extLst>
            <a:ext uri="{FF2B5EF4-FFF2-40B4-BE49-F238E27FC236}">
              <a16:creationId xmlns:a16="http://schemas.microsoft.com/office/drawing/2014/main" id="{68701322-7849-4040-9126-6F1BB76ABDE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98" name="CaixaDeTexto 797">
          <a:extLst>
            <a:ext uri="{FF2B5EF4-FFF2-40B4-BE49-F238E27FC236}">
              <a16:creationId xmlns:a16="http://schemas.microsoft.com/office/drawing/2014/main" id="{BAAB8F2C-D204-4E31-97C1-3B6660EBF39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799" name="CaixaDeTexto 798">
          <a:extLst>
            <a:ext uri="{FF2B5EF4-FFF2-40B4-BE49-F238E27FC236}">
              <a16:creationId xmlns:a16="http://schemas.microsoft.com/office/drawing/2014/main" id="{5D2D1701-C77E-426D-80A9-774FBA365AB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0" name="CaixaDeTexto 799">
          <a:extLst>
            <a:ext uri="{FF2B5EF4-FFF2-40B4-BE49-F238E27FC236}">
              <a16:creationId xmlns:a16="http://schemas.microsoft.com/office/drawing/2014/main" id="{4F1EDBF2-C3AB-4AFD-B9E1-72CEE3AABED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1" name="CaixaDeTexto 800">
          <a:extLst>
            <a:ext uri="{FF2B5EF4-FFF2-40B4-BE49-F238E27FC236}">
              <a16:creationId xmlns:a16="http://schemas.microsoft.com/office/drawing/2014/main" id="{262E39D0-8191-4744-9EF0-3F84154038E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2" name="CaixaDeTexto 801">
          <a:extLst>
            <a:ext uri="{FF2B5EF4-FFF2-40B4-BE49-F238E27FC236}">
              <a16:creationId xmlns:a16="http://schemas.microsoft.com/office/drawing/2014/main" id="{64A53DE3-F5C2-4C0A-91F5-24F2D90BF4F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3" name="CaixaDeTexto 802">
          <a:extLst>
            <a:ext uri="{FF2B5EF4-FFF2-40B4-BE49-F238E27FC236}">
              <a16:creationId xmlns:a16="http://schemas.microsoft.com/office/drawing/2014/main" id="{7B0ECD20-4F55-437B-BC15-600F358A5DC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4" name="CaixaDeTexto 803">
          <a:extLst>
            <a:ext uri="{FF2B5EF4-FFF2-40B4-BE49-F238E27FC236}">
              <a16:creationId xmlns:a16="http://schemas.microsoft.com/office/drawing/2014/main" id="{ACB2AB26-F377-4022-AFF4-20ED5418EC2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5" name="CaixaDeTexto 804">
          <a:extLst>
            <a:ext uri="{FF2B5EF4-FFF2-40B4-BE49-F238E27FC236}">
              <a16:creationId xmlns:a16="http://schemas.microsoft.com/office/drawing/2014/main" id="{662B44E6-4F53-46A3-8124-71F8E52DA4D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6" name="CaixaDeTexto 805">
          <a:extLst>
            <a:ext uri="{FF2B5EF4-FFF2-40B4-BE49-F238E27FC236}">
              <a16:creationId xmlns:a16="http://schemas.microsoft.com/office/drawing/2014/main" id="{09DA0DCE-BBD5-4EFE-828E-0E42C0F4215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25</xdr:row>
      <xdr:rowOff>0</xdr:rowOff>
    </xdr:from>
    <xdr:ext cx="184731" cy="264560"/>
    <xdr:sp macro="" textlink="">
      <xdr:nvSpPr>
        <xdr:cNvPr id="807" name="CaixaDeTexto 806">
          <a:extLst>
            <a:ext uri="{FF2B5EF4-FFF2-40B4-BE49-F238E27FC236}">
              <a16:creationId xmlns:a16="http://schemas.microsoft.com/office/drawing/2014/main" id="{2E5564A7-92F0-4E59-9050-DCA61B71E49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08" name="CaixaDeTexto 807">
          <a:extLst>
            <a:ext uri="{FF2B5EF4-FFF2-40B4-BE49-F238E27FC236}">
              <a16:creationId xmlns:a16="http://schemas.microsoft.com/office/drawing/2014/main" id="{5572EC09-F048-46E0-92CB-405DB3545DD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09" name="CaixaDeTexto 808">
          <a:extLst>
            <a:ext uri="{FF2B5EF4-FFF2-40B4-BE49-F238E27FC236}">
              <a16:creationId xmlns:a16="http://schemas.microsoft.com/office/drawing/2014/main" id="{CEA155DA-AB96-4581-A78D-B5EB86A9011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10" name="CaixaDeTexto 809">
          <a:extLst>
            <a:ext uri="{FF2B5EF4-FFF2-40B4-BE49-F238E27FC236}">
              <a16:creationId xmlns:a16="http://schemas.microsoft.com/office/drawing/2014/main" id="{C393C44C-DEEF-42AE-9AB5-EB367B38EB1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11" name="CaixaDeTexto 810">
          <a:extLst>
            <a:ext uri="{FF2B5EF4-FFF2-40B4-BE49-F238E27FC236}">
              <a16:creationId xmlns:a16="http://schemas.microsoft.com/office/drawing/2014/main" id="{BDEA896F-AD34-48DA-8043-6A88B1F9FDC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12" name="CaixaDeTexto 811">
          <a:extLst>
            <a:ext uri="{FF2B5EF4-FFF2-40B4-BE49-F238E27FC236}">
              <a16:creationId xmlns:a16="http://schemas.microsoft.com/office/drawing/2014/main" id="{9A79DC42-EC6B-4292-8A17-867E80709DB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13" name="CaixaDeTexto 812">
          <a:extLst>
            <a:ext uri="{FF2B5EF4-FFF2-40B4-BE49-F238E27FC236}">
              <a16:creationId xmlns:a16="http://schemas.microsoft.com/office/drawing/2014/main" id="{002AC694-90EE-4B87-AE28-0B3A5210DAA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14" name="CaixaDeTexto 813">
          <a:extLst>
            <a:ext uri="{FF2B5EF4-FFF2-40B4-BE49-F238E27FC236}">
              <a16:creationId xmlns:a16="http://schemas.microsoft.com/office/drawing/2014/main" id="{4342CFEA-FD50-445B-8372-707C5D5C44F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15" name="CaixaDeTexto 814">
          <a:extLst>
            <a:ext uri="{FF2B5EF4-FFF2-40B4-BE49-F238E27FC236}">
              <a16:creationId xmlns:a16="http://schemas.microsoft.com/office/drawing/2014/main" id="{FEAC4A6F-D78C-4D42-AF97-FF7F10C98CE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16" name="CaixaDeTexto 815">
          <a:extLst>
            <a:ext uri="{FF2B5EF4-FFF2-40B4-BE49-F238E27FC236}">
              <a16:creationId xmlns:a16="http://schemas.microsoft.com/office/drawing/2014/main" id="{CA1A3002-8B5E-4BEA-850C-E6878BD84A5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17" name="CaixaDeTexto 816">
          <a:extLst>
            <a:ext uri="{FF2B5EF4-FFF2-40B4-BE49-F238E27FC236}">
              <a16:creationId xmlns:a16="http://schemas.microsoft.com/office/drawing/2014/main" id="{20040E46-C9A7-45DB-91E4-A868B3CA194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18" name="CaixaDeTexto 817">
          <a:extLst>
            <a:ext uri="{FF2B5EF4-FFF2-40B4-BE49-F238E27FC236}">
              <a16:creationId xmlns:a16="http://schemas.microsoft.com/office/drawing/2014/main" id="{E7DFC1EF-F100-402B-A419-1C7A1FDF560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19" name="CaixaDeTexto 818">
          <a:extLst>
            <a:ext uri="{FF2B5EF4-FFF2-40B4-BE49-F238E27FC236}">
              <a16:creationId xmlns:a16="http://schemas.microsoft.com/office/drawing/2014/main" id="{F265C7B8-8613-475A-B13B-7964ACC9DCB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20" name="CaixaDeTexto 819">
          <a:extLst>
            <a:ext uri="{FF2B5EF4-FFF2-40B4-BE49-F238E27FC236}">
              <a16:creationId xmlns:a16="http://schemas.microsoft.com/office/drawing/2014/main" id="{1ED4A2C7-CBF4-439C-8C1A-35636DF9529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21" name="CaixaDeTexto 820">
          <a:extLst>
            <a:ext uri="{FF2B5EF4-FFF2-40B4-BE49-F238E27FC236}">
              <a16:creationId xmlns:a16="http://schemas.microsoft.com/office/drawing/2014/main" id="{F4A52A17-246C-4BCB-9557-AD3294CEBCB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22" name="CaixaDeTexto 821">
          <a:extLst>
            <a:ext uri="{FF2B5EF4-FFF2-40B4-BE49-F238E27FC236}">
              <a16:creationId xmlns:a16="http://schemas.microsoft.com/office/drawing/2014/main" id="{C30F3980-A78D-46A7-95F0-1E77C036292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23" name="CaixaDeTexto 822">
          <a:extLst>
            <a:ext uri="{FF2B5EF4-FFF2-40B4-BE49-F238E27FC236}">
              <a16:creationId xmlns:a16="http://schemas.microsoft.com/office/drawing/2014/main" id="{5ECC67BF-1048-492D-8814-06E4BF8FF51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24" name="CaixaDeTexto 823">
          <a:extLst>
            <a:ext uri="{FF2B5EF4-FFF2-40B4-BE49-F238E27FC236}">
              <a16:creationId xmlns:a16="http://schemas.microsoft.com/office/drawing/2014/main" id="{497BCF8D-A9DC-4374-AF67-63996F77410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26</xdr:row>
      <xdr:rowOff>0</xdr:rowOff>
    </xdr:from>
    <xdr:ext cx="184731" cy="264560"/>
    <xdr:sp macro="" textlink="">
      <xdr:nvSpPr>
        <xdr:cNvPr id="825" name="CaixaDeTexto 824">
          <a:extLst>
            <a:ext uri="{FF2B5EF4-FFF2-40B4-BE49-F238E27FC236}">
              <a16:creationId xmlns:a16="http://schemas.microsoft.com/office/drawing/2014/main" id="{DB769857-1B24-43C9-AC42-76DAC2E93E5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26" name="CaixaDeTexto 825">
          <a:extLst>
            <a:ext uri="{FF2B5EF4-FFF2-40B4-BE49-F238E27FC236}">
              <a16:creationId xmlns:a16="http://schemas.microsoft.com/office/drawing/2014/main" id="{7BE83800-BC00-4FCF-A08B-3B9337CE5C1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27" name="CaixaDeTexto 826">
          <a:extLst>
            <a:ext uri="{FF2B5EF4-FFF2-40B4-BE49-F238E27FC236}">
              <a16:creationId xmlns:a16="http://schemas.microsoft.com/office/drawing/2014/main" id="{1F8FC06E-0EE4-42F1-862F-E814B93DEA7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28" name="CaixaDeTexto 827">
          <a:extLst>
            <a:ext uri="{FF2B5EF4-FFF2-40B4-BE49-F238E27FC236}">
              <a16:creationId xmlns:a16="http://schemas.microsoft.com/office/drawing/2014/main" id="{965D5539-C41C-4FAC-AAB7-7B4863BB44F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29" name="CaixaDeTexto 828">
          <a:extLst>
            <a:ext uri="{FF2B5EF4-FFF2-40B4-BE49-F238E27FC236}">
              <a16:creationId xmlns:a16="http://schemas.microsoft.com/office/drawing/2014/main" id="{B9A61AE5-940C-46EB-8500-B010685AE35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30" name="CaixaDeTexto 829">
          <a:extLst>
            <a:ext uri="{FF2B5EF4-FFF2-40B4-BE49-F238E27FC236}">
              <a16:creationId xmlns:a16="http://schemas.microsoft.com/office/drawing/2014/main" id="{E463FB1C-5F3D-4DF9-B8BC-00981966622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31" name="CaixaDeTexto 830">
          <a:extLst>
            <a:ext uri="{FF2B5EF4-FFF2-40B4-BE49-F238E27FC236}">
              <a16:creationId xmlns:a16="http://schemas.microsoft.com/office/drawing/2014/main" id="{2D52586C-85BB-43A3-93DF-C3D425D3E71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2" name="CaixaDeTexto 831">
          <a:extLst>
            <a:ext uri="{FF2B5EF4-FFF2-40B4-BE49-F238E27FC236}">
              <a16:creationId xmlns:a16="http://schemas.microsoft.com/office/drawing/2014/main" id="{2BC8FFE5-5DDD-47F6-AA01-D0031F5986F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3" name="CaixaDeTexto 832">
          <a:extLst>
            <a:ext uri="{FF2B5EF4-FFF2-40B4-BE49-F238E27FC236}">
              <a16:creationId xmlns:a16="http://schemas.microsoft.com/office/drawing/2014/main" id="{CF0C42D7-AF34-4363-91FE-977B05E7240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4" name="CaixaDeTexto 833">
          <a:extLst>
            <a:ext uri="{FF2B5EF4-FFF2-40B4-BE49-F238E27FC236}">
              <a16:creationId xmlns:a16="http://schemas.microsoft.com/office/drawing/2014/main" id="{EFDA72C3-F106-4D02-996B-9B8545C4BB1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5" name="CaixaDeTexto 834">
          <a:extLst>
            <a:ext uri="{FF2B5EF4-FFF2-40B4-BE49-F238E27FC236}">
              <a16:creationId xmlns:a16="http://schemas.microsoft.com/office/drawing/2014/main" id="{6677DDD3-BADE-40AD-956E-EDDE0A87E8C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6" name="CaixaDeTexto 835">
          <a:extLst>
            <a:ext uri="{FF2B5EF4-FFF2-40B4-BE49-F238E27FC236}">
              <a16:creationId xmlns:a16="http://schemas.microsoft.com/office/drawing/2014/main" id="{57711DC7-BAF6-43CC-8325-5917BEE222F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7" name="CaixaDeTexto 836">
          <a:extLst>
            <a:ext uri="{FF2B5EF4-FFF2-40B4-BE49-F238E27FC236}">
              <a16:creationId xmlns:a16="http://schemas.microsoft.com/office/drawing/2014/main" id="{84FCEDB9-F579-4E11-90D2-F9D89F54004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8" name="CaixaDeTexto 837">
          <a:extLst>
            <a:ext uri="{FF2B5EF4-FFF2-40B4-BE49-F238E27FC236}">
              <a16:creationId xmlns:a16="http://schemas.microsoft.com/office/drawing/2014/main" id="{A190DF32-094B-48E6-B4C2-E9941A8639E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39" name="CaixaDeTexto 838">
          <a:extLst>
            <a:ext uri="{FF2B5EF4-FFF2-40B4-BE49-F238E27FC236}">
              <a16:creationId xmlns:a16="http://schemas.microsoft.com/office/drawing/2014/main" id="{F5179229-EC2C-4A96-9EF3-1763D234BA7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40" name="CaixaDeTexto 839">
          <a:extLst>
            <a:ext uri="{FF2B5EF4-FFF2-40B4-BE49-F238E27FC236}">
              <a16:creationId xmlns:a16="http://schemas.microsoft.com/office/drawing/2014/main" id="{EE0BA86F-260F-46E5-9E4C-9C30246C20D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41" name="CaixaDeTexto 840">
          <a:extLst>
            <a:ext uri="{FF2B5EF4-FFF2-40B4-BE49-F238E27FC236}">
              <a16:creationId xmlns:a16="http://schemas.microsoft.com/office/drawing/2014/main" id="{E5ECC4FD-E17B-4769-8136-38A7FEC8E22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42" name="CaixaDeTexto 841">
          <a:extLst>
            <a:ext uri="{FF2B5EF4-FFF2-40B4-BE49-F238E27FC236}">
              <a16:creationId xmlns:a16="http://schemas.microsoft.com/office/drawing/2014/main" id="{80083EE3-A3C6-41E3-B167-00F47A43AD9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27</xdr:row>
      <xdr:rowOff>0</xdr:rowOff>
    </xdr:from>
    <xdr:ext cx="184731" cy="264560"/>
    <xdr:sp macro="" textlink="">
      <xdr:nvSpPr>
        <xdr:cNvPr id="843" name="CaixaDeTexto 842">
          <a:extLst>
            <a:ext uri="{FF2B5EF4-FFF2-40B4-BE49-F238E27FC236}">
              <a16:creationId xmlns:a16="http://schemas.microsoft.com/office/drawing/2014/main" id="{A9C0480C-80E6-499C-A139-EC7408C7846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44" name="CaixaDeTexto 843">
          <a:extLst>
            <a:ext uri="{FF2B5EF4-FFF2-40B4-BE49-F238E27FC236}">
              <a16:creationId xmlns:a16="http://schemas.microsoft.com/office/drawing/2014/main" id="{D8E3B041-481F-4A60-ACD2-51569A5C84C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45" name="CaixaDeTexto 844">
          <a:extLst>
            <a:ext uri="{FF2B5EF4-FFF2-40B4-BE49-F238E27FC236}">
              <a16:creationId xmlns:a16="http://schemas.microsoft.com/office/drawing/2014/main" id="{2A242DB6-C0EF-48F8-B330-752DDC3F6B1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46" name="CaixaDeTexto 845">
          <a:extLst>
            <a:ext uri="{FF2B5EF4-FFF2-40B4-BE49-F238E27FC236}">
              <a16:creationId xmlns:a16="http://schemas.microsoft.com/office/drawing/2014/main" id="{317D2B19-6E73-4F01-B287-0840C02D6DE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47" name="CaixaDeTexto 846">
          <a:extLst>
            <a:ext uri="{FF2B5EF4-FFF2-40B4-BE49-F238E27FC236}">
              <a16:creationId xmlns:a16="http://schemas.microsoft.com/office/drawing/2014/main" id="{DEE2A99F-80D7-476F-9E83-A8EE2D6FD7F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48" name="CaixaDeTexto 847">
          <a:extLst>
            <a:ext uri="{FF2B5EF4-FFF2-40B4-BE49-F238E27FC236}">
              <a16:creationId xmlns:a16="http://schemas.microsoft.com/office/drawing/2014/main" id="{D7EAE7C0-ADAC-4B2D-872E-9FF56D4452F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49" name="CaixaDeTexto 848">
          <a:extLst>
            <a:ext uri="{FF2B5EF4-FFF2-40B4-BE49-F238E27FC236}">
              <a16:creationId xmlns:a16="http://schemas.microsoft.com/office/drawing/2014/main" id="{C1CCC74E-8ABC-43E6-8F2C-30B837F33CF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0" name="CaixaDeTexto 849">
          <a:extLst>
            <a:ext uri="{FF2B5EF4-FFF2-40B4-BE49-F238E27FC236}">
              <a16:creationId xmlns:a16="http://schemas.microsoft.com/office/drawing/2014/main" id="{EB6E702F-FFD6-4F68-A6E1-2E3A50D8144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1" name="CaixaDeTexto 850">
          <a:extLst>
            <a:ext uri="{FF2B5EF4-FFF2-40B4-BE49-F238E27FC236}">
              <a16:creationId xmlns:a16="http://schemas.microsoft.com/office/drawing/2014/main" id="{0416F160-6CE3-464B-A669-DA4EF4857C3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2" name="CaixaDeTexto 851">
          <a:extLst>
            <a:ext uri="{FF2B5EF4-FFF2-40B4-BE49-F238E27FC236}">
              <a16:creationId xmlns:a16="http://schemas.microsoft.com/office/drawing/2014/main" id="{74862564-8261-4A1F-A424-3379E22DD3A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3" name="CaixaDeTexto 852">
          <a:extLst>
            <a:ext uri="{FF2B5EF4-FFF2-40B4-BE49-F238E27FC236}">
              <a16:creationId xmlns:a16="http://schemas.microsoft.com/office/drawing/2014/main" id="{E7E7D953-4196-467E-A695-A3E17BCB4BC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4" name="CaixaDeTexto 853">
          <a:extLst>
            <a:ext uri="{FF2B5EF4-FFF2-40B4-BE49-F238E27FC236}">
              <a16:creationId xmlns:a16="http://schemas.microsoft.com/office/drawing/2014/main" id="{182B6A45-EAF0-4CAA-94E0-9AD65512533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5" name="CaixaDeTexto 854">
          <a:extLst>
            <a:ext uri="{FF2B5EF4-FFF2-40B4-BE49-F238E27FC236}">
              <a16:creationId xmlns:a16="http://schemas.microsoft.com/office/drawing/2014/main" id="{09A75258-746D-498C-AF6E-525916599FC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6" name="CaixaDeTexto 855">
          <a:extLst>
            <a:ext uri="{FF2B5EF4-FFF2-40B4-BE49-F238E27FC236}">
              <a16:creationId xmlns:a16="http://schemas.microsoft.com/office/drawing/2014/main" id="{0400424F-67DA-4382-9A55-6F185D27C2B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7" name="CaixaDeTexto 856">
          <a:extLst>
            <a:ext uri="{FF2B5EF4-FFF2-40B4-BE49-F238E27FC236}">
              <a16:creationId xmlns:a16="http://schemas.microsoft.com/office/drawing/2014/main" id="{85CF4C92-A7E6-4423-945A-702C0231B07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8" name="CaixaDeTexto 857">
          <a:extLst>
            <a:ext uri="{FF2B5EF4-FFF2-40B4-BE49-F238E27FC236}">
              <a16:creationId xmlns:a16="http://schemas.microsoft.com/office/drawing/2014/main" id="{0AEBC6E0-678A-408E-A143-CC6A16AAEEC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59" name="CaixaDeTexto 858">
          <a:extLst>
            <a:ext uri="{FF2B5EF4-FFF2-40B4-BE49-F238E27FC236}">
              <a16:creationId xmlns:a16="http://schemas.microsoft.com/office/drawing/2014/main" id="{F9DCC187-2DFB-4A31-9B2A-A4394F4DDCA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60" name="CaixaDeTexto 859">
          <a:extLst>
            <a:ext uri="{FF2B5EF4-FFF2-40B4-BE49-F238E27FC236}">
              <a16:creationId xmlns:a16="http://schemas.microsoft.com/office/drawing/2014/main" id="{F7B971D7-11B9-44A8-8CA6-E7174059540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28</xdr:row>
      <xdr:rowOff>0</xdr:rowOff>
    </xdr:from>
    <xdr:ext cx="184731" cy="264560"/>
    <xdr:sp macro="" textlink="">
      <xdr:nvSpPr>
        <xdr:cNvPr id="861" name="CaixaDeTexto 860">
          <a:extLst>
            <a:ext uri="{FF2B5EF4-FFF2-40B4-BE49-F238E27FC236}">
              <a16:creationId xmlns:a16="http://schemas.microsoft.com/office/drawing/2014/main" id="{EA677F61-4360-469A-9B52-D3E1D8E69CE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62" name="CaixaDeTexto 861">
          <a:extLst>
            <a:ext uri="{FF2B5EF4-FFF2-40B4-BE49-F238E27FC236}">
              <a16:creationId xmlns:a16="http://schemas.microsoft.com/office/drawing/2014/main" id="{4EF23141-88BD-4C45-B23B-60A295071F9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63" name="CaixaDeTexto 862">
          <a:extLst>
            <a:ext uri="{FF2B5EF4-FFF2-40B4-BE49-F238E27FC236}">
              <a16:creationId xmlns:a16="http://schemas.microsoft.com/office/drawing/2014/main" id="{1F7158C8-4912-4221-ABCE-0CF52B14B24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64" name="CaixaDeTexto 863">
          <a:extLst>
            <a:ext uri="{FF2B5EF4-FFF2-40B4-BE49-F238E27FC236}">
              <a16:creationId xmlns:a16="http://schemas.microsoft.com/office/drawing/2014/main" id="{FECE0522-4700-48DD-B12F-3B391EC7D70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65" name="CaixaDeTexto 864">
          <a:extLst>
            <a:ext uri="{FF2B5EF4-FFF2-40B4-BE49-F238E27FC236}">
              <a16:creationId xmlns:a16="http://schemas.microsoft.com/office/drawing/2014/main" id="{D1D84CB7-8E54-4E1B-9E99-751C87C2418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66" name="CaixaDeTexto 865">
          <a:extLst>
            <a:ext uri="{FF2B5EF4-FFF2-40B4-BE49-F238E27FC236}">
              <a16:creationId xmlns:a16="http://schemas.microsoft.com/office/drawing/2014/main" id="{89EED221-7EDE-492D-BF2D-2A4592CA937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67" name="CaixaDeTexto 866">
          <a:extLst>
            <a:ext uri="{FF2B5EF4-FFF2-40B4-BE49-F238E27FC236}">
              <a16:creationId xmlns:a16="http://schemas.microsoft.com/office/drawing/2014/main" id="{FE7251B7-1A13-4A1D-8B93-5566E14DED8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68" name="CaixaDeTexto 867">
          <a:extLst>
            <a:ext uri="{FF2B5EF4-FFF2-40B4-BE49-F238E27FC236}">
              <a16:creationId xmlns:a16="http://schemas.microsoft.com/office/drawing/2014/main" id="{8E98755E-27C2-4682-A2A1-6587F71796F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69" name="CaixaDeTexto 868">
          <a:extLst>
            <a:ext uri="{FF2B5EF4-FFF2-40B4-BE49-F238E27FC236}">
              <a16:creationId xmlns:a16="http://schemas.microsoft.com/office/drawing/2014/main" id="{870262A7-24E6-42DE-AA6C-63722A9BDB1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0" name="CaixaDeTexto 869">
          <a:extLst>
            <a:ext uri="{FF2B5EF4-FFF2-40B4-BE49-F238E27FC236}">
              <a16:creationId xmlns:a16="http://schemas.microsoft.com/office/drawing/2014/main" id="{E03D92C5-6716-43DE-A5AA-151928E4CD9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1" name="CaixaDeTexto 870">
          <a:extLst>
            <a:ext uri="{FF2B5EF4-FFF2-40B4-BE49-F238E27FC236}">
              <a16:creationId xmlns:a16="http://schemas.microsoft.com/office/drawing/2014/main" id="{F8DEE83D-D782-4DE5-BD21-C275CA58CE4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2" name="CaixaDeTexto 871">
          <a:extLst>
            <a:ext uri="{FF2B5EF4-FFF2-40B4-BE49-F238E27FC236}">
              <a16:creationId xmlns:a16="http://schemas.microsoft.com/office/drawing/2014/main" id="{827C0CA8-5706-47D4-AE9B-448EAC3203F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3" name="CaixaDeTexto 872">
          <a:extLst>
            <a:ext uri="{FF2B5EF4-FFF2-40B4-BE49-F238E27FC236}">
              <a16:creationId xmlns:a16="http://schemas.microsoft.com/office/drawing/2014/main" id="{2873D9CA-3BE3-4D0C-B546-16885F203D1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4" name="CaixaDeTexto 873">
          <a:extLst>
            <a:ext uri="{FF2B5EF4-FFF2-40B4-BE49-F238E27FC236}">
              <a16:creationId xmlns:a16="http://schemas.microsoft.com/office/drawing/2014/main" id="{7AA4FDED-A5ED-4926-81FF-0950E8B7D35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5" name="CaixaDeTexto 874">
          <a:extLst>
            <a:ext uri="{FF2B5EF4-FFF2-40B4-BE49-F238E27FC236}">
              <a16:creationId xmlns:a16="http://schemas.microsoft.com/office/drawing/2014/main" id="{96E907EA-BCE2-44CA-8C12-3117384019E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6" name="CaixaDeTexto 875">
          <a:extLst>
            <a:ext uri="{FF2B5EF4-FFF2-40B4-BE49-F238E27FC236}">
              <a16:creationId xmlns:a16="http://schemas.microsoft.com/office/drawing/2014/main" id="{CE811851-D385-41FB-8C2F-7A8F81B4328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7" name="CaixaDeTexto 876">
          <a:extLst>
            <a:ext uri="{FF2B5EF4-FFF2-40B4-BE49-F238E27FC236}">
              <a16:creationId xmlns:a16="http://schemas.microsoft.com/office/drawing/2014/main" id="{7F1E2386-696C-457A-B134-F2D3506A01F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8" name="CaixaDeTexto 877">
          <a:extLst>
            <a:ext uri="{FF2B5EF4-FFF2-40B4-BE49-F238E27FC236}">
              <a16:creationId xmlns:a16="http://schemas.microsoft.com/office/drawing/2014/main" id="{0CC260F4-4258-4235-9A96-93361C8E6C2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29</xdr:row>
      <xdr:rowOff>0</xdr:rowOff>
    </xdr:from>
    <xdr:ext cx="184731" cy="264560"/>
    <xdr:sp macro="" textlink="">
      <xdr:nvSpPr>
        <xdr:cNvPr id="879" name="CaixaDeTexto 878">
          <a:extLst>
            <a:ext uri="{FF2B5EF4-FFF2-40B4-BE49-F238E27FC236}">
              <a16:creationId xmlns:a16="http://schemas.microsoft.com/office/drawing/2014/main" id="{2F9B7A20-DB44-4C1D-BA5E-D32DB863320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80" name="CaixaDeTexto 879">
          <a:extLst>
            <a:ext uri="{FF2B5EF4-FFF2-40B4-BE49-F238E27FC236}">
              <a16:creationId xmlns:a16="http://schemas.microsoft.com/office/drawing/2014/main" id="{2998A6F1-A115-4BBA-97A5-0C21AE67768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81" name="CaixaDeTexto 880">
          <a:extLst>
            <a:ext uri="{FF2B5EF4-FFF2-40B4-BE49-F238E27FC236}">
              <a16:creationId xmlns:a16="http://schemas.microsoft.com/office/drawing/2014/main" id="{50E43756-7485-478B-81E1-64947275E4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882" name="CaixaDeTexto 881">
          <a:extLst>
            <a:ext uri="{FF2B5EF4-FFF2-40B4-BE49-F238E27FC236}">
              <a16:creationId xmlns:a16="http://schemas.microsoft.com/office/drawing/2014/main" id="{690A202B-A564-46B1-8AD8-093B6580268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883" name="CaixaDeTexto 882">
          <a:extLst>
            <a:ext uri="{FF2B5EF4-FFF2-40B4-BE49-F238E27FC236}">
              <a16:creationId xmlns:a16="http://schemas.microsoft.com/office/drawing/2014/main" id="{E9F84CEE-0027-43A1-8FF8-C3D22A5210B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884" name="CaixaDeTexto 883">
          <a:extLst>
            <a:ext uri="{FF2B5EF4-FFF2-40B4-BE49-F238E27FC236}">
              <a16:creationId xmlns:a16="http://schemas.microsoft.com/office/drawing/2014/main" id="{CB0AE4D2-9999-4198-84F8-09489582F9E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885" name="CaixaDeTexto 884">
          <a:extLst>
            <a:ext uri="{FF2B5EF4-FFF2-40B4-BE49-F238E27FC236}">
              <a16:creationId xmlns:a16="http://schemas.microsoft.com/office/drawing/2014/main" id="{E2CA31A4-1156-41CD-AAD1-BF80A99F1F2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86" name="CaixaDeTexto 885">
          <a:extLst>
            <a:ext uri="{FF2B5EF4-FFF2-40B4-BE49-F238E27FC236}">
              <a16:creationId xmlns:a16="http://schemas.microsoft.com/office/drawing/2014/main" id="{3715F05E-7FC0-4434-BEB1-8756EC50AAF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87" name="CaixaDeTexto 886">
          <a:extLst>
            <a:ext uri="{FF2B5EF4-FFF2-40B4-BE49-F238E27FC236}">
              <a16:creationId xmlns:a16="http://schemas.microsoft.com/office/drawing/2014/main" id="{539CC3B9-DF9A-4E0A-A770-BC62B1F5BCA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88" name="CaixaDeTexto 887">
          <a:extLst>
            <a:ext uri="{FF2B5EF4-FFF2-40B4-BE49-F238E27FC236}">
              <a16:creationId xmlns:a16="http://schemas.microsoft.com/office/drawing/2014/main" id="{CCA638D7-E2AB-46B4-8F61-81817A751B7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89" name="CaixaDeTexto 888">
          <a:extLst>
            <a:ext uri="{FF2B5EF4-FFF2-40B4-BE49-F238E27FC236}">
              <a16:creationId xmlns:a16="http://schemas.microsoft.com/office/drawing/2014/main" id="{19BD126A-EB01-4101-AE44-FF695FB41C8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0" name="CaixaDeTexto 889">
          <a:extLst>
            <a:ext uri="{FF2B5EF4-FFF2-40B4-BE49-F238E27FC236}">
              <a16:creationId xmlns:a16="http://schemas.microsoft.com/office/drawing/2014/main" id="{4B92F5D1-A431-4914-AF90-929C24BC467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1" name="CaixaDeTexto 890">
          <a:extLst>
            <a:ext uri="{FF2B5EF4-FFF2-40B4-BE49-F238E27FC236}">
              <a16:creationId xmlns:a16="http://schemas.microsoft.com/office/drawing/2014/main" id="{0876DBAC-A887-4776-8B2B-3107997ED8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2" name="CaixaDeTexto 891">
          <a:extLst>
            <a:ext uri="{FF2B5EF4-FFF2-40B4-BE49-F238E27FC236}">
              <a16:creationId xmlns:a16="http://schemas.microsoft.com/office/drawing/2014/main" id="{48952583-B273-47A2-8B0B-66E718A0178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3" name="CaixaDeTexto 892">
          <a:extLst>
            <a:ext uri="{FF2B5EF4-FFF2-40B4-BE49-F238E27FC236}">
              <a16:creationId xmlns:a16="http://schemas.microsoft.com/office/drawing/2014/main" id="{BA410F36-9E04-4C5E-BA8F-A9A08453893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4" name="CaixaDeTexto 893">
          <a:extLst>
            <a:ext uri="{FF2B5EF4-FFF2-40B4-BE49-F238E27FC236}">
              <a16:creationId xmlns:a16="http://schemas.microsoft.com/office/drawing/2014/main" id="{A62F1B5E-C21C-40A2-ABAA-7DEDFD44AC7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5" name="CaixaDeTexto 894">
          <a:extLst>
            <a:ext uri="{FF2B5EF4-FFF2-40B4-BE49-F238E27FC236}">
              <a16:creationId xmlns:a16="http://schemas.microsoft.com/office/drawing/2014/main" id="{841611A0-1EC9-46B6-9280-43F74866195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6" name="CaixaDeTexto 895">
          <a:extLst>
            <a:ext uri="{FF2B5EF4-FFF2-40B4-BE49-F238E27FC236}">
              <a16:creationId xmlns:a16="http://schemas.microsoft.com/office/drawing/2014/main" id="{25A5A810-A206-4335-81CD-A2AB9C6F21E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30</xdr:row>
      <xdr:rowOff>0</xdr:rowOff>
    </xdr:from>
    <xdr:ext cx="184731" cy="264560"/>
    <xdr:sp macro="" textlink="">
      <xdr:nvSpPr>
        <xdr:cNvPr id="897" name="CaixaDeTexto 896">
          <a:extLst>
            <a:ext uri="{FF2B5EF4-FFF2-40B4-BE49-F238E27FC236}">
              <a16:creationId xmlns:a16="http://schemas.microsoft.com/office/drawing/2014/main" id="{19C162C1-883D-412A-B513-6C1A7DA5F24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898" name="CaixaDeTexto 897">
          <a:extLst>
            <a:ext uri="{FF2B5EF4-FFF2-40B4-BE49-F238E27FC236}">
              <a16:creationId xmlns:a16="http://schemas.microsoft.com/office/drawing/2014/main" id="{4791D1BF-E41B-4B69-8F72-5204C508C5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899" name="CaixaDeTexto 898">
          <a:extLst>
            <a:ext uri="{FF2B5EF4-FFF2-40B4-BE49-F238E27FC236}">
              <a16:creationId xmlns:a16="http://schemas.microsoft.com/office/drawing/2014/main" id="{0E996B0B-D366-4C66-8D99-8DDA8BED88F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00" name="CaixaDeTexto 899">
          <a:extLst>
            <a:ext uri="{FF2B5EF4-FFF2-40B4-BE49-F238E27FC236}">
              <a16:creationId xmlns:a16="http://schemas.microsoft.com/office/drawing/2014/main" id="{1DE9DC35-1E5A-426A-878F-1C1CCD0ED56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01" name="CaixaDeTexto 900">
          <a:extLst>
            <a:ext uri="{FF2B5EF4-FFF2-40B4-BE49-F238E27FC236}">
              <a16:creationId xmlns:a16="http://schemas.microsoft.com/office/drawing/2014/main" id="{6AFE87F8-6E34-49F2-86FA-950E0F9F1AF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02" name="CaixaDeTexto 901">
          <a:extLst>
            <a:ext uri="{FF2B5EF4-FFF2-40B4-BE49-F238E27FC236}">
              <a16:creationId xmlns:a16="http://schemas.microsoft.com/office/drawing/2014/main" id="{150289A2-48D2-45A2-B31E-8BA70C54CF6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03" name="CaixaDeTexto 902">
          <a:extLst>
            <a:ext uri="{FF2B5EF4-FFF2-40B4-BE49-F238E27FC236}">
              <a16:creationId xmlns:a16="http://schemas.microsoft.com/office/drawing/2014/main" id="{852826A1-5C4C-4DE2-97AC-FEB23ED2E07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04" name="CaixaDeTexto 903">
          <a:extLst>
            <a:ext uri="{FF2B5EF4-FFF2-40B4-BE49-F238E27FC236}">
              <a16:creationId xmlns:a16="http://schemas.microsoft.com/office/drawing/2014/main" id="{9359BB59-0273-434A-86E8-51E783C7732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05" name="CaixaDeTexto 904">
          <a:extLst>
            <a:ext uri="{FF2B5EF4-FFF2-40B4-BE49-F238E27FC236}">
              <a16:creationId xmlns:a16="http://schemas.microsoft.com/office/drawing/2014/main" id="{568BD3D4-FFCE-47ED-ABEF-76CB18DA926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06" name="CaixaDeTexto 905">
          <a:extLst>
            <a:ext uri="{FF2B5EF4-FFF2-40B4-BE49-F238E27FC236}">
              <a16:creationId xmlns:a16="http://schemas.microsoft.com/office/drawing/2014/main" id="{5320042B-3950-413E-A343-32649DFC8CC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07" name="CaixaDeTexto 906">
          <a:extLst>
            <a:ext uri="{FF2B5EF4-FFF2-40B4-BE49-F238E27FC236}">
              <a16:creationId xmlns:a16="http://schemas.microsoft.com/office/drawing/2014/main" id="{E0C74281-0033-4D5B-A8A9-20FBE4EFAF1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08" name="CaixaDeTexto 907">
          <a:extLst>
            <a:ext uri="{FF2B5EF4-FFF2-40B4-BE49-F238E27FC236}">
              <a16:creationId xmlns:a16="http://schemas.microsoft.com/office/drawing/2014/main" id="{EFF72EB9-7BBF-4D2C-AAD7-493ABF9ABCF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09" name="CaixaDeTexto 908">
          <a:extLst>
            <a:ext uri="{FF2B5EF4-FFF2-40B4-BE49-F238E27FC236}">
              <a16:creationId xmlns:a16="http://schemas.microsoft.com/office/drawing/2014/main" id="{1C0E4A9B-63DB-4E3F-837F-21C954BA988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10" name="CaixaDeTexto 909">
          <a:extLst>
            <a:ext uri="{FF2B5EF4-FFF2-40B4-BE49-F238E27FC236}">
              <a16:creationId xmlns:a16="http://schemas.microsoft.com/office/drawing/2014/main" id="{711D0DD0-AA16-4F7E-BB47-CD7972953F7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11" name="CaixaDeTexto 910">
          <a:extLst>
            <a:ext uri="{FF2B5EF4-FFF2-40B4-BE49-F238E27FC236}">
              <a16:creationId xmlns:a16="http://schemas.microsoft.com/office/drawing/2014/main" id="{FDFF6143-10E5-4C1C-BAE3-4A7F802FF73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12" name="CaixaDeTexto 911">
          <a:extLst>
            <a:ext uri="{FF2B5EF4-FFF2-40B4-BE49-F238E27FC236}">
              <a16:creationId xmlns:a16="http://schemas.microsoft.com/office/drawing/2014/main" id="{400205AF-3170-4BE5-ABEE-0BAD7050451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13" name="CaixaDeTexto 912">
          <a:extLst>
            <a:ext uri="{FF2B5EF4-FFF2-40B4-BE49-F238E27FC236}">
              <a16:creationId xmlns:a16="http://schemas.microsoft.com/office/drawing/2014/main" id="{6C1C042C-7764-49A4-AFCD-032BF9AB385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14" name="CaixaDeTexto 913">
          <a:extLst>
            <a:ext uri="{FF2B5EF4-FFF2-40B4-BE49-F238E27FC236}">
              <a16:creationId xmlns:a16="http://schemas.microsoft.com/office/drawing/2014/main" id="{AE1310F7-C8AD-4C5B-9BDD-A9140D545FC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31</xdr:row>
      <xdr:rowOff>0</xdr:rowOff>
    </xdr:from>
    <xdr:ext cx="184731" cy="264560"/>
    <xdr:sp macro="" textlink="">
      <xdr:nvSpPr>
        <xdr:cNvPr id="915" name="CaixaDeTexto 914">
          <a:extLst>
            <a:ext uri="{FF2B5EF4-FFF2-40B4-BE49-F238E27FC236}">
              <a16:creationId xmlns:a16="http://schemas.microsoft.com/office/drawing/2014/main" id="{275FF15B-071F-4C63-BE5B-CCB5364B6AA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16" name="CaixaDeTexto 915">
          <a:extLst>
            <a:ext uri="{FF2B5EF4-FFF2-40B4-BE49-F238E27FC236}">
              <a16:creationId xmlns:a16="http://schemas.microsoft.com/office/drawing/2014/main" id="{738504CC-8D5C-4435-BC11-7C761CAD79F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17" name="CaixaDeTexto 916">
          <a:extLst>
            <a:ext uri="{FF2B5EF4-FFF2-40B4-BE49-F238E27FC236}">
              <a16:creationId xmlns:a16="http://schemas.microsoft.com/office/drawing/2014/main" id="{FDFDC094-A6D2-415E-8CE9-C3EEF147F44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18" name="CaixaDeTexto 917">
          <a:extLst>
            <a:ext uri="{FF2B5EF4-FFF2-40B4-BE49-F238E27FC236}">
              <a16:creationId xmlns:a16="http://schemas.microsoft.com/office/drawing/2014/main" id="{B5649D1F-F573-4405-B10A-D1E9B0079E0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19" name="CaixaDeTexto 918">
          <a:extLst>
            <a:ext uri="{FF2B5EF4-FFF2-40B4-BE49-F238E27FC236}">
              <a16:creationId xmlns:a16="http://schemas.microsoft.com/office/drawing/2014/main" id="{14FA1274-D76C-4C04-BC4C-24103FAFB5A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20" name="CaixaDeTexto 919">
          <a:extLst>
            <a:ext uri="{FF2B5EF4-FFF2-40B4-BE49-F238E27FC236}">
              <a16:creationId xmlns:a16="http://schemas.microsoft.com/office/drawing/2014/main" id="{BDB522A4-BD6B-492F-8AC4-32517E55F7A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21" name="CaixaDeTexto 920">
          <a:extLst>
            <a:ext uri="{FF2B5EF4-FFF2-40B4-BE49-F238E27FC236}">
              <a16:creationId xmlns:a16="http://schemas.microsoft.com/office/drawing/2014/main" id="{5714EDB1-8D4E-4AC8-8356-DEA929B4DA1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2" name="CaixaDeTexto 921">
          <a:extLst>
            <a:ext uri="{FF2B5EF4-FFF2-40B4-BE49-F238E27FC236}">
              <a16:creationId xmlns:a16="http://schemas.microsoft.com/office/drawing/2014/main" id="{55DC5808-D0D0-4C96-9539-8D3F41D0AC8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3" name="CaixaDeTexto 922">
          <a:extLst>
            <a:ext uri="{FF2B5EF4-FFF2-40B4-BE49-F238E27FC236}">
              <a16:creationId xmlns:a16="http://schemas.microsoft.com/office/drawing/2014/main" id="{67D791AA-0236-48DC-B22E-53D41B89AE2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4" name="CaixaDeTexto 923">
          <a:extLst>
            <a:ext uri="{FF2B5EF4-FFF2-40B4-BE49-F238E27FC236}">
              <a16:creationId xmlns:a16="http://schemas.microsoft.com/office/drawing/2014/main" id="{49383B83-033F-4E63-98DA-17836B5B0F3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5" name="CaixaDeTexto 924">
          <a:extLst>
            <a:ext uri="{FF2B5EF4-FFF2-40B4-BE49-F238E27FC236}">
              <a16:creationId xmlns:a16="http://schemas.microsoft.com/office/drawing/2014/main" id="{76F60F67-4AD7-4329-854A-D8BCCDD6363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6" name="CaixaDeTexto 925">
          <a:extLst>
            <a:ext uri="{FF2B5EF4-FFF2-40B4-BE49-F238E27FC236}">
              <a16:creationId xmlns:a16="http://schemas.microsoft.com/office/drawing/2014/main" id="{C4082DF3-B191-406D-9FF2-B2C41932EB9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7" name="CaixaDeTexto 926">
          <a:extLst>
            <a:ext uri="{FF2B5EF4-FFF2-40B4-BE49-F238E27FC236}">
              <a16:creationId xmlns:a16="http://schemas.microsoft.com/office/drawing/2014/main" id="{5295FB04-9AC2-4306-BADF-4DB7DADB8F6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8" name="CaixaDeTexto 927">
          <a:extLst>
            <a:ext uri="{FF2B5EF4-FFF2-40B4-BE49-F238E27FC236}">
              <a16:creationId xmlns:a16="http://schemas.microsoft.com/office/drawing/2014/main" id="{3DC3A2C7-8882-4C15-AE9A-44963288FC9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29" name="CaixaDeTexto 928">
          <a:extLst>
            <a:ext uri="{FF2B5EF4-FFF2-40B4-BE49-F238E27FC236}">
              <a16:creationId xmlns:a16="http://schemas.microsoft.com/office/drawing/2014/main" id="{47670607-630A-4101-87DA-C7BB5C121D5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30" name="CaixaDeTexto 929">
          <a:extLst>
            <a:ext uri="{FF2B5EF4-FFF2-40B4-BE49-F238E27FC236}">
              <a16:creationId xmlns:a16="http://schemas.microsoft.com/office/drawing/2014/main" id="{ABDB28EE-0BEA-4402-9297-2D017941DA2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31" name="CaixaDeTexto 930">
          <a:extLst>
            <a:ext uri="{FF2B5EF4-FFF2-40B4-BE49-F238E27FC236}">
              <a16:creationId xmlns:a16="http://schemas.microsoft.com/office/drawing/2014/main" id="{1DF8C6BB-ECD2-4109-A937-4E574316779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32" name="CaixaDeTexto 931">
          <a:extLst>
            <a:ext uri="{FF2B5EF4-FFF2-40B4-BE49-F238E27FC236}">
              <a16:creationId xmlns:a16="http://schemas.microsoft.com/office/drawing/2014/main" id="{85AE78BD-831B-4089-9212-EDB9CC8CA77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32</xdr:row>
      <xdr:rowOff>0</xdr:rowOff>
    </xdr:from>
    <xdr:ext cx="184731" cy="264560"/>
    <xdr:sp macro="" textlink="">
      <xdr:nvSpPr>
        <xdr:cNvPr id="933" name="CaixaDeTexto 932">
          <a:extLst>
            <a:ext uri="{FF2B5EF4-FFF2-40B4-BE49-F238E27FC236}">
              <a16:creationId xmlns:a16="http://schemas.microsoft.com/office/drawing/2014/main" id="{C42662B1-6E17-4C1B-9CE2-2B8CFEE3203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34" name="CaixaDeTexto 933">
          <a:extLst>
            <a:ext uri="{FF2B5EF4-FFF2-40B4-BE49-F238E27FC236}">
              <a16:creationId xmlns:a16="http://schemas.microsoft.com/office/drawing/2014/main" id="{08F3B239-7741-401D-9629-D44906FA314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35" name="CaixaDeTexto 934">
          <a:extLst>
            <a:ext uri="{FF2B5EF4-FFF2-40B4-BE49-F238E27FC236}">
              <a16:creationId xmlns:a16="http://schemas.microsoft.com/office/drawing/2014/main" id="{348DCD04-C7A1-41AD-9AF8-649E9A589AE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36" name="CaixaDeTexto 935">
          <a:extLst>
            <a:ext uri="{FF2B5EF4-FFF2-40B4-BE49-F238E27FC236}">
              <a16:creationId xmlns:a16="http://schemas.microsoft.com/office/drawing/2014/main" id="{918DB651-B964-4685-9B8A-59AD4EDC7E0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37" name="CaixaDeTexto 936">
          <a:extLst>
            <a:ext uri="{FF2B5EF4-FFF2-40B4-BE49-F238E27FC236}">
              <a16:creationId xmlns:a16="http://schemas.microsoft.com/office/drawing/2014/main" id="{C1F1E0C1-07CC-4215-A92C-EED43DA4380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38" name="CaixaDeTexto 937">
          <a:extLst>
            <a:ext uri="{FF2B5EF4-FFF2-40B4-BE49-F238E27FC236}">
              <a16:creationId xmlns:a16="http://schemas.microsoft.com/office/drawing/2014/main" id="{DCC0BCEC-590C-4F7B-BDAE-654E10CAAC8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39" name="CaixaDeTexto 938">
          <a:extLst>
            <a:ext uri="{FF2B5EF4-FFF2-40B4-BE49-F238E27FC236}">
              <a16:creationId xmlns:a16="http://schemas.microsoft.com/office/drawing/2014/main" id="{71299126-E232-4418-B863-8DB3883F77D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0" name="CaixaDeTexto 939">
          <a:extLst>
            <a:ext uri="{FF2B5EF4-FFF2-40B4-BE49-F238E27FC236}">
              <a16:creationId xmlns:a16="http://schemas.microsoft.com/office/drawing/2014/main" id="{944D77FC-2CA1-4F18-8988-9C4672F6DD1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1" name="CaixaDeTexto 940">
          <a:extLst>
            <a:ext uri="{FF2B5EF4-FFF2-40B4-BE49-F238E27FC236}">
              <a16:creationId xmlns:a16="http://schemas.microsoft.com/office/drawing/2014/main" id="{88A0CCAA-249E-4A28-92EA-D22EC8839E4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2" name="CaixaDeTexto 941">
          <a:extLst>
            <a:ext uri="{FF2B5EF4-FFF2-40B4-BE49-F238E27FC236}">
              <a16:creationId xmlns:a16="http://schemas.microsoft.com/office/drawing/2014/main" id="{DFF34554-86D7-4445-A975-8B53C736490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3" name="CaixaDeTexto 942">
          <a:extLst>
            <a:ext uri="{FF2B5EF4-FFF2-40B4-BE49-F238E27FC236}">
              <a16:creationId xmlns:a16="http://schemas.microsoft.com/office/drawing/2014/main" id="{B82EFEA2-1E0C-489F-9FC2-16C1B47BAA1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4" name="CaixaDeTexto 943">
          <a:extLst>
            <a:ext uri="{FF2B5EF4-FFF2-40B4-BE49-F238E27FC236}">
              <a16:creationId xmlns:a16="http://schemas.microsoft.com/office/drawing/2014/main" id="{BBB0D413-5B0A-4AA1-A4EC-FE033EE416D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5" name="CaixaDeTexto 944">
          <a:extLst>
            <a:ext uri="{FF2B5EF4-FFF2-40B4-BE49-F238E27FC236}">
              <a16:creationId xmlns:a16="http://schemas.microsoft.com/office/drawing/2014/main" id="{5BBF11FF-448F-42B4-859D-1385F105307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6" name="CaixaDeTexto 945">
          <a:extLst>
            <a:ext uri="{FF2B5EF4-FFF2-40B4-BE49-F238E27FC236}">
              <a16:creationId xmlns:a16="http://schemas.microsoft.com/office/drawing/2014/main" id="{3EB9B71E-9C42-45C6-BEF1-0D9D16E8DC3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7" name="CaixaDeTexto 946">
          <a:extLst>
            <a:ext uri="{FF2B5EF4-FFF2-40B4-BE49-F238E27FC236}">
              <a16:creationId xmlns:a16="http://schemas.microsoft.com/office/drawing/2014/main" id="{7D48492D-3F3B-4F02-AA7D-0C2D2A5E27E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8" name="CaixaDeTexto 947">
          <a:extLst>
            <a:ext uri="{FF2B5EF4-FFF2-40B4-BE49-F238E27FC236}">
              <a16:creationId xmlns:a16="http://schemas.microsoft.com/office/drawing/2014/main" id="{433B1C7B-9A9F-4EDC-8BA3-6D484B0BCDF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49" name="CaixaDeTexto 948">
          <a:extLst>
            <a:ext uri="{FF2B5EF4-FFF2-40B4-BE49-F238E27FC236}">
              <a16:creationId xmlns:a16="http://schemas.microsoft.com/office/drawing/2014/main" id="{47EF10FC-17BA-4B5E-AD1C-BDEB5EF9B04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50" name="CaixaDeTexto 949">
          <a:extLst>
            <a:ext uri="{FF2B5EF4-FFF2-40B4-BE49-F238E27FC236}">
              <a16:creationId xmlns:a16="http://schemas.microsoft.com/office/drawing/2014/main" id="{99B35894-99CD-4F2C-8F02-6C49BF89D69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33</xdr:row>
      <xdr:rowOff>0</xdr:rowOff>
    </xdr:from>
    <xdr:ext cx="184731" cy="264560"/>
    <xdr:sp macro="" textlink="">
      <xdr:nvSpPr>
        <xdr:cNvPr id="951" name="CaixaDeTexto 950">
          <a:extLst>
            <a:ext uri="{FF2B5EF4-FFF2-40B4-BE49-F238E27FC236}">
              <a16:creationId xmlns:a16="http://schemas.microsoft.com/office/drawing/2014/main" id="{E6D4E788-6B62-4DF7-86FD-6D93E391E78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52" name="CaixaDeTexto 951">
          <a:extLst>
            <a:ext uri="{FF2B5EF4-FFF2-40B4-BE49-F238E27FC236}">
              <a16:creationId xmlns:a16="http://schemas.microsoft.com/office/drawing/2014/main" id="{A1D50B51-961E-4902-9549-1AC8CAAF894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53" name="CaixaDeTexto 952">
          <a:extLst>
            <a:ext uri="{FF2B5EF4-FFF2-40B4-BE49-F238E27FC236}">
              <a16:creationId xmlns:a16="http://schemas.microsoft.com/office/drawing/2014/main" id="{4CD36E17-36D3-41CD-BB5D-1519094755E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54" name="CaixaDeTexto 953">
          <a:extLst>
            <a:ext uri="{FF2B5EF4-FFF2-40B4-BE49-F238E27FC236}">
              <a16:creationId xmlns:a16="http://schemas.microsoft.com/office/drawing/2014/main" id="{7AB81DA0-B7AB-46B8-918B-C273991C13A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55" name="CaixaDeTexto 954">
          <a:extLst>
            <a:ext uri="{FF2B5EF4-FFF2-40B4-BE49-F238E27FC236}">
              <a16:creationId xmlns:a16="http://schemas.microsoft.com/office/drawing/2014/main" id="{C03C190A-7392-42E4-B75A-B0C1B79C58E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56" name="CaixaDeTexto 955">
          <a:extLst>
            <a:ext uri="{FF2B5EF4-FFF2-40B4-BE49-F238E27FC236}">
              <a16:creationId xmlns:a16="http://schemas.microsoft.com/office/drawing/2014/main" id="{F84D2AF2-2248-47AE-A4E6-FA8D42D6144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57" name="CaixaDeTexto 956">
          <a:extLst>
            <a:ext uri="{FF2B5EF4-FFF2-40B4-BE49-F238E27FC236}">
              <a16:creationId xmlns:a16="http://schemas.microsoft.com/office/drawing/2014/main" id="{E72E8BD3-2DB6-40A3-9E76-F1AEE4F56C4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58" name="CaixaDeTexto 957">
          <a:extLst>
            <a:ext uri="{FF2B5EF4-FFF2-40B4-BE49-F238E27FC236}">
              <a16:creationId xmlns:a16="http://schemas.microsoft.com/office/drawing/2014/main" id="{76E708B6-C708-4617-91F1-2A41CFDB142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59" name="CaixaDeTexto 958">
          <a:extLst>
            <a:ext uri="{FF2B5EF4-FFF2-40B4-BE49-F238E27FC236}">
              <a16:creationId xmlns:a16="http://schemas.microsoft.com/office/drawing/2014/main" id="{F475EFF2-2113-43CA-AAEA-FF46903CBCF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0" name="CaixaDeTexto 959">
          <a:extLst>
            <a:ext uri="{FF2B5EF4-FFF2-40B4-BE49-F238E27FC236}">
              <a16:creationId xmlns:a16="http://schemas.microsoft.com/office/drawing/2014/main" id="{6AB2C547-1487-4D50-B3B2-72A09698258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1" name="CaixaDeTexto 960">
          <a:extLst>
            <a:ext uri="{FF2B5EF4-FFF2-40B4-BE49-F238E27FC236}">
              <a16:creationId xmlns:a16="http://schemas.microsoft.com/office/drawing/2014/main" id="{F2469673-F42B-4A23-AA01-364C4475440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2" name="CaixaDeTexto 961">
          <a:extLst>
            <a:ext uri="{FF2B5EF4-FFF2-40B4-BE49-F238E27FC236}">
              <a16:creationId xmlns:a16="http://schemas.microsoft.com/office/drawing/2014/main" id="{6F8EB6FD-7E1F-4207-A12E-E6F39CA2E59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3" name="CaixaDeTexto 962">
          <a:extLst>
            <a:ext uri="{FF2B5EF4-FFF2-40B4-BE49-F238E27FC236}">
              <a16:creationId xmlns:a16="http://schemas.microsoft.com/office/drawing/2014/main" id="{6FF9936A-EBA6-45E5-B900-F47D6B5CDC5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4" name="CaixaDeTexto 963">
          <a:extLst>
            <a:ext uri="{FF2B5EF4-FFF2-40B4-BE49-F238E27FC236}">
              <a16:creationId xmlns:a16="http://schemas.microsoft.com/office/drawing/2014/main" id="{7A3885BA-4BF2-42E0-945A-A62D26A3CF6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5" name="CaixaDeTexto 964">
          <a:extLst>
            <a:ext uri="{FF2B5EF4-FFF2-40B4-BE49-F238E27FC236}">
              <a16:creationId xmlns:a16="http://schemas.microsoft.com/office/drawing/2014/main" id="{8683A78B-004E-48A2-A35A-3EF5D844FC1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6" name="CaixaDeTexto 965">
          <a:extLst>
            <a:ext uri="{FF2B5EF4-FFF2-40B4-BE49-F238E27FC236}">
              <a16:creationId xmlns:a16="http://schemas.microsoft.com/office/drawing/2014/main" id="{34A9265E-B17F-498C-AFC5-B6B916EABC9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7" name="CaixaDeTexto 966">
          <a:extLst>
            <a:ext uri="{FF2B5EF4-FFF2-40B4-BE49-F238E27FC236}">
              <a16:creationId xmlns:a16="http://schemas.microsoft.com/office/drawing/2014/main" id="{1FAA9C7D-BC38-4C32-A8C1-EB419065601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8" name="CaixaDeTexto 967">
          <a:extLst>
            <a:ext uri="{FF2B5EF4-FFF2-40B4-BE49-F238E27FC236}">
              <a16:creationId xmlns:a16="http://schemas.microsoft.com/office/drawing/2014/main" id="{DFD4E4E4-C379-431E-BC9C-6C142A7D7E9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34</xdr:row>
      <xdr:rowOff>0</xdr:rowOff>
    </xdr:from>
    <xdr:ext cx="184731" cy="264560"/>
    <xdr:sp macro="" textlink="">
      <xdr:nvSpPr>
        <xdr:cNvPr id="969" name="CaixaDeTexto 968">
          <a:extLst>
            <a:ext uri="{FF2B5EF4-FFF2-40B4-BE49-F238E27FC236}">
              <a16:creationId xmlns:a16="http://schemas.microsoft.com/office/drawing/2014/main" id="{BB28C700-1E3B-4B22-8128-FDCB02791AA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70" name="CaixaDeTexto 969">
          <a:extLst>
            <a:ext uri="{FF2B5EF4-FFF2-40B4-BE49-F238E27FC236}">
              <a16:creationId xmlns:a16="http://schemas.microsoft.com/office/drawing/2014/main" id="{21AFB5E4-DDD2-441B-83A1-E8D3FE2F804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71" name="CaixaDeTexto 970">
          <a:extLst>
            <a:ext uri="{FF2B5EF4-FFF2-40B4-BE49-F238E27FC236}">
              <a16:creationId xmlns:a16="http://schemas.microsoft.com/office/drawing/2014/main" id="{CAB98E73-D201-4C07-9672-79265D92C55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72" name="CaixaDeTexto 971">
          <a:extLst>
            <a:ext uri="{FF2B5EF4-FFF2-40B4-BE49-F238E27FC236}">
              <a16:creationId xmlns:a16="http://schemas.microsoft.com/office/drawing/2014/main" id="{C3B89545-E03D-4DE3-82A9-FDBB8C05F14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73" name="CaixaDeTexto 972">
          <a:extLst>
            <a:ext uri="{FF2B5EF4-FFF2-40B4-BE49-F238E27FC236}">
              <a16:creationId xmlns:a16="http://schemas.microsoft.com/office/drawing/2014/main" id="{5100AB55-0119-4B45-B128-8EB7EF3C04B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74" name="CaixaDeTexto 973">
          <a:extLst>
            <a:ext uri="{FF2B5EF4-FFF2-40B4-BE49-F238E27FC236}">
              <a16:creationId xmlns:a16="http://schemas.microsoft.com/office/drawing/2014/main" id="{E8E23E92-FC82-452F-8F97-00421AC82FC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75" name="CaixaDeTexto 974">
          <a:extLst>
            <a:ext uri="{FF2B5EF4-FFF2-40B4-BE49-F238E27FC236}">
              <a16:creationId xmlns:a16="http://schemas.microsoft.com/office/drawing/2014/main" id="{9F4388D6-4306-4351-AFC5-8C70A4194F7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76" name="CaixaDeTexto 975">
          <a:extLst>
            <a:ext uri="{FF2B5EF4-FFF2-40B4-BE49-F238E27FC236}">
              <a16:creationId xmlns:a16="http://schemas.microsoft.com/office/drawing/2014/main" id="{0B4B0E33-CC6F-4819-9E4E-3753490A0C2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77" name="CaixaDeTexto 976">
          <a:extLst>
            <a:ext uri="{FF2B5EF4-FFF2-40B4-BE49-F238E27FC236}">
              <a16:creationId xmlns:a16="http://schemas.microsoft.com/office/drawing/2014/main" id="{10D682D8-A3CC-41C6-8489-5C3511F9415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78" name="CaixaDeTexto 977">
          <a:extLst>
            <a:ext uri="{FF2B5EF4-FFF2-40B4-BE49-F238E27FC236}">
              <a16:creationId xmlns:a16="http://schemas.microsoft.com/office/drawing/2014/main" id="{FEECDB43-8A3A-4CD8-B4E9-3C32DF2357B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79" name="CaixaDeTexto 978">
          <a:extLst>
            <a:ext uri="{FF2B5EF4-FFF2-40B4-BE49-F238E27FC236}">
              <a16:creationId xmlns:a16="http://schemas.microsoft.com/office/drawing/2014/main" id="{732CA2BE-070C-484C-A130-5E4B796C914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0" name="CaixaDeTexto 979">
          <a:extLst>
            <a:ext uri="{FF2B5EF4-FFF2-40B4-BE49-F238E27FC236}">
              <a16:creationId xmlns:a16="http://schemas.microsoft.com/office/drawing/2014/main" id="{CA6AF315-5B26-44C9-8E2B-DF111B72018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1" name="CaixaDeTexto 980">
          <a:extLst>
            <a:ext uri="{FF2B5EF4-FFF2-40B4-BE49-F238E27FC236}">
              <a16:creationId xmlns:a16="http://schemas.microsoft.com/office/drawing/2014/main" id="{486F9193-2A05-465E-8235-6E0AC895622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2" name="CaixaDeTexto 981">
          <a:extLst>
            <a:ext uri="{FF2B5EF4-FFF2-40B4-BE49-F238E27FC236}">
              <a16:creationId xmlns:a16="http://schemas.microsoft.com/office/drawing/2014/main" id="{D149FE0D-FBEF-4BDC-9599-E6C8F94CEFE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3" name="CaixaDeTexto 982">
          <a:extLst>
            <a:ext uri="{FF2B5EF4-FFF2-40B4-BE49-F238E27FC236}">
              <a16:creationId xmlns:a16="http://schemas.microsoft.com/office/drawing/2014/main" id="{FA7FCDF3-2FC5-448A-8506-9F233FAD43B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4" name="CaixaDeTexto 983">
          <a:extLst>
            <a:ext uri="{FF2B5EF4-FFF2-40B4-BE49-F238E27FC236}">
              <a16:creationId xmlns:a16="http://schemas.microsoft.com/office/drawing/2014/main" id="{ED10E4A5-1EC2-4AAE-994B-82F60280487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5" name="CaixaDeTexto 984">
          <a:extLst>
            <a:ext uri="{FF2B5EF4-FFF2-40B4-BE49-F238E27FC236}">
              <a16:creationId xmlns:a16="http://schemas.microsoft.com/office/drawing/2014/main" id="{3F25348C-B42F-4DA2-8D69-B3C3E728451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6" name="CaixaDeTexto 985">
          <a:extLst>
            <a:ext uri="{FF2B5EF4-FFF2-40B4-BE49-F238E27FC236}">
              <a16:creationId xmlns:a16="http://schemas.microsoft.com/office/drawing/2014/main" id="{3F8AC8AC-9DA9-452C-960A-F63D024EEA3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35</xdr:row>
      <xdr:rowOff>0</xdr:rowOff>
    </xdr:from>
    <xdr:ext cx="184731" cy="264560"/>
    <xdr:sp macro="" textlink="">
      <xdr:nvSpPr>
        <xdr:cNvPr id="987" name="CaixaDeTexto 986">
          <a:extLst>
            <a:ext uri="{FF2B5EF4-FFF2-40B4-BE49-F238E27FC236}">
              <a16:creationId xmlns:a16="http://schemas.microsoft.com/office/drawing/2014/main" id="{DD02CDBE-0944-44A0-94C8-FEA646487B2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88" name="CaixaDeTexto 987">
          <a:extLst>
            <a:ext uri="{FF2B5EF4-FFF2-40B4-BE49-F238E27FC236}">
              <a16:creationId xmlns:a16="http://schemas.microsoft.com/office/drawing/2014/main" id="{2EACC25D-8C66-4855-BF59-F29C091D955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89" name="CaixaDeTexto 988">
          <a:extLst>
            <a:ext uri="{FF2B5EF4-FFF2-40B4-BE49-F238E27FC236}">
              <a16:creationId xmlns:a16="http://schemas.microsoft.com/office/drawing/2014/main" id="{26E19768-A0C4-4D4C-B649-036019DB3F3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990" name="CaixaDeTexto 989">
          <a:extLst>
            <a:ext uri="{FF2B5EF4-FFF2-40B4-BE49-F238E27FC236}">
              <a16:creationId xmlns:a16="http://schemas.microsoft.com/office/drawing/2014/main" id="{0D0C341E-D86C-4C63-BC5E-A11BA309268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991" name="CaixaDeTexto 990">
          <a:extLst>
            <a:ext uri="{FF2B5EF4-FFF2-40B4-BE49-F238E27FC236}">
              <a16:creationId xmlns:a16="http://schemas.microsoft.com/office/drawing/2014/main" id="{A67EE143-8C1A-45A3-B42C-01342CBCF27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992" name="CaixaDeTexto 991">
          <a:extLst>
            <a:ext uri="{FF2B5EF4-FFF2-40B4-BE49-F238E27FC236}">
              <a16:creationId xmlns:a16="http://schemas.microsoft.com/office/drawing/2014/main" id="{E516238E-07A9-4445-AFD5-CCA46124BF6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993" name="CaixaDeTexto 992">
          <a:extLst>
            <a:ext uri="{FF2B5EF4-FFF2-40B4-BE49-F238E27FC236}">
              <a16:creationId xmlns:a16="http://schemas.microsoft.com/office/drawing/2014/main" id="{E79A0187-59C3-49CD-BE44-67448BADD4A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94" name="CaixaDeTexto 993">
          <a:extLst>
            <a:ext uri="{FF2B5EF4-FFF2-40B4-BE49-F238E27FC236}">
              <a16:creationId xmlns:a16="http://schemas.microsoft.com/office/drawing/2014/main" id="{323DFD27-00A1-44E4-AD72-774D0E63262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95" name="CaixaDeTexto 994">
          <a:extLst>
            <a:ext uri="{FF2B5EF4-FFF2-40B4-BE49-F238E27FC236}">
              <a16:creationId xmlns:a16="http://schemas.microsoft.com/office/drawing/2014/main" id="{2279FBD4-0BB1-4457-9AB7-1C9A502C355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96" name="CaixaDeTexto 995">
          <a:extLst>
            <a:ext uri="{FF2B5EF4-FFF2-40B4-BE49-F238E27FC236}">
              <a16:creationId xmlns:a16="http://schemas.microsoft.com/office/drawing/2014/main" id="{1A18E108-F190-48E0-9121-E5B924A0250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97" name="CaixaDeTexto 996">
          <a:extLst>
            <a:ext uri="{FF2B5EF4-FFF2-40B4-BE49-F238E27FC236}">
              <a16:creationId xmlns:a16="http://schemas.microsoft.com/office/drawing/2014/main" id="{C7CE829C-3ABE-469C-A06C-4BC9C14C0BB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98" name="CaixaDeTexto 997">
          <a:extLst>
            <a:ext uri="{FF2B5EF4-FFF2-40B4-BE49-F238E27FC236}">
              <a16:creationId xmlns:a16="http://schemas.microsoft.com/office/drawing/2014/main" id="{168D89DE-F99B-485E-840A-DF1A1FCB3A8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999" name="CaixaDeTexto 998">
          <a:extLst>
            <a:ext uri="{FF2B5EF4-FFF2-40B4-BE49-F238E27FC236}">
              <a16:creationId xmlns:a16="http://schemas.microsoft.com/office/drawing/2014/main" id="{8B207B0E-1557-4CD3-8131-DE78B22E689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1000" name="CaixaDeTexto 999">
          <a:extLst>
            <a:ext uri="{FF2B5EF4-FFF2-40B4-BE49-F238E27FC236}">
              <a16:creationId xmlns:a16="http://schemas.microsoft.com/office/drawing/2014/main" id="{863CF87E-FDC5-43FE-AE25-33A41E7A7BD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1001" name="CaixaDeTexto 1000">
          <a:extLst>
            <a:ext uri="{FF2B5EF4-FFF2-40B4-BE49-F238E27FC236}">
              <a16:creationId xmlns:a16="http://schemas.microsoft.com/office/drawing/2014/main" id="{604FEE88-BE80-4F4F-9EB3-691C974C430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1002" name="CaixaDeTexto 1001">
          <a:extLst>
            <a:ext uri="{FF2B5EF4-FFF2-40B4-BE49-F238E27FC236}">
              <a16:creationId xmlns:a16="http://schemas.microsoft.com/office/drawing/2014/main" id="{95ED4937-47F9-4490-9ACB-9BF68D1A094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1003" name="CaixaDeTexto 1002">
          <a:extLst>
            <a:ext uri="{FF2B5EF4-FFF2-40B4-BE49-F238E27FC236}">
              <a16:creationId xmlns:a16="http://schemas.microsoft.com/office/drawing/2014/main" id="{8749717E-6A2C-4AA9-83CC-53810FF601C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1004" name="CaixaDeTexto 1003">
          <a:extLst>
            <a:ext uri="{FF2B5EF4-FFF2-40B4-BE49-F238E27FC236}">
              <a16:creationId xmlns:a16="http://schemas.microsoft.com/office/drawing/2014/main" id="{2B1CC90B-2819-4A0A-B1F4-CF0A4276BAF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36</xdr:row>
      <xdr:rowOff>0</xdr:rowOff>
    </xdr:from>
    <xdr:ext cx="184731" cy="264560"/>
    <xdr:sp macro="" textlink="">
      <xdr:nvSpPr>
        <xdr:cNvPr id="1005" name="CaixaDeTexto 1004">
          <a:extLst>
            <a:ext uri="{FF2B5EF4-FFF2-40B4-BE49-F238E27FC236}">
              <a16:creationId xmlns:a16="http://schemas.microsoft.com/office/drawing/2014/main" id="{E4F4F163-3165-45BF-9CB1-4AABF16F9DE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06" name="CaixaDeTexto 1005">
          <a:extLst>
            <a:ext uri="{FF2B5EF4-FFF2-40B4-BE49-F238E27FC236}">
              <a16:creationId xmlns:a16="http://schemas.microsoft.com/office/drawing/2014/main" id="{EDD173E8-B5AC-43CE-A806-EF58DD7957D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07" name="CaixaDeTexto 1006">
          <a:extLst>
            <a:ext uri="{FF2B5EF4-FFF2-40B4-BE49-F238E27FC236}">
              <a16:creationId xmlns:a16="http://schemas.microsoft.com/office/drawing/2014/main" id="{87B2AB77-381E-4EFC-87C9-DEE755677D0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08" name="CaixaDeTexto 1007">
          <a:extLst>
            <a:ext uri="{FF2B5EF4-FFF2-40B4-BE49-F238E27FC236}">
              <a16:creationId xmlns:a16="http://schemas.microsoft.com/office/drawing/2014/main" id="{C4F92335-BA81-4E55-8BC6-F4BC960138A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09" name="CaixaDeTexto 1008">
          <a:extLst>
            <a:ext uri="{FF2B5EF4-FFF2-40B4-BE49-F238E27FC236}">
              <a16:creationId xmlns:a16="http://schemas.microsoft.com/office/drawing/2014/main" id="{099E9929-ACB5-4B3F-B687-6C0B70083E4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10" name="CaixaDeTexto 1009">
          <a:extLst>
            <a:ext uri="{FF2B5EF4-FFF2-40B4-BE49-F238E27FC236}">
              <a16:creationId xmlns:a16="http://schemas.microsoft.com/office/drawing/2014/main" id="{E0F1C546-534F-4EAB-92D8-3C058F2C98A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11" name="CaixaDeTexto 1010">
          <a:extLst>
            <a:ext uri="{FF2B5EF4-FFF2-40B4-BE49-F238E27FC236}">
              <a16:creationId xmlns:a16="http://schemas.microsoft.com/office/drawing/2014/main" id="{A765EE24-6023-48EE-84FC-129E101DA7D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2" name="CaixaDeTexto 1011">
          <a:extLst>
            <a:ext uri="{FF2B5EF4-FFF2-40B4-BE49-F238E27FC236}">
              <a16:creationId xmlns:a16="http://schemas.microsoft.com/office/drawing/2014/main" id="{30FA144D-678F-40C8-9E95-A8513F5FF8F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3" name="CaixaDeTexto 1012">
          <a:extLst>
            <a:ext uri="{FF2B5EF4-FFF2-40B4-BE49-F238E27FC236}">
              <a16:creationId xmlns:a16="http://schemas.microsoft.com/office/drawing/2014/main" id="{5633BAA7-EBAF-4902-BD4C-8270B44EDBD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4" name="CaixaDeTexto 1013">
          <a:extLst>
            <a:ext uri="{FF2B5EF4-FFF2-40B4-BE49-F238E27FC236}">
              <a16:creationId xmlns:a16="http://schemas.microsoft.com/office/drawing/2014/main" id="{58939355-C517-44C5-8020-4BAA5308967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5" name="CaixaDeTexto 1014">
          <a:extLst>
            <a:ext uri="{FF2B5EF4-FFF2-40B4-BE49-F238E27FC236}">
              <a16:creationId xmlns:a16="http://schemas.microsoft.com/office/drawing/2014/main" id="{0366A830-D9F8-4BB3-A1BA-6D5B77DC719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6" name="CaixaDeTexto 1015">
          <a:extLst>
            <a:ext uri="{FF2B5EF4-FFF2-40B4-BE49-F238E27FC236}">
              <a16:creationId xmlns:a16="http://schemas.microsoft.com/office/drawing/2014/main" id="{FF86B89A-E5E3-4B67-8589-290464EA6D4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7" name="CaixaDeTexto 1016">
          <a:extLst>
            <a:ext uri="{FF2B5EF4-FFF2-40B4-BE49-F238E27FC236}">
              <a16:creationId xmlns:a16="http://schemas.microsoft.com/office/drawing/2014/main" id="{54C29AEA-9466-4DB0-A0B7-E23083C8251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8" name="CaixaDeTexto 1017">
          <a:extLst>
            <a:ext uri="{FF2B5EF4-FFF2-40B4-BE49-F238E27FC236}">
              <a16:creationId xmlns:a16="http://schemas.microsoft.com/office/drawing/2014/main" id="{1E0DBD95-DF04-4884-AE84-18BC97C58BD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19" name="CaixaDeTexto 1018">
          <a:extLst>
            <a:ext uri="{FF2B5EF4-FFF2-40B4-BE49-F238E27FC236}">
              <a16:creationId xmlns:a16="http://schemas.microsoft.com/office/drawing/2014/main" id="{FAA6761B-BEE2-4751-BF7B-7ECD90AE459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20" name="CaixaDeTexto 1019">
          <a:extLst>
            <a:ext uri="{FF2B5EF4-FFF2-40B4-BE49-F238E27FC236}">
              <a16:creationId xmlns:a16="http://schemas.microsoft.com/office/drawing/2014/main" id="{599AADE8-E2B3-4D7C-9CB2-31A287015F3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21" name="CaixaDeTexto 1020">
          <a:extLst>
            <a:ext uri="{FF2B5EF4-FFF2-40B4-BE49-F238E27FC236}">
              <a16:creationId xmlns:a16="http://schemas.microsoft.com/office/drawing/2014/main" id="{9EA964DA-B111-486F-9960-0EA8DF0245D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22" name="CaixaDeTexto 1021">
          <a:extLst>
            <a:ext uri="{FF2B5EF4-FFF2-40B4-BE49-F238E27FC236}">
              <a16:creationId xmlns:a16="http://schemas.microsoft.com/office/drawing/2014/main" id="{AE890C5E-22B2-4539-A0C3-458B204E2D8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37</xdr:row>
      <xdr:rowOff>0</xdr:rowOff>
    </xdr:from>
    <xdr:ext cx="184731" cy="264560"/>
    <xdr:sp macro="" textlink="">
      <xdr:nvSpPr>
        <xdr:cNvPr id="1023" name="CaixaDeTexto 1022">
          <a:extLst>
            <a:ext uri="{FF2B5EF4-FFF2-40B4-BE49-F238E27FC236}">
              <a16:creationId xmlns:a16="http://schemas.microsoft.com/office/drawing/2014/main" id="{95A74F23-72F7-4C68-AD62-4C3E17C34E6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24" name="CaixaDeTexto 1023">
          <a:extLst>
            <a:ext uri="{FF2B5EF4-FFF2-40B4-BE49-F238E27FC236}">
              <a16:creationId xmlns:a16="http://schemas.microsoft.com/office/drawing/2014/main" id="{7B26FA3F-550F-4E66-A3C2-78AE4D0572F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25" name="CaixaDeTexto 1024">
          <a:extLst>
            <a:ext uri="{FF2B5EF4-FFF2-40B4-BE49-F238E27FC236}">
              <a16:creationId xmlns:a16="http://schemas.microsoft.com/office/drawing/2014/main" id="{3A5E3169-31C3-424A-AFB4-B5740C4AB17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26" name="CaixaDeTexto 1025">
          <a:extLst>
            <a:ext uri="{FF2B5EF4-FFF2-40B4-BE49-F238E27FC236}">
              <a16:creationId xmlns:a16="http://schemas.microsoft.com/office/drawing/2014/main" id="{90810F27-25B5-46CF-940A-915DB0E1B892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27" name="CaixaDeTexto 1026">
          <a:extLst>
            <a:ext uri="{FF2B5EF4-FFF2-40B4-BE49-F238E27FC236}">
              <a16:creationId xmlns:a16="http://schemas.microsoft.com/office/drawing/2014/main" id="{70BF1928-ED86-4D3E-8866-309B9BB7B33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28" name="CaixaDeTexto 1027">
          <a:extLst>
            <a:ext uri="{FF2B5EF4-FFF2-40B4-BE49-F238E27FC236}">
              <a16:creationId xmlns:a16="http://schemas.microsoft.com/office/drawing/2014/main" id="{90B989A1-28AE-46DE-9AB8-9126028FFB2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29" name="CaixaDeTexto 1028">
          <a:extLst>
            <a:ext uri="{FF2B5EF4-FFF2-40B4-BE49-F238E27FC236}">
              <a16:creationId xmlns:a16="http://schemas.microsoft.com/office/drawing/2014/main" id="{D425293B-95DE-44D3-8917-2C86E24D0A6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0" name="CaixaDeTexto 1029">
          <a:extLst>
            <a:ext uri="{FF2B5EF4-FFF2-40B4-BE49-F238E27FC236}">
              <a16:creationId xmlns:a16="http://schemas.microsoft.com/office/drawing/2014/main" id="{7D71EBAE-F630-4750-B85B-8CA3312371C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1" name="CaixaDeTexto 1030">
          <a:extLst>
            <a:ext uri="{FF2B5EF4-FFF2-40B4-BE49-F238E27FC236}">
              <a16:creationId xmlns:a16="http://schemas.microsoft.com/office/drawing/2014/main" id="{878F94EE-84D6-41BE-AC9D-82AF2D50BD9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2" name="CaixaDeTexto 1031">
          <a:extLst>
            <a:ext uri="{FF2B5EF4-FFF2-40B4-BE49-F238E27FC236}">
              <a16:creationId xmlns:a16="http://schemas.microsoft.com/office/drawing/2014/main" id="{3898530E-97E5-4426-9B9C-9B8FB3D1BB8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3" name="CaixaDeTexto 1032">
          <a:extLst>
            <a:ext uri="{FF2B5EF4-FFF2-40B4-BE49-F238E27FC236}">
              <a16:creationId xmlns:a16="http://schemas.microsoft.com/office/drawing/2014/main" id="{2112CF4C-9B5B-466F-80B6-9698DA1ABB2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4" name="CaixaDeTexto 1033">
          <a:extLst>
            <a:ext uri="{FF2B5EF4-FFF2-40B4-BE49-F238E27FC236}">
              <a16:creationId xmlns:a16="http://schemas.microsoft.com/office/drawing/2014/main" id="{65F95D6D-1098-4C1F-8501-4BAAFCA8115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5" name="CaixaDeTexto 1034">
          <a:extLst>
            <a:ext uri="{FF2B5EF4-FFF2-40B4-BE49-F238E27FC236}">
              <a16:creationId xmlns:a16="http://schemas.microsoft.com/office/drawing/2014/main" id="{15FF802F-2444-4ECD-8B64-59D9790E767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6" name="CaixaDeTexto 1035">
          <a:extLst>
            <a:ext uri="{FF2B5EF4-FFF2-40B4-BE49-F238E27FC236}">
              <a16:creationId xmlns:a16="http://schemas.microsoft.com/office/drawing/2014/main" id="{7DB377FF-622D-4B14-888F-1015E32EC89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7" name="CaixaDeTexto 1036">
          <a:extLst>
            <a:ext uri="{FF2B5EF4-FFF2-40B4-BE49-F238E27FC236}">
              <a16:creationId xmlns:a16="http://schemas.microsoft.com/office/drawing/2014/main" id="{DA28F16F-2BF7-4D1A-9C42-2E4C691CA5C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8" name="CaixaDeTexto 1037">
          <a:extLst>
            <a:ext uri="{FF2B5EF4-FFF2-40B4-BE49-F238E27FC236}">
              <a16:creationId xmlns:a16="http://schemas.microsoft.com/office/drawing/2014/main" id="{258B1C48-CED9-43CF-AED3-D442097D8E4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39" name="CaixaDeTexto 1038">
          <a:extLst>
            <a:ext uri="{FF2B5EF4-FFF2-40B4-BE49-F238E27FC236}">
              <a16:creationId xmlns:a16="http://schemas.microsoft.com/office/drawing/2014/main" id="{7C979198-E9CE-4BD7-8B5E-9509A099152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40" name="CaixaDeTexto 1039">
          <a:extLst>
            <a:ext uri="{FF2B5EF4-FFF2-40B4-BE49-F238E27FC236}">
              <a16:creationId xmlns:a16="http://schemas.microsoft.com/office/drawing/2014/main" id="{D1DF197D-F014-4888-9B8A-A10B5434827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38</xdr:row>
      <xdr:rowOff>0</xdr:rowOff>
    </xdr:from>
    <xdr:ext cx="184731" cy="264560"/>
    <xdr:sp macro="" textlink="">
      <xdr:nvSpPr>
        <xdr:cNvPr id="1041" name="CaixaDeTexto 1040">
          <a:extLst>
            <a:ext uri="{FF2B5EF4-FFF2-40B4-BE49-F238E27FC236}">
              <a16:creationId xmlns:a16="http://schemas.microsoft.com/office/drawing/2014/main" id="{DC0D2A0E-B57D-4D4C-BB3A-71D931A1E52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42" name="CaixaDeTexto 1041">
          <a:extLst>
            <a:ext uri="{FF2B5EF4-FFF2-40B4-BE49-F238E27FC236}">
              <a16:creationId xmlns:a16="http://schemas.microsoft.com/office/drawing/2014/main" id="{E0ADBE58-0C1E-4788-A23F-7E1BD5E4B78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43" name="CaixaDeTexto 1042">
          <a:extLst>
            <a:ext uri="{FF2B5EF4-FFF2-40B4-BE49-F238E27FC236}">
              <a16:creationId xmlns:a16="http://schemas.microsoft.com/office/drawing/2014/main" id="{DBAE0825-7B25-4020-B7A2-9092CF4A830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44" name="CaixaDeTexto 1043">
          <a:extLst>
            <a:ext uri="{FF2B5EF4-FFF2-40B4-BE49-F238E27FC236}">
              <a16:creationId xmlns:a16="http://schemas.microsoft.com/office/drawing/2014/main" id="{7D8A0248-5704-415A-A255-02207B2A971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45" name="CaixaDeTexto 1044">
          <a:extLst>
            <a:ext uri="{FF2B5EF4-FFF2-40B4-BE49-F238E27FC236}">
              <a16:creationId xmlns:a16="http://schemas.microsoft.com/office/drawing/2014/main" id="{58F62203-1486-4E8D-9A9F-E8A22BF9607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46" name="CaixaDeTexto 1045">
          <a:extLst>
            <a:ext uri="{FF2B5EF4-FFF2-40B4-BE49-F238E27FC236}">
              <a16:creationId xmlns:a16="http://schemas.microsoft.com/office/drawing/2014/main" id="{49BC372B-BF1A-4BDD-94AF-94E941F70D9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47" name="CaixaDeTexto 1046">
          <a:extLst>
            <a:ext uri="{FF2B5EF4-FFF2-40B4-BE49-F238E27FC236}">
              <a16:creationId xmlns:a16="http://schemas.microsoft.com/office/drawing/2014/main" id="{748AFB1B-A6CE-406B-9655-BB18DC619FF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48" name="CaixaDeTexto 1047">
          <a:extLst>
            <a:ext uri="{FF2B5EF4-FFF2-40B4-BE49-F238E27FC236}">
              <a16:creationId xmlns:a16="http://schemas.microsoft.com/office/drawing/2014/main" id="{E2908979-B8AE-49FD-B91D-2D1766439D1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49" name="CaixaDeTexto 1048">
          <a:extLst>
            <a:ext uri="{FF2B5EF4-FFF2-40B4-BE49-F238E27FC236}">
              <a16:creationId xmlns:a16="http://schemas.microsoft.com/office/drawing/2014/main" id="{BCAA5BD5-AA7F-48D3-AAB2-DCA40707EF8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0" name="CaixaDeTexto 1049">
          <a:extLst>
            <a:ext uri="{FF2B5EF4-FFF2-40B4-BE49-F238E27FC236}">
              <a16:creationId xmlns:a16="http://schemas.microsoft.com/office/drawing/2014/main" id="{826BCF34-3316-485A-9C94-A10607CDE1F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1" name="CaixaDeTexto 1050">
          <a:extLst>
            <a:ext uri="{FF2B5EF4-FFF2-40B4-BE49-F238E27FC236}">
              <a16:creationId xmlns:a16="http://schemas.microsoft.com/office/drawing/2014/main" id="{FFB8A1AF-7F95-451A-BBFF-202BA38137B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2" name="CaixaDeTexto 1051">
          <a:extLst>
            <a:ext uri="{FF2B5EF4-FFF2-40B4-BE49-F238E27FC236}">
              <a16:creationId xmlns:a16="http://schemas.microsoft.com/office/drawing/2014/main" id="{5558086D-91F6-4337-B082-393C5FD2714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3" name="CaixaDeTexto 1052">
          <a:extLst>
            <a:ext uri="{FF2B5EF4-FFF2-40B4-BE49-F238E27FC236}">
              <a16:creationId xmlns:a16="http://schemas.microsoft.com/office/drawing/2014/main" id="{DFC25456-2EC1-441B-B1BC-EA42C5763CA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4" name="CaixaDeTexto 1053">
          <a:extLst>
            <a:ext uri="{FF2B5EF4-FFF2-40B4-BE49-F238E27FC236}">
              <a16:creationId xmlns:a16="http://schemas.microsoft.com/office/drawing/2014/main" id="{F3766C78-9398-4C82-BEF1-62800D09842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5" name="CaixaDeTexto 1054">
          <a:extLst>
            <a:ext uri="{FF2B5EF4-FFF2-40B4-BE49-F238E27FC236}">
              <a16:creationId xmlns:a16="http://schemas.microsoft.com/office/drawing/2014/main" id="{99C5948E-6229-495C-BD08-3C653034513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6" name="CaixaDeTexto 1055">
          <a:extLst>
            <a:ext uri="{FF2B5EF4-FFF2-40B4-BE49-F238E27FC236}">
              <a16:creationId xmlns:a16="http://schemas.microsoft.com/office/drawing/2014/main" id="{9EF24451-862B-4886-A76A-3505FA713B8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7" name="CaixaDeTexto 1056">
          <a:extLst>
            <a:ext uri="{FF2B5EF4-FFF2-40B4-BE49-F238E27FC236}">
              <a16:creationId xmlns:a16="http://schemas.microsoft.com/office/drawing/2014/main" id="{803D0D81-7E4A-4292-A475-661F0C9A327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8" name="CaixaDeTexto 1057">
          <a:extLst>
            <a:ext uri="{FF2B5EF4-FFF2-40B4-BE49-F238E27FC236}">
              <a16:creationId xmlns:a16="http://schemas.microsoft.com/office/drawing/2014/main" id="{B10C98A3-4AFD-46AC-9173-722B0A4BAC3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39</xdr:row>
      <xdr:rowOff>0</xdr:rowOff>
    </xdr:from>
    <xdr:ext cx="184731" cy="264560"/>
    <xdr:sp macro="" textlink="">
      <xdr:nvSpPr>
        <xdr:cNvPr id="1059" name="CaixaDeTexto 1058">
          <a:extLst>
            <a:ext uri="{FF2B5EF4-FFF2-40B4-BE49-F238E27FC236}">
              <a16:creationId xmlns:a16="http://schemas.microsoft.com/office/drawing/2014/main" id="{B1C303A6-BA6E-42FA-AF4D-22D7ADB33BF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60" name="CaixaDeTexto 1059">
          <a:extLst>
            <a:ext uri="{FF2B5EF4-FFF2-40B4-BE49-F238E27FC236}">
              <a16:creationId xmlns:a16="http://schemas.microsoft.com/office/drawing/2014/main" id="{B64B29F2-C120-4C75-8414-1D585099DCD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61" name="CaixaDeTexto 1060">
          <a:extLst>
            <a:ext uri="{FF2B5EF4-FFF2-40B4-BE49-F238E27FC236}">
              <a16:creationId xmlns:a16="http://schemas.microsoft.com/office/drawing/2014/main" id="{CE702F0C-3650-42C0-8C03-4CF79F3FADA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62" name="CaixaDeTexto 1061">
          <a:extLst>
            <a:ext uri="{FF2B5EF4-FFF2-40B4-BE49-F238E27FC236}">
              <a16:creationId xmlns:a16="http://schemas.microsoft.com/office/drawing/2014/main" id="{4399086D-7BF2-4FDB-9677-31E9CAEFBE39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63" name="CaixaDeTexto 1062">
          <a:extLst>
            <a:ext uri="{FF2B5EF4-FFF2-40B4-BE49-F238E27FC236}">
              <a16:creationId xmlns:a16="http://schemas.microsoft.com/office/drawing/2014/main" id="{96BDED72-9C12-4611-A801-47674B6E619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64" name="CaixaDeTexto 1063">
          <a:extLst>
            <a:ext uri="{FF2B5EF4-FFF2-40B4-BE49-F238E27FC236}">
              <a16:creationId xmlns:a16="http://schemas.microsoft.com/office/drawing/2014/main" id="{57933D40-C355-4777-BEE5-549646F8761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65" name="CaixaDeTexto 1064">
          <a:extLst>
            <a:ext uri="{FF2B5EF4-FFF2-40B4-BE49-F238E27FC236}">
              <a16:creationId xmlns:a16="http://schemas.microsoft.com/office/drawing/2014/main" id="{96DC0D3B-C153-4D58-A33F-7983D05BAB2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66" name="CaixaDeTexto 1065">
          <a:extLst>
            <a:ext uri="{FF2B5EF4-FFF2-40B4-BE49-F238E27FC236}">
              <a16:creationId xmlns:a16="http://schemas.microsoft.com/office/drawing/2014/main" id="{E30D983B-2B87-4EDF-977C-40116E3E860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67" name="CaixaDeTexto 1066">
          <a:extLst>
            <a:ext uri="{FF2B5EF4-FFF2-40B4-BE49-F238E27FC236}">
              <a16:creationId xmlns:a16="http://schemas.microsoft.com/office/drawing/2014/main" id="{D43DD9F6-527F-4349-BBC8-4104A2E9F35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68" name="CaixaDeTexto 1067">
          <a:extLst>
            <a:ext uri="{FF2B5EF4-FFF2-40B4-BE49-F238E27FC236}">
              <a16:creationId xmlns:a16="http://schemas.microsoft.com/office/drawing/2014/main" id="{B77722B3-1A58-4BE3-A006-79D4D42FD61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69" name="CaixaDeTexto 1068">
          <a:extLst>
            <a:ext uri="{FF2B5EF4-FFF2-40B4-BE49-F238E27FC236}">
              <a16:creationId xmlns:a16="http://schemas.microsoft.com/office/drawing/2014/main" id="{DF6FAA6C-D514-43E3-A46A-6C46C54EA25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0" name="CaixaDeTexto 1069">
          <a:extLst>
            <a:ext uri="{FF2B5EF4-FFF2-40B4-BE49-F238E27FC236}">
              <a16:creationId xmlns:a16="http://schemas.microsoft.com/office/drawing/2014/main" id="{CE563C59-665C-43BB-BE47-07ACF18DA21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1" name="CaixaDeTexto 1070">
          <a:extLst>
            <a:ext uri="{FF2B5EF4-FFF2-40B4-BE49-F238E27FC236}">
              <a16:creationId xmlns:a16="http://schemas.microsoft.com/office/drawing/2014/main" id="{388FF20C-B906-4DC5-B17E-718E3EB807B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2" name="CaixaDeTexto 1071">
          <a:extLst>
            <a:ext uri="{FF2B5EF4-FFF2-40B4-BE49-F238E27FC236}">
              <a16:creationId xmlns:a16="http://schemas.microsoft.com/office/drawing/2014/main" id="{5420CCFC-3082-4757-B3A6-A74CE2CF193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3" name="CaixaDeTexto 1072">
          <a:extLst>
            <a:ext uri="{FF2B5EF4-FFF2-40B4-BE49-F238E27FC236}">
              <a16:creationId xmlns:a16="http://schemas.microsoft.com/office/drawing/2014/main" id="{A58C3D09-70A9-4F29-B3B7-3BB1C2D381C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4" name="CaixaDeTexto 1073">
          <a:extLst>
            <a:ext uri="{FF2B5EF4-FFF2-40B4-BE49-F238E27FC236}">
              <a16:creationId xmlns:a16="http://schemas.microsoft.com/office/drawing/2014/main" id="{C01D8AFD-BA48-4323-BC09-71E4856459D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5" name="CaixaDeTexto 1074">
          <a:extLst>
            <a:ext uri="{FF2B5EF4-FFF2-40B4-BE49-F238E27FC236}">
              <a16:creationId xmlns:a16="http://schemas.microsoft.com/office/drawing/2014/main" id="{93F0076A-5EB1-4528-96A4-04CDAFA8D6E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6" name="CaixaDeTexto 1075">
          <a:extLst>
            <a:ext uri="{FF2B5EF4-FFF2-40B4-BE49-F238E27FC236}">
              <a16:creationId xmlns:a16="http://schemas.microsoft.com/office/drawing/2014/main" id="{060181D4-0DB2-412F-A6D1-E436FDCE1EA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40</xdr:row>
      <xdr:rowOff>0</xdr:rowOff>
    </xdr:from>
    <xdr:ext cx="184731" cy="264560"/>
    <xdr:sp macro="" textlink="">
      <xdr:nvSpPr>
        <xdr:cNvPr id="1077" name="CaixaDeTexto 1076">
          <a:extLst>
            <a:ext uri="{FF2B5EF4-FFF2-40B4-BE49-F238E27FC236}">
              <a16:creationId xmlns:a16="http://schemas.microsoft.com/office/drawing/2014/main" id="{EAF70CF3-C944-4EC7-88BB-10C3F0D26BC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78" name="CaixaDeTexto 1077">
          <a:extLst>
            <a:ext uri="{FF2B5EF4-FFF2-40B4-BE49-F238E27FC236}">
              <a16:creationId xmlns:a16="http://schemas.microsoft.com/office/drawing/2014/main" id="{40FF2914-48D5-48BA-85C8-F14CF04CEB9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79" name="CaixaDeTexto 1078">
          <a:extLst>
            <a:ext uri="{FF2B5EF4-FFF2-40B4-BE49-F238E27FC236}">
              <a16:creationId xmlns:a16="http://schemas.microsoft.com/office/drawing/2014/main" id="{DB3FDDFE-73C5-4A5E-BEC7-359EBC04070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080" name="CaixaDeTexto 1079">
          <a:extLst>
            <a:ext uri="{FF2B5EF4-FFF2-40B4-BE49-F238E27FC236}">
              <a16:creationId xmlns:a16="http://schemas.microsoft.com/office/drawing/2014/main" id="{64DF4827-C3FF-416B-A036-784334C31A4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081" name="CaixaDeTexto 1080">
          <a:extLst>
            <a:ext uri="{FF2B5EF4-FFF2-40B4-BE49-F238E27FC236}">
              <a16:creationId xmlns:a16="http://schemas.microsoft.com/office/drawing/2014/main" id="{6EFB311E-3405-47DE-9BA5-9A119EED065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082" name="CaixaDeTexto 1081">
          <a:extLst>
            <a:ext uri="{FF2B5EF4-FFF2-40B4-BE49-F238E27FC236}">
              <a16:creationId xmlns:a16="http://schemas.microsoft.com/office/drawing/2014/main" id="{B5FA3EB2-71C2-4388-8BAA-E8BF434DC7DC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083" name="CaixaDeTexto 1082">
          <a:extLst>
            <a:ext uri="{FF2B5EF4-FFF2-40B4-BE49-F238E27FC236}">
              <a16:creationId xmlns:a16="http://schemas.microsoft.com/office/drawing/2014/main" id="{51C746C2-1C4A-4B24-B696-ACE4FC8AA72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84" name="CaixaDeTexto 1083">
          <a:extLst>
            <a:ext uri="{FF2B5EF4-FFF2-40B4-BE49-F238E27FC236}">
              <a16:creationId xmlns:a16="http://schemas.microsoft.com/office/drawing/2014/main" id="{D7F352FD-DFEC-490A-B470-52AB5530B82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85" name="CaixaDeTexto 1084">
          <a:extLst>
            <a:ext uri="{FF2B5EF4-FFF2-40B4-BE49-F238E27FC236}">
              <a16:creationId xmlns:a16="http://schemas.microsoft.com/office/drawing/2014/main" id="{650AA9B4-E9E7-4C8E-9173-3E57E664F44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86" name="CaixaDeTexto 1085">
          <a:extLst>
            <a:ext uri="{FF2B5EF4-FFF2-40B4-BE49-F238E27FC236}">
              <a16:creationId xmlns:a16="http://schemas.microsoft.com/office/drawing/2014/main" id="{503D1E5D-F711-475C-9755-21C6E6137C7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87" name="CaixaDeTexto 1086">
          <a:extLst>
            <a:ext uri="{FF2B5EF4-FFF2-40B4-BE49-F238E27FC236}">
              <a16:creationId xmlns:a16="http://schemas.microsoft.com/office/drawing/2014/main" id="{6639ADE0-AB30-4204-9E75-CC0F23CD925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88" name="CaixaDeTexto 1087">
          <a:extLst>
            <a:ext uri="{FF2B5EF4-FFF2-40B4-BE49-F238E27FC236}">
              <a16:creationId xmlns:a16="http://schemas.microsoft.com/office/drawing/2014/main" id="{4A3CFBA7-682C-4A25-96C9-6E9A950ED80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89" name="CaixaDeTexto 1088">
          <a:extLst>
            <a:ext uri="{FF2B5EF4-FFF2-40B4-BE49-F238E27FC236}">
              <a16:creationId xmlns:a16="http://schemas.microsoft.com/office/drawing/2014/main" id="{D2EE659E-983D-4FBE-AD52-6490F98AEF2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90" name="CaixaDeTexto 1089">
          <a:extLst>
            <a:ext uri="{FF2B5EF4-FFF2-40B4-BE49-F238E27FC236}">
              <a16:creationId xmlns:a16="http://schemas.microsoft.com/office/drawing/2014/main" id="{3EC7FC8C-FEB5-497B-9224-B5A59051672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91" name="CaixaDeTexto 1090">
          <a:extLst>
            <a:ext uri="{FF2B5EF4-FFF2-40B4-BE49-F238E27FC236}">
              <a16:creationId xmlns:a16="http://schemas.microsoft.com/office/drawing/2014/main" id="{414803A7-AC20-4DF2-A263-2426F4FB604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92" name="CaixaDeTexto 1091">
          <a:extLst>
            <a:ext uri="{FF2B5EF4-FFF2-40B4-BE49-F238E27FC236}">
              <a16:creationId xmlns:a16="http://schemas.microsoft.com/office/drawing/2014/main" id="{C10C0B31-412C-4491-979E-C33E27685DD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93" name="CaixaDeTexto 1092">
          <a:extLst>
            <a:ext uri="{FF2B5EF4-FFF2-40B4-BE49-F238E27FC236}">
              <a16:creationId xmlns:a16="http://schemas.microsoft.com/office/drawing/2014/main" id="{10EC98FB-4A27-449B-A9EF-C7829448650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94" name="CaixaDeTexto 1093">
          <a:extLst>
            <a:ext uri="{FF2B5EF4-FFF2-40B4-BE49-F238E27FC236}">
              <a16:creationId xmlns:a16="http://schemas.microsoft.com/office/drawing/2014/main" id="{EDEBCC78-F512-483A-B330-2FBB2B34E42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41</xdr:row>
      <xdr:rowOff>0</xdr:rowOff>
    </xdr:from>
    <xdr:ext cx="184731" cy="264560"/>
    <xdr:sp macro="" textlink="">
      <xdr:nvSpPr>
        <xdr:cNvPr id="1095" name="CaixaDeTexto 1094">
          <a:extLst>
            <a:ext uri="{FF2B5EF4-FFF2-40B4-BE49-F238E27FC236}">
              <a16:creationId xmlns:a16="http://schemas.microsoft.com/office/drawing/2014/main" id="{22B99F00-785A-4796-9724-908999EAF16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096" name="CaixaDeTexto 1095">
          <a:extLst>
            <a:ext uri="{FF2B5EF4-FFF2-40B4-BE49-F238E27FC236}">
              <a16:creationId xmlns:a16="http://schemas.microsoft.com/office/drawing/2014/main" id="{841204CA-15B7-4BBB-81F2-FC1B7222672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097" name="CaixaDeTexto 1096">
          <a:extLst>
            <a:ext uri="{FF2B5EF4-FFF2-40B4-BE49-F238E27FC236}">
              <a16:creationId xmlns:a16="http://schemas.microsoft.com/office/drawing/2014/main" id="{C8A75973-45E0-44C0-9418-3DE75D23E68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098" name="CaixaDeTexto 1097">
          <a:extLst>
            <a:ext uri="{FF2B5EF4-FFF2-40B4-BE49-F238E27FC236}">
              <a16:creationId xmlns:a16="http://schemas.microsoft.com/office/drawing/2014/main" id="{34499BFC-FD58-48B9-A374-1F3C60EA816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099" name="CaixaDeTexto 1098">
          <a:extLst>
            <a:ext uri="{FF2B5EF4-FFF2-40B4-BE49-F238E27FC236}">
              <a16:creationId xmlns:a16="http://schemas.microsoft.com/office/drawing/2014/main" id="{8BFA3984-397D-4699-B38C-624B41E991C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00" name="CaixaDeTexto 1099">
          <a:extLst>
            <a:ext uri="{FF2B5EF4-FFF2-40B4-BE49-F238E27FC236}">
              <a16:creationId xmlns:a16="http://schemas.microsoft.com/office/drawing/2014/main" id="{DA3B6F75-5EC3-41D3-9739-7D4B044AA34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01" name="CaixaDeTexto 1100">
          <a:extLst>
            <a:ext uri="{FF2B5EF4-FFF2-40B4-BE49-F238E27FC236}">
              <a16:creationId xmlns:a16="http://schemas.microsoft.com/office/drawing/2014/main" id="{8FED373E-5C0E-4C4C-BCFA-7968B2A5632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2" name="CaixaDeTexto 1101">
          <a:extLst>
            <a:ext uri="{FF2B5EF4-FFF2-40B4-BE49-F238E27FC236}">
              <a16:creationId xmlns:a16="http://schemas.microsoft.com/office/drawing/2014/main" id="{214EAD0C-A364-4328-933F-34E4C04249E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3" name="CaixaDeTexto 1102">
          <a:extLst>
            <a:ext uri="{FF2B5EF4-FFF2-40B4-BE49-F238E27FC236}">
              <a16:creationId xmlns:a16="http://schemas.microsoft.com/office/drawing/2014/main" id="{50743708-2FFF-4465-97F8-24266245A96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4" name="CaixaDeTexto 1103">
          <a:extLst>
            <a:ext uri="{FF2B5EF4-FFF2-40B4-BE49-F238E27FC236}">
              <a16:creationId xmlns:a16="http://schemas.microsoft.com/office/drawing/2014/main" id="{9EB5C619-C85D-4BFE-8235-3D141CFB6E9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5" name="CaixaDeTexto 1104">
          <a:extLst>
            <a:ext uri="{FF2B5EF4-FFF2-40B4-BE49-F238E27FC236}">
              <a16:creationId xmlns:a16="http://schemas.microsoft.com/office/drawing/2014/main" id="{D6755043-85E3-476D-A8DF-20C1B440524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6" name="CaixaDeTexto 1105">
          <a:extLst>
            <a:ext uri="{FF2B5EF4-FFF2-40B4-BE49-F238E27FC236}">
              <a16:creationId xmlns:a16="http://schemas.microsoft.com/office/drawing/2014/main" id="{9DCDC9C3-59D1-463A-BC45-F255DB1836C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7" name="CaixaDeTexto 1106">
          <a:extLst>
            <a:ext uri="{FF2B5EF4-FFF2-40B4-BE49-F238E27FC236}">
              <a16:creationId xmlns:a16="http://schemas.microsoft.com/office/drawing/2014/main" id="{011F71E9-DD72-4DE3-9E1B-167A640AD4C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8" name="CaixaDeTexto 1107">
          <a:extLst>
            <a:ext uri="{FF2B5EF4-FFF2-40B4-BE49-F238E27FC236}">
              <a16:creationId xmlns:a16="http://schemas.microsoft.com/office/drawing/2014/main" id="{E99AB602-7379-424F-ABBC-6E06A21B317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09" name="CaixaDeTexto 1108">
          <a:extLst>
            <a:ext uri="{FF2B5EF4-FFF2-40B4-BE49-F238E27FC236}">
              <a16:creationId xmlns:a16="http://schemas.microsoft.com/office/drawing/2014/main" id="{EC966994-906C-41E8-AC85-AC654879F1A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10" name="CaixaDeTexto 1109">
          <a:extLst>
            <a:ext uri="{FF2B5EF4-FFF2-40B4-BE49-F238E27FC236}">
              <a16:creationId xmlns:a16="http://schemas.microsoft.com/office/drawing/2014/main" id="{2F94AB86-8AEA-460F-9EFA-2C3CEE15FEB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11" name="CaixaDeTexto 1110">
          <a:extLst>
            <a:ext uri="{FF2B5EF4-FFF2-40B4-BE49-F238E27FC236}">
              <a16:creationId xmlns:a16="http://schemas.microsoft.com/office/drawing/2014/main" id="{77E68ADE-6D61-4045-AD18-614A2476607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12" name="CaixaDeTexto 1111">
          <a:extLst>
            <a:ext uri="{FF2B5EF4-FFF2-40B4-BE49-F238E27FC236}">
              <a16:creationId xmlns:a16="http://schemas.microsoft.com/office/drawing/2014/main" id="{BB64585D-24BF-4E59-B4FE-92098F9F986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42</xdr:row>
      <xdr:rowOff>0</xdr:rowOff>
    </xdr:from>
    <xdr:ext cx="184731" cy="264560"/>
    <xdr:sp macro="" textlink="">
      <xdr:nvSpPr>
        <xdr:cNvPr id="1113" name="CaixaDeTexto 1112">
          <a:extLst>
            <a:ext uri="{FF2B5EF4-FFF2-40B4-BE49-F238E27FC236}">
              <a16:creationId xmlns:a16="http://schemas.microsoft.com/office/drawing/2014/main" id="{4FD78859-F10B-4DE3-A79E-3CD70253031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14" name="CaixaDeTexto 1113">
          <a:extLst>
            <a:ext uri="{FF2B5EF4-FFF2-40B4-BE49-F238E27FC236}">
              <a16:creationId xmlns:a16="http://schemas.microsoft.com/office/drawing/2014/main" id="{B881D608-E178-4A90-B542-71EFDEB4750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15" name="CaixaDeTexto 1114">
          <a:extLst>
            <a:ext uri="{FF2B5EF4-FFF2-40B4-BE49-F238E27FC236}">
              <a16:creationId xmlns:a16="http://schemas.microsoft.com/office/drawing/2014/main" id="{D7C845D0-CB50-4127-8C8C-E9FE21A34F0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16" name="CaixaDeTexto 1115">
          <a:extLst>
            <a:ext uri="{FF2B5EF4-FFF2-40B4-BE49-F238E27FC236}">
              <a16:creationId xmlns:a16="http://schemas.microsoft.com/office/drawing/2014/main" id="{B4F392B2-2735-4867-85B5-E021E1FE6A2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17" name="CaixaDeTexto 1116">
          <a:extLst>
            <a:ext uri="{FF2B5EF4-FFF2-40B4-BE49-F238E27FC236}">
              <a16:creationId xmlns:a16="http://schemas.microsoft.com/office/drawing/2014/main" id="{410BE090-BFD2-4249-B322-C0F9DFFD6F71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18" name="CaixaDeTexto 1117">
          <a:extLst>
            <a:ext uri="{FF2B5EF4-FFF2-40B4-BE49-F238E27FC236}">
              <a16:creationId xmlns:a16="http://schemas.microsoft.com/office/drawing/2014/main" id="{DE5AF5BA-F045-417F-8517-3B14F5DFA99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19" name="CaixaDeTexto 1118">
          <a:extLst>
            <a:ext uri="{FF2B5EF4-FFF2-40B4-BE49-F238E27FC236}">
              <a16:creationId xmlns:a16="http://schemas.microsoft.com/office/drawing/2014/main" id="{68282009-CBB3-4AFC-8DF1-218073B517F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0" name="CaixaDeTexto 1119">
          <a:extLst>
            <a:ext uri="{FF2B5EF4-FFF2-40B4-BE49-F238E27FC236}">
              <a16:creationId xmlns:a16="http://schemas.microsoft.com/office/drawing/2014/main" id="{F4FC2FB1-5E7C-46CC-906A-6FEC62D9F97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1" name="CaixaDeTexto 1120">
          <a:extLst>
            <a:ext uri="{FF2B5EF4-FFF2-40B4-BE49-F238E27FC236}">
              <a16:creationId xmlns:a16="http://schemas.microsoft.com/office/drawing/2014/main" id="{0C44DBB4-DBB0-4B8B-B0CF-03A05072999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2" name="CaixaDeTexto 1121">
          <a:extLst>
            <a:ext uri="{FF2B5EF4-FFF2-40B4-BE49-F238E27FC236}">
              <a16:creationId xmlns:a16="http://schemas.microsoft.com/office/drawing/2014/main" id="{6651669D-E3C6-42FE-8F68-DE50DF0BC19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3" name="CaixaDeTexto 1122">
          <a:extLst>
            <a:ext uri="{FF2B5EF4-FFF2-40B4-BE49-F238E27FC236}">
              <a16:creationId xmlns:a16="http://schemas.microsoft.com/office/drawing/2014/main" id="{9F66AC7C-BF75-4A0B-82D4-399D1AB312D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4" name="CaixaDeTexto 1123">
          <a:extLst>
            <a:ext uri="{FF2B5EF4-FFF2-40B4-BE49-F238E27FC236}">
              <a16:creationId xmlns:a16="http://schemas.microsoft.com/office/drawing/2014/main" id="{BD6D146E-E29C-4109-AACB-13126BA4BE3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5" name="CaixaDeTexto 1124">
          <a:extLst>
            <a:ext uri="{FF2B5EF4-FFF2-40B4-BE49-F238E27FC236}">
              <a16:creationId xmlns:a16="http://schemas.microsoft.com/office/drawing/2014/main" id="{5225F784-5686-47B5-B9A6-3AC3801B299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6" name="CaixaDeTexto 1125">
          <a:extLst>
            <a:ext uri="{FF2B5EF4-FFF2-40B4-BE49-F238E27FC236}">
              <a16:creationId xmlns:a16="http://schemas.microsoft.com/office/drawing/2014/main" id="{40F569EA-48FD-4F61-9BAC-6301DF908B2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7" name="CaixaDeTexto 1126">
          <a:extLst>
            <a:ext uri="{FF2B5EF4-FFF2-40B4-BE49-F238E27FC236}">
              <a16:creationId xmlns:a16="http://schemas.microsoft.com/office/drawing/2014/main" id="{4C161A1C-E5F3-432E-9599-C9DB94F5A53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8" name="CaixaDeTexto 1127">
          <a:extLst>
            <a:ext uri="{FF2B5EF4-FFF2-40B4-BE49-F238E27FC236}">
              <a16:creationId xmlns:a16="http://schemas.microsoft.com/office/drawing/2014/main" id="{8ED8C9FC-B5C5-4DFA-B5F6-F5B46D14056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29" name="CaixaDeTexto 1128">
          <a:extLst>
            <a:ext uri="{FF2B5EF4-FFF2-40B4-BE49-F238E27FC236}">
              <a16:creationId xmlns:a16="http://schemas.microsoft.com/office/drawing/2014/main" id="{8A323E6C-B550-438A-89F8-FA2E8F3B051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30" name="CaixaDeTexto 1129">
          <a:extLst>
            <a:ext uri="{FF2B5EF4-FFF2-40B4-BE49-F238E27FC236}">
              <a16:creationId xmlns:a16="http://schemas.microsoft.com/office/drawing/2014/main" id="{E45E27F1-A80C-40FE-A575-0A6C4D87F72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43</xdr:row>
      <xdr:rowOff>0</xdr:rowOff>
    </xdr:from>
    <xdr:ext cx="184731" cy="264560"/>
    <xdr:sp macro="" textlink="">
      <xdr:nvSpPr>
        <xdr:cNvPr id="1131" name="CaixaDeTexto 1130">
          <a:extLst>
            <a:ext uri="{FF2B5EF4-FFF2-40B4-BE49-F238E27FC236}">
              <a16:creationId xmlns:a16="http://schemas.microsoft.com/office/drawing/2014/main" id="{1131B76A-7AB3-4DC7-8637-B0782394CE5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32" name="CaixaDeTexto 1131">
          <a:extLst>
            <a:ext uri="{FF2B5EF4-FFF2-40B4-BE49-F238E27FC236}">
              <a16:creationId xmlns:a16="http://schemas.microsoft.com/office/drawing/2014/main" id="{CA1B8E9D-4B2D-409A-8D05-36C3C0322F1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33" name="CaixaDeTexto 1132">
          <a:extLst>
            <a:ext uri="{FF2B5EF4-FFF2-40B4-BE49-F238E27FC236}">
              <a16:creationId xmlns:a16="http://schemas.microsoft.com/office/drawing/2014/main" id="{F442A462-FC56-4637-9A92-47C4C02AE48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34" name="CaixaDeTexto 1133">
          <a:extLst>
            <a:ext uri="{FF2B5EF4-FFF2-40B4-BE49-F238E27FC236}">
              <a16:creationId xmlns:a16="http://schemas.microsoft.com/office/drawing/2014/main" id="{8241FA5B-D446-469F-A984-A4D1D9583985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35" name="CaixaDeTexto 1134">
          <a:extLst>
            <a:ext uri="{FF2B5EF4-FFF2-40B4-BE49-F238E27FC236}">
              <a16:creationId xmlns:a16="http://schemas.microsoft.com/office/drawing/2014/main" id="{EB4BF690-65BE-4598-93F6-DAB7E7936E9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36" name="CaixaDeTexto 1135">
          <a:extLst>
            <a:ext uri="{FF2B5EF4-FFF2-40B4-BE49-F238E27FC236}">
              <a16:creationId xmlns:a16="http://schemas.microsoft.com/office/drawing/2014/main" id="{778EBC73-F775-47D9-B198-E0C56EFE6BC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37" name="CaixaDeTexto 1136">
          <a:extLst>
            <a:ext uri="{FF2B5EF4-FFF2-40B4-BE49-F238E27FC236}">
              <a16:creationId xmlns:a16="http://schemas.microsoft.com/office/drawing/2014/main" id="{9ECD82A3-A63B-427D-9B27-9782FD88050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38" name="CaixaDeTexto 1137">
          <a:extLst>
            <a:ext uri="{FF2B5EF4-FFF2-40B4-BE49-F238E27FC236}">
              <a16:creationId xmlns:a16="http://schemas.microsoft.com/office/drawing/2014/main" id="{FBB3F90D-56C8-4B51-8BC9-8F73C362AF0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39" name="CaixaDeTexto 1138">
          <a:extLst>
            <a:ext uri="{FF2B5EF4-FFF2-40B4-BE49-F238E27FC236}">
              <a16:creationId xmlns:a16="http://schemas.microsoft.com/office/drawing/2014/main" id="{A663BC69-BF61-4272-8347-A835847E844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0" name="CaixaDeTexto 1139">
          <a:extLst>
            <a:ext uri="{FF2B5EF4-FFF2-40B4-BE49-F238E27FC236}">
              <a16:creationId xmlns:a16="http://schemas.microsoft.com/office/drawing/2014/main" id="{0CE3864F-6AE5-4F95-AAB4-02F93154A81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1" name="CaixaDeTexto 1140">
          <a:extLst>
            <a:ext uri="{FF2B5EF4-FFF2-40B4-BE49-F238E27FC236}">
              <a16:creationId xmlns:a16="http://schemas.microsoft.com/office/drawing/2014/main" id="{F849A3E5-DEEA-46B2-80F0-822C6977CDC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2" name="CaixaDeTexto 1141">
          <a:extLst>
            <a:ext uri="{FF2B5EF4-FFF2-40B4-BE49-F238E27FC236}">
              <a16:creationId xmlns:a16="http://schemas.microsoft.com/office/drawing/2014/main" id="{FC2E0249-7191-4CF3-91D6-8A1D4E7A989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3" name="CaixaDeTexto 1142">
          <a:extLst>
            <a:ext uri="{FF2B5EF4-FFF2-40B4-BE49-F238E27FC236}">
              <a16:creationId xmlns:a16="http://schemas.microsoft.com/office/drawing/2014/main" id="{91D731E9-67BF-4F23-BE34-E3BA9973217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4" name="CaixaDeTexto 1143">
          <a:extLst>
            <a:ext uri="{FF2B5EF4-FFF2-40B4-BE49-F238E27FC236}">
              <a16:creationId xmlns:a16="http://schemas.microsoft.com/office/drawing/2014/main" id="{CA657688-BC37-4E33-B44D-79EE26B3083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5" name="CaixaDeTexto 1144">
          <a:extLst>
            <a:ext uri="{FF2B5EF4-FFF2-40B4-BE49-F238E27FC236}">
              <a16:creationId xmlns:a16="http://schemas.microsoft.com/office/drawing/2014/main" id="{00607F95-4CF6-4732-87D0-74FB9F71524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6" name="CaixaDeTexto 1145">
          <a:extLst>
            <a:ext uri="{FF2B5EF4-FFF2-40B4-BE49-F238E27FC236}">
              <a16:creationId xmlns:a16="http://schemas.microsoft.com/office/drawing/2014/main" id="{EB5817F9-EEAA-4195-B8C2-B678EC5F71C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7" name="CaixaDeTexto 1146">
          <a:extLst>
            <a:ext uri="{FF2B5EF4-FFF2-40B4-BE49-F238E27FC236}">
              <a16:creationId xmlns:a16="http://schemas.microsoft.com/office/drawing/2014/main" id="{8410C222-A9CC-4425-9FC7-E1B8FC7C535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8" name="CaixaDeTexto 1147">
          <a:extLst>
            <a:ext uri="{FF2B5EF4-FFF2-40B4-BE49-F238E27FC236}">
              <a16:creationId xmlns:a16="http://schemas.microsoft.com/office/drawing/2014/main" id="{9A30F472-39D7-4124-8AA2-92BAA0552D8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44</xdr:row>
      <xdr:rowOff>0</xdr:rowOff>
    </xdr:from>
    <xdr:ext cx="184731" cy="264560"/>
    <xdr:sp macro="" textlink="">
      <xdr:nvSpPr>
        <xdr:cNvPr id="1149" name="CaixaDeTexto 1148">
          <a:extLst>
            <a:ext uri="{FF2B5EF4-FFF2-40B4-BE49-F238E27FC236}">
              <a16:creationId xmlns:a16="http://schemas.microsoft.com/office/drawing/2014/main" id="{46275C8F-F0A3-4F2F-A732-AAF74E310CF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50" name="CaixaDeTexto 1149">
          <a:extLst>
            <a:ext uri="{FF2B5EF4-FFF2-40B4-BE49-F238E27FC236}">
              <a16:creationId xmlns:a16="http://schemas.microsoft.com/office/drawing/2014/main" id="{6A8F2607-F07A-40E8-8D27-DB4724EDE33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51" name="CaixaDeTexto 1150">
          <a:extLst>
            <a:ext uri="{FF2B5EF4-FFF2-40B4-BE49-F238E27FC236}">
              <a16:creationId xmlns:a16="http://schemas.microsoft.com/office/drawing/2014/main" id="{24CC9F39-8327-4277-8FA3-541CA31A39F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52" name="CaixaDeTexto 1151">
          <a:extLst>
            <a:ext uri="{FF2B5EF4-FFF2-40B4-BE49-F238E27FC236}">
              <a16:creationId xmlns:a16="http://schemas.microsoft.com/office/drawing/2014/main" id="{29C6F07A-4D68-4DC7-9104-12358AFC048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53" name="CaixaDeTexto 1152">
          <a:extLst>
            <a:ext uri="{FF2B5EF4-FFF2-40B4-BE49-F238E27FC236}">
              <a16:creationId xmlns:a16="http://schemas.microsoft.com/office/drawing/2014/main" id="{081DC81B-8790-4018-9E25-38E6FF7D5267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54" name="CaixaDeTexto 1153">
          <a:extLst>
            <a:ext uri="{FF2B5EF4-FFF2-40B4-BE49-F238E27FC236}">
              <a16:creationId xmlns:a16="http://schemas.microsoft.com/office/drawing/2014/main" id="{7A48A040-CB14-4093-9989-7C893C2640A6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55" name="CaixaDeTexto 1154">
          <a:extLst>
            <a:ext uri="{FF2B5EF4-FFF2-40B4-BE49-F238E27FC236}">
              <a16:creationId xmlns:a16="http://schemas.microsoft.com/office/drawing/2014/main" id="{8FA77052-D109-40E1-93FC-90CDF99B7A1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56" name="CaixaDeTexto 1155">
          <a:extLst>
            <a:ext uri="{FF2B5EF4-FFF2-40B4-BE49-F238E27FC236}">
              <a16:creationId xmlns:a16="http://schemas.microsoft.com/office/drawing/2014/main" id="{2324C495-0D83-4428-A353-AC7026FEED2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57" name="CaixaDeTexto 1156">
          <a:extLst>
            <a:ext uri="{FF2B5EF4-FFF2-40B4-BE49-F238E27FC236}">
              <a16:creationId xmlns:a16="http://schemas.microsoft.com/office/drawing/2014/main" id="{C3C92A0A-79FE-4F71-AF96-C4B68777487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58" name="CaixaDeTexto 1157">
          <a:extLst>
            <a:ext uri="{FF2B5EF4-FFF2-40B4-BE49-F238E27FC236}">
              <a16:creationId xmlns:a16="http://schemas.microsoft.com/office/drawing/2014/main" id="{DEA53D5A-1A21-4CD2-A805-090B5492BA0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59" name="CaixaDeTexto 1158">
          <a:extLst>
            <a:ext uri="{FF2B5EF4-FFF2-40B4-BE49-F238E27FC236}">
              <a16:creationId xmlns:a16="http://schemas.microsoft.com/office/drawing/2014/main" id="{D2A6CE54-3D34-4C22-9313-72C16DE8FBE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0" name="CaixaDeTexto 1159">
          <a:extLst>
            <a:ext uri="{FF2B5EF4-FFF2-40B4-BE49-F238E27FC236}">
              <a16:creationId xmlns:a16="http://schemas.microsoft.com/office/drawing/2014/main" id="{57FE8894-17C3-40ED-A072-4A9264E55E0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1" name="CaixaDeTexto 1160">
          <a:extLst>
            <a:ext uri="{FF2B5EF4-FFF2-40B4-BE49-F238E27FC236}">
              <a16:creationId xmlns:a16="http://schemas.microsoft.com/office/drawing/2014/main" id="{5696805B-EF85-42D9-9D09-54D63ABCE91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2" name="CaixaDeTexto 1161">
          <a:extLst>
            <a:ext uri="{FF2B5EF4-FFF2-40B4-BE49-F238E27FC236}">
              <a16:creationId xmlns:a16="http://schemas.microsoft.com/office/drawing/2014/main" id="{48B99997-DF14-427B-8170-61AF1A056A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3" name="CaixaDeTexto 1162">
          <a:extLst>
            <a:ext uri="{FF2B5EF4-FFF2-40B4-BE49-F238E27FC236}">
              <a16:creationId xmlns:a16="http://schemas.microsoft.com/office/drawing/2014/main" id="{B20C65D9-9390-45D1-BE4B-241A28B1341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4" name="CaixaDeTexto 1163">
          <a:extLst>
            <a:ext uri="{FF2B5EF4-FFF2-40B4-BE49-F238E27FC236}">
              <a16:creationId xmlns:a16="http://schemas.microsoft.com/office/drawing/2014/main" id="{77EDC6AD-3F81-46B6-BA55-A4FE84BA255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5" name="CaixaDeTexto 1164">
          <a:extLst>
            <a:ext uri="{FF2B5EF4-FFF2-40B4-BE49-F238E27FC236}">
              <a16:creationId xmlns:a16="http://schemas.microsoft.com/office/drawing/2014/main" id="{5B9634F1-006A-4D7B-8C46-A22D784D5C3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6" name="CaixaDeTexto 1165">
          <a:extLst>
            <a:ext uri="{FF2B5EF4-FFF2-40B4-BE49-F238E27FC236}">
              <a16:creationId xmlns:a16="http://schemas.microsoft.com/office/drawing/2014/main" id="{09916C49-8D33-4686-BCFD-8F6F562A32A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45</xdr:row>
      <xdr:rowOff>0</xdr:rowOff>
    </xdr:from>
    <xdr:ext cx="184731" cy="264560"/>
    <xdr:sp macro="" textlink="">
      <xdr:nvSpPr>
        <xdr:cNvPr id="1167" name="CaixaDeTexto 1166">
          <a:extLst>
            <a:ext uri="{FF2B5EF4-FFF2-40B4-BE49-F238E27FC236}">
              <a16:creationId xmlns:a16="http://schemas.microsoft.com/office/drawing/2014/main" id="{A2E24B1A-3849-4799-AD79-E597065BAA6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68" name="CaixaDeTexto 1167">
          <a:extLst>
            <a:ext uri="{FF2B5EF4-FFF2-40B4-BE49-F238E27FC236}">
              <a16:creationId xmlns:a16="http://schemas.microsoft.com/office/drawing/2014/main" id="{4BD041B1-DA27-4FB8-BF7C-532DB72F40D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69" name="CaixaDeTexto 1168">
          <a:extLst>
            <a:ext uri="{FF2B5EF4-FFF2-40B4-BE49-F238E27FC236}">
              <a16:creationId xmlns:a16="http://schemas.microsoft.com/office/drawing/2014/main" id="{C26B7481-49A1-4206-9374-B17ABE0B91D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70" name="CaixaDeTexto 1169">
          <a:extLst>
            <a:ext uri="{FF2B5EF4-FFF2-40B4-BE49-F238E27FC236}">
              <a16:creationId xmlns:a16="http://schemas.microsoft.com/office/drawing/2014/main" id="{0720FFCB-27B4-4596-BF5D-926D7CB0EF0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71" name="CaixaDeTexto 1170">
          <a:extLst>
            <a:ext uri="{FF2B5EF4-FFF2-40B4-BE49-F238E27FC236}">
              <a16:creationId xmlns:a16="http://schemas.microsoft.com/office/drawing/2014/main" id="{62E1CDED-2058-4B45-83F2-AAF8F6C613E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72" name="CaixaDeTexto 1171">
          <a:extLst>
            <a:ext uri="{FF2B5EF4-FFF2-40B4-BE49-F238E27FC236}">
              <a16:creationId xmlns:a16="http://schemas.microsoft.com/office/drawing/2014/main" id="{1E06D88A-E76C-4A38-8952-EF67D3325BC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73" name="CaixaDeTexto 1172">
          <a:extLst>
            <a:ext uri="{FF2B5EF4-FFF2-40B4-BE49-F238E27FC236}">
              <a16:creationId xmlns:a16="http://schemas.microsoft.com/office/drawing/2014/main" id="{39B18889-A375-40B1-8C90-82CF4043AD6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74" name="CaixaDeTexto 1173">
          <a:extLst>
            <a:ext uri="{FF2B5EF4-FFF2-40B4-BE49-F238E27FC236}">
              <a16:creationId xmlns:a16="http://schemas.microsoft.com/office/drawing/2014/main" id="{CB410E90-4358-4D97-9C85-952B3EC1BBA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75" name="CaixaDeTexto 1174">
          <a:extLst>
            <a:ext uri="{FF2B5EF4-FFF2-40B4-BE49-F238E27FC236}">
              <a16:creationId xmlns:a16="http://schemas.microsoft.com/office/drawing/2014/main" id="{2CEE1BE3-3056-4468-8FF5-594A1FA4328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76" name="CaixaDeTexto 1175">
          <a:extLst>
            <a:ext uri="{FF2B5EF4-FFF2-40B4-BE49-F238E27FC236}">
              <a16:creationId xmlns:a16="http://schemas.microsoft.com/office/drawing/2014/main" id="{FD76684F-D241-4297-99A7-AE8B2BFFE6F0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77" name="CaixaDeTexto 1176">
          <a:extLst>
            <a:ext uri="{FF2B5EF4-FFF2-40B4-BE49-F238E27FC236}">
              <a16:creationId xmlns:a16="http://schemas.microsoft.com/office/drawing/2014/main" id="{6B4C614C-2991-4563-8863-965A803A023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78" name="CaixaDeTexto 1177">
          <a:extLst>
            <a:ext uri="{FF2B5EF4-FFF2-40B4-BE49-F238E27FC236}">
              <a16:creationId xmlns:a16="http://schemas.microsoft.com/office/drawing/2014/main" id="{1396BD05-76D3-4E69-95F8-B0152EF7BCC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79" name="CaixaDeTexto 1178">
          <a:extLst>
            <a:ext uri="{FF2B5EF4-FFF2-40B4-BE49-F238E27FC236}">
              <a16:creationId xmlns:a16="http://schemas.microsoft.com/office/drawing/2014/main" id="{0C63CBED-AF02-4DA7-A1AD-46DDA8E0B7D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80" name="CaixaDeTexto 1179">
          <a:extLst>
            <a:ext uri="{FF2B5EF4-FFF2-40B4-BE49-F238E27FC236}">
              <a16:creationId xmlns:a16="http://schemas.microsoft.com/office/drawing/2014/main" id="{03A00887-C814-4423-A999-C36EDC6DED0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81" name="CaixaDeTexto 1180">
          <a:extLst>
            <a:ext uri="{FF2B5EF4-FFF2-40B4-BE49-F238E27FC236}">
              <a16:creationId xmlns:a16="http://schemas.microsoft.com/office/drawing/2014/main" id="{11ADA070-3B73-44A8-8D64-9734C02F645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82" name="CaixaDeTexto 1181">
          <a:extLst>
            <a:ext uri="{FF2B5EF4-FFF2-40B4-BE49-F238E27FC236}">
              <a16:creationId xmlns:a16="http://schemas.microsoft.com/office/drawing/2014/main" id="{58D176A4-2C8A-4C64-8D0A-E4AE4545168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83" name="CaixaDeTexto 1182">
          <a:extLst>
            <a:ext uri="{FF2B5EF4-FFF2-40B4-BE49-F238E27FC236}">
              <a16:creationId xmlns:a16="http://schemas.microsoft.com/office/drawing/2014/main" id="{BE1B471C-DCDA-4DD3-84ED-81FEE2CE024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84" name="CaixaDeTexto 1183">
          <a:extLst>
            <a:ext uri="{FF2B5EF4-FFF2-40B4-BE49-F238E27FC236}">
              <a16:creationId xmlns:a16="http://schemas.microsoft.com/office/drawing/2014/main" id="{ADAD5EF6-E323-4EC6-8880-119B36A81F9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46</xdr:row>
      <xdr:rowOff>0</xdr:rowOff>
    </xdr:from>
    <xdr:ext cx="184731" cy="264560"/>
    <xdr:sp macro="" textlink="">
      <xdr:nvSpPr>
        <xdr:cNvPr id="1185" name="CaixaDeTexto 1184">
          <a:extLst>
            <a:ext uri="{FF2B5EF4-FFF2-40B4-BE49-F238E27FC236}">
              <a16:creationId xmlns:a16="http://schemas.microsoft.com/office/drawing/2014/main" id="{AACB86DE-ECB8-4DD9-ABAD-EC0AC3C6C18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86" name="CaixaDeTexto 1185">
          <a:extLst>
            <a:ext uri="{FF2B5EF4-FFF2-40B4-BE49-F238E27FC236}">
              <a16:creationId xmlns:a16="http://schemas.microsoft.com/office/drawing/2014/main" id="{4C9D9152-C6D7-40A8-9DD6-F83DB90CED2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87" name="CaixaDeTexto 1186">
          <a:extLst>
            <a:ext uri="{FF2B5EF4-FFF2-40B4-BE49-F238E27FC236}">
              <a16:creationId xmlns:a16="http://schemas.microsoft.com/office/drawing/2014/main" id="{84E7DCB8-6542-41EB-9219-74E2D46F072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188" name="CaixaDeTexto 1187">
          <a:extLst>
            <a:ext uri="{FF2B5EF4-FFF2-40B4-BE49-F238E27FC236}">
              <a16:creationId xmlns:a16="http://schemas.microsoft.com/office/drawing/2014/main" id="{3572EFBA-6D2E-4575-8FCA-CC87B17C5693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189" name="CaixaDeTexto 1188">
          <a:extLst>
            <a:ext uri="{FF2B5EF4-FFF2-40B4-BE49-F238E27FC236}">
              <a16:creationId xmlns:a16="http://schemas.microsoft.com/office/drawing/2014/main" id="{96DCA6BF-5350-4FA5-9B2E-5D1686CFAC7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190" name="CaixaDeTexto 1189">
          <a:extLst>
            <a:ext uri="{FF2B5EF4-FFF2-40B4-BE49-F238E27FC236}">
              <a16:creationId xmlns:a16="http://schemas.microsoft.com/office/drawing/2014/main" id="{DDAC0A49-8FB6-4CF7-9AD6-3CAE63BD0451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191" name="CaixaDeTexto 1190">
          <a:extLst>
            <a:ext uri="{FF2B5EF4-FFF2-40B4-BE49-F238E27FC236}">
              <a16:creationId xmlns:a16="http://schemas.microsoft.com/office/drawing/2014/main" id="{D2416BD9-59CB-4EEA-863F-E49C2159C59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2" name="CaixaDeTexto 1191">
          <a:extLst>
            <a:ext uri="{FF2B5EF4-FFF2-40B4-BE49-F238E27FC236}">
              <a16:creationId xmlns:a16="http://schemas.microsoft.com/office/drawing/2014/main" id="{5B40E9C2-AF86-417B-9C2E-2B3258939A0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3" name="CaixaDeTexto 1192">
          <a:extLst>
            <a:ext uri="{FF2B5EF4-FFF2-40B4-BE49-F238E27FC236}">
              <a16:creationId xmlns:a16="http://schemas.microsoft.com/office/drawing/2014/main" id="{20A56768-3263-4E87-BBA1-A4220287C8B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4" name="CaixaDeTexto 1193">
          <a:extLst>
            <a:ext uri="{FF2B5EF4-FFF2-40B4-BE49-F238E27FC236}">
              <a16:creationId xmlns:a16="http://schemas.microsoft.com/office/drawing/2014/main" id="{14F4F4E8-BD0D-4ABB-81FA-AB9180081E7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5" name="CaixaDeTexto 1194">
          <a:extLst>
            <a:ext uri="{FF2B5EF4-FFF2-40B4-BE49-F238E27FC236}">
              <a16:creationId xmlns:a16="http://schemas.microsoft.com/office/drawing/2014/main" id="{CCD71379-73EC-47F4-AAFF-2A29B654920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6" name="CaixaDeTexto 1195">
          <a:extLst>
            <a:ext uri="{FF2B5EF4-FFF2-40B4-BE49-F238E27FC236}">
              <a16:creationId xmlns:a16="http://schemas.microsoft.com/office/drawing/2014/main" id="{18D3259A-BC93-406D-97A9-D572CFA26C2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7" name="CaixaDeTexto 1196">
          <a:extLst>
            <a:ext uri="{FF2B5EF4-FFF2-40B4-BE49-F238E27FC236}">
              <a16:creationId xmlns:a16="http://schemas.microsoft.com/office/drawing/2014/main" id="{A90D715A-7B2F-47DB-BCEF-C1B41F276C5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8" name="CaixaDeTexto 1197">
          <a:extLst>
            <a:ext uri="{FF2B5EF4-FFF2-40B4-BE49-F238E27FC236}">
              <a16:creationId xmlns:a16="http://schemas.microsoft.com/office/drawing/2014/main" id="{7F207BE4-F733-4DFB-BCE1-DB3AC05105AD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199" name="CaixaDeTexto 1198">
          <a:extLst>
            <a:ext uri="{FF2B5EF4-FFF2-40B4-BE49-F238E27FC236}">
              <a16:creationId xmlns:a16="http://schemas.microsoft.com/office/drawing/2014/main" id="{7C10050A-5645-4E28-BDB3-B795E8F2445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200" name="CaixaDeTexto 1199">
          <a:extLst>
            <a:ext uri="{FF2B5EF4-FFF2-40B4-BE49-F238E27FC236}">
              <a16:creationId xmlns:a16="http://schemas.microsoft.com/office/drawing/2014/main" id="{2119D658-D676-4497-83CE-F72112ADBB8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201" name="CaixaDeTexto 1200">
          <a:extLst>
            <a:ext uri="{FF2B5EF4-FFF2-40B4-BE49-F238E27FC236}">
              <a16:creationId xmlns:a16="http://schemas.microsoft.com/office/drawing/2014/main" id="{34280B23-8D2F-4929-B96A-20971A228FF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202" name="CaixaDeTexto 1201">
          <a:extLst>
            <a:ext uri="{FF2B5EF4-FFF2-40B4-BE49-F238E27FC236}">
              <a16:creationId xmlns:a16="http://schemas.microsoft.com/office/drawing/2014/main" id="{71146D72-7714-4B33-A480-FA61098AE9E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47</xdr:row>
      <xdr:rowOff>0</xdr:rowOff>
    </xdr:from>
    <xdr:ext cx="184731" cy="264560"/>
    <xdr:sp macro="" textlink="">
      <xdr:nvSpPr>
        <xdr:cNvPr id="1203" name="CaixaDeTexto 1202">
          <a:extLst>
            <a:ext uri="{FF2B5EF4-FFF2-40B4-BE49-F238E27FC236}">
              <a16:creationId xmlns:a16="http://schemas.microsoft.com/office/drawing/2014/main" id="{385A6F31-0206-4CB5-9208-3F812168377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04" name="CaixaDeTexto 1203">
          <a:extLst>
            <a:ext uri="{FF2B5EF4-FFF2-40B4-BE49-F238E27FC236}">
              <a16:creationId xmlns:a16="http://schemas.microsoft.com/office/drawing/2014/main" id="{8C7BAEE2-1FB1-4328-A600-E5DC61AA5D8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05" name="CaixaDeTexto 1204">
          <a:extLst>
            <a:ext uri="{FF2B5EF4-FFF2-40B4-BE49-F238E27FC236}">
              <a16:creationId xmlns:a16="http://schemas.microsoft.com/office/drawing/2014/main" id="{3C635535-B9F4-4270-97ED-57D67283F17E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06" name="CaixaDeTexto 1205">
          <a:extLst>
            <a:ext uri="{FF2B5EF4-FFF2-40B4-BE49-F238E27FC236}">
              <a16:creationId xmlns:a16="http://schemas.microsoft.com/office/drawing/2014/main" id="{9132B541-F215-4299-863E-F0C6AA68DDE8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07" name="CaixaDeTexto 1206">
          <a:extLst>
            <a:ext uri="{FF2B5EF4-FFF2-40B4-BE49-F238E27FC236}">
              <a16:creationId xmlns:a16="http://schemas.microsoft.com/office/drawing/2014/main" id="{0FE2CD5B-DEE4-4C80-91EF-854C6E63513B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08" name="CaixaDeTexto 1207">
          <a:extLst>
            <a:ext uri="{FF2B5EF4-FFF2-40B4-BE49-F238E27FC236}">
              <a16:creationId xmlns:a16="http://schemas.microsoft.com/office/drawing/2014/main" id="{EF62D421-A727-4C20-A5EF-DAF2C0102890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09" name="CaixaDeTexto 1208">
          <a:extLst>
            <a:ext uri="{FF2B5EF4-FFF2-40B4-BE49-F238E27FC236}">
              <a16:creationId xmlns:a16="http://schemas.microsoft.com/office/drawing/2014/main" id="{DE597889-78A3-4016-8CD6-04E109FA35D4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0" name="CaixaDeTexto 1209">
          <a:extLst>
            <a:ext uri="{FF2B5EF4-FFF2-40B4-BE49-F238E27FC236}">
              <a16:creationId xmlns:a16="http://schemas.microsoft.com/office/drawing/2014/main" id="{03D63B54-D72F-4585-A45B-425381CDE32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1" name="CaixaDeTexto 1210">
          <a:extLst>
            <a:ext uri="{FF2B5EF4-FFF2-40B4-BE49-F238E27FC236}">
              <a16:creationId xmlns:a16="http://schemas.microsoft.com/office/drawing/2014/main" id="{B5028467-45D5-49C8-B8E5-46D2B7D1067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2" name="CaixaDeTexto 1211">
          <a:extLst>
            <a:ext uri="{FF2B5EF4-FFF2-40B4-BE49-F238E27FC236}">
              <a16:creationId xmlns:a16="http://schemas.microsoft.com/office/drawing/2014/main" id="{9151FF45-AD74-4F4A-BA75-2E5C7EC47DD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3" name="CaixaDeTexto 1212">
          <a:extLst>
            <a:ext uri="{FF2B5EF4-FFF2-40B4-BE49-F238E27FC236}">
              <a16:creationId xmlns:a16="http://schemas.microsoft.com/office/drawing/2014/main" id="{7DCA61C2-3E07-490E-AFD9-1346E267AF6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4" name="CaixaDeTexto 1213">
          <a:extLst>
            <a:ext uri="{FF2B5EF4-FFF2-40B4-BE49-F238E27FC236}">
              <a16:creationId xmlns:a16="http://schemas.microsoft.com/office/drawing/2014/main" id="{5995A3A8-5976-4AEE-B975-9B5DC32EDB7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5" name="CaixaDeTexto 1214">
          <a:extLst>
            <a:ext uri="{FF2B5EF4-FFF2-40B4-BE49-F238E27FC236}">
              <a16:creationId xmlns:a16="http://schemas.microsoft.com/office/drawing/2014/main" id="{29D1526D-3AD8-4B2C-A7A6-E72C57F51DC3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6" name="CaixaDeTexto 1215">
          <a:extLst>
            <a:ext uri="{FF2B5EF4-FFF2-40B4-BE49-F238E27FC236}">
              <a16:creationId xmlns:a16="http://schemas.microsoft.com/office/drawing/2014/main" id="{26CF261A-9B49-4F53-A7B3-13EB9544C92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7" name="CaixaDeTexto 1216">
          <a:extLst>
            <a:ext uri="{FF2B5EF4-FFF2-40B4-BE49-F238E27FC236}">
              <a16:creationId xmlns:a16="http://schemas.microsoft.com/office/drawing/2014/main" id="{3FCE4C8B-9BC7-4129-B738-EEAF06FC1C9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8" name="CaixaDeTexto 1217">
          <a:extLst>
            <a:ext uri="{FF2B5EF4-FFF2-40B4-BE49-F238E27FC236}">
              <a16:creationId xmlns:a16="http://schemas.microsoft.com/office/drawing/2014/main" id="{17B51CD0-AC54-41B5-A94D-A1DC46BE54A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19" name="CaixaDeTexto 1218">
          <a:extLst>
            <a:ext uri="{FF2B5EF4-FFF2-40B4-BE49-F238E27FC236}">
              <a16:creationId xmlns:a16="http://schemas.microsoft.com/office/drawing/2014/main" id="{27F1CE1E-2350-4372-A2C5-0F00AC29158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0" name="CaixaDeTexto 1219">
          <a:extLst>
            <a:ext uri="{FF2B5EF4-FFF2-40B4-BE49-F238E27FC236}">
              <a16:creationId xmlns:a16="http://schemas.microsoft.com/office/drawing/2014/main" id="{4B589A1C-363C-4704-8757-285FCF8150A4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1" name="CaixaDeTexto 1220">
          <a:extLst>
            <a:ext uri="{FF2B5EF4-FFF2-40B4-BE49-F238E27FC236}">
              <a16:creationId xmlns:a16="http://schemas.microsoft.com/office/drawing/2014/main" id="{940BFC0B-9689-4632-B6CF-9FA7585F393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2" name="CaixaDeTexto 1221">
          <a:extLst>
            <a:ext uri="{FF2B5EF4-FFF2-40B4-BE49-F238E27FC236}">
              <a16:creationId xmlns:a16="http://schemas.microsoft.com/office/drawing/2014/main" id="{F9C23DF8-88F1-4D16-9E58-3645DD6B96F7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3" name="CaixaDeTexto 1222">
          <a:extLst>
            <a:ext uri="{FF2B5EF4-FFF2-40B4-BE49-F238E27FC236}">
              <a16:creationId xmlns:a16="http://schemas.microsoft.com/office/drawing/2014/main" id="{4A81C6AE-8C8A-45D9-B2EA-F5DEEE9D97DB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4" name="CaixaDeTexto 1223">
          <a:extLst>
            <a:ext uri="{FF2B5EF4-FFF2-40B4-BE49-F238E27FC236}">
              <a16:creationId xmlns:a16="http://schemas.microsoft.com/office/drawing/2014/main" id="{754BC34E-1CB3-412F-B5F3-FC92CF9DCF4D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5" name="CaixaDeTexto 1224">
          <a:extLst>
            <a:ext uri="{FF2B5EF4-FFF2-40B4-BE49-F238E27FC236}">
              <a16:creationId xmlns:a16="http://schemas.microsoft.com/office/drawing/2014/main" id="{2F7195A6-BC83-43F2-A0FE-DADDE4A661CF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6" name="CaixaDeTexto 1225">
          <a:extLst>
            <a:ext uri="{FF2B5EF4-FFF2-40B4-BE49-F238E27FC236}">
              <a16:creationId xmlns:a16="http://schemas.microsoft.com/office/drawing/2014/main" id="{1A87710E-2C02-4466-8943-0D8928CAF5DE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7" name="CaixaDeTexto 1226">
          <a:extLst>
            <a:ext uri="{FF2B5EF4-FFF2-40B4-BE49-F238E27FC236}">
              <a16:creationId xmlns:a16="http://schemas.microsoft.com/office/drawing/2014/main" id="{FDEDC27E-B7A5-467A-B078-01D3C79A2CCA}"/>
            </a:ext>
          </a:extLst>
        </xdr:cNvPr>
        <xdr:cNvSpPr txBox="1"/>
      </xdr:nvSpPr>
      <xdr:spPr>
        <a:xfrm>
          <a:off x="13880913" y="1438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8" name="CaixaDeTexto 1227">
          <a:extLst>
            <a:ext uri="{FF2B5EF4-FFF2-40B4-BE49-F238E27FC236}">
              <a16:creationId xmlns:a16="http://schemas.microsoft.com/office/drawing/2014/main" id="{85D28F14-E815-40A8-930E-847DB24171C6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29" name="CaixaDeTexto 1228">
          <a:extLst>
            <a:ext uri="{FF2B5EF4-FFF2-40B4-BE49-F238E27FC236}">
              <a16:creationId xmlns:a16="http://schemas.microsoft.com/office/drawing/2014/main" id="{7D47A34F-437C-4BA0-8A20-08F3CCEF383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0" name="CaixaDeTexto 1229">
          <a:extLst>
            <a:ext uri="{FF2B5EF4-FFF2-40B4-BE49-F238E27FC236}">
              <a16:creationId xmlns:a16="http://schemas.microsoft.com/office/drawing/2014/main" id="{A5D6B17D-6DF5-4CB4-B98E-9A22103A9AF1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1" name="CaixaDeTexto 1230">
          <a:extLst>
            <a:ext uri="{FF2B5EF4-FFF2-40B4-BE49-F238E27FC236}">
              <a16:creationId xmlns:a16="http://schemas.microsoft.com/office/drawing/2014/main" id="{A7941CB2-88E7-4E23-8764-7F78796B13FF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2" name="CaixaDeTexto 1231">
          <a:extLst>
            <a:ext uri="{FF2B5EF4-FFF2-40B4-BE49-F238E27FC236}">
              <a16:creationId xmlns:a16="http://schemas.microsoft.com/office/drawing/2014/main" id="{F3592F69-9836-45AF-8CA7-C03164A7224C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3" name="CaixaDeTexto 1232">
          <a:extLst>
            <a:ext uri="{FF2B5EF4-FFF2-40B4-BE49-F238E27FC236}">
              <a16:creationId xmlns:a16="http://schemas.microsoft.com/office/drawing/2014/main" id="{03FF01C8-1104-430C-B474-B7F20F5C85BA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4" name="CaixaDeTexto 1233">
          <a:extLst>
            <a:ext uri="{FF2B5EF4-FFF2-40B4-BE49-F238E27FC236}">
              <a16:creationId xmlns:a16="http://schemas.microsoft.com/office/drawing/2014/main" id="{C2DA6712-5495-4C03-9A3E-281F79CBC2C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5" name="CaixaDeTexto 1234">
          <a:extLst>
            <a:ext uri="{FF2B5EF4-FFF2-40B4-BE49-F238E27FC236}">
              <a16:creationId xmlns:a16="http://schemas.microsoft.com/office/drawing/2014/main" id="{5D60AD5A-F2F9-476C-875A-016F2006CF52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6" name="CaixaDeTexto 1235">
          <a:extLst>
            <a:ext uri="{FF2B5EF4-FFF2-40B4-BE49-F238E27FC236}">
              <a16:creationId xmlns:a16="http://schemas.microsoft.com/office/drawing/2014/main" id="{E8B59D1B-A7A3-4B0C-80C8-2079C1948A38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7" name="CaixaDeTexto 1236">
          <a:extLst>
            <a:ext uri="{FF2B5EF4-FFF2-40B4-BE49-F238E27FC236}">
              <a16:creationId xmlns:a16="http://schemas.microsoft.com/office/drawing/2014/main" id="{4B90B11F-C3C2-438C-821F-D17E6EEF4379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16</xdr:col>
      <xdr:colOff>2988</xdr:colOff>
      <xdr:row>48</xdr:row>
      <xdr:rowOff>0</xdr:rowOff>
    </xdr:from>
    <xdr:ext cx="184731" cy="264560"/>
    <xdr:sp macro="" textlink="">
      <xdr:nvSpPr>
        <xdr:cNvPr id="1238" name="CaixaDeTexto 1237">
          <a:extLst>
            <a:ext uri="{FF2B5EF4-FFF2-40B4-BE49-F238E27FC236}">
              <a16:creationId xmlns:a16="http://schemas.microsoft.com/office/drawing/2014/main" id="{4148AAAF-348A-4C5B-9149-88FBF7CBFB15}"/>
            </a:ext>
          </a:extLst>
        </xdr:cNvPr>
        <xdr:cNvSpPr txBox="1"/>
      </xdr:nvSpPr>
      <xdr:spPr>
        <a:xfrm>
          <a:off x="13880913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706583</xdr:colOff>
      <xdr:row>2</xdr:row>
      <xdr:rowOff>27711</xdr:rowOff>
    </xdr:from>
    <xdr:ext cx="1163782" cy="928254"/>
    <xdr:pic>
      <xdr:nvPicPr>
        <xdr:cNvPr id="315" name="image1.png" title="Imagem">
          <a:extLst>
            <a:ext uri="{FF2B5EF4-FFF2-40B4-BE49-F238E27FC236}">
              <a16:creationId xmlns:a16="http://schemas.microsoft.com/office/drawing/2014/main" id="{8902CFE3-64D9-44D7-904D-1DEC82DBE4F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42110" y="318656"/>
          <a:ext cx="1163782" cy="928254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CA05E1E-EF7A-4825-9CA9-18FA1C6A509F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43</xdr:row>
      <xdr:rowOff>44823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F462445-29E5-4F17-A12C-0D82DC8BE03C}"/>
            </a:ext>
          </a:extLst>
        </xdr:cNvPr>
        <xdr:cNvSpPr txBox="1"/>
      </xdr:nvSpPr>
      <xdr:spPr>
        <a:xfrm>
          <a:off x="19195863" y="116653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E4B3760-23D0-45D4-BC1F-42AED117374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77BE79D-2EA2-4113-8DDE-E800EC8C0883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ADFAEE9-C84E-4B28-93B3-3D8184519A0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B0C3D31-814E-4D73-A098-5CD6F33C40BB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9AFF77B-6FB5-47D9-9861-C691B08FC563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9C54022-9686-4703-876A-B69C4966A00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2181A97-A081-4894-B33F-9A4C772DDE1F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181517BC-BB0F-4497-BB23-329331CD4417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76856008-D807-439E-90D5-41D5B73F30A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6D6AC54-95D8-454F-88C8-CAEFF1D4A76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3B6AF2B-D1EE-4E1E-B17E-6DBFAF7627FC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36754D97-4788-4655-8716-32A56AFA892E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43</xdr:row>
      <xdr:rowOff>44823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485F2070-9F0B-41F5-9F99-12C0DE53AD6C}"/>
            </a:ext>
          </a:extLst>
        </xdr:cNvPr>
        <xdr:cNvSpPr txBox="1"/>
      </xdr:nvSpPr>
      <xdr:spPr>
        <a:xfrm>
          <a:off x="19195863" y="116653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29</xdr:col>
      <xdr:colOff>585376</xdr:colOff>
      <xdr:row>156</xdr:row>
      <xdr:rowOff>101600</xdr:rowOff>
    </xdr:from>
    <xdr:ext cx="1060378" cy="368828"/>
    <xdr:pic>
      <xdr:nvPicPr>
        <xdr:cNvPr id="18" name="Imagem 17">
          <a:extLst>
            <a:ext uri="{FF2B5EF4-FFF2-40B4-BE49-F238E27FC236}">
              <a16:creationId xmlns:a16="http://schemas.microsoft.com/office/drawing/2014/main" id="{7AF0FD94-7623-4EA3-A016-57BAF6B4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7470" y="38213506"/>
          <a:ext cx="1060378" cy="368828"/>
        </a:xfrm>
        <a:prstGeom prst="rect">
          <a:avLst/>
        </a:prstGeom>
      </xdr:spPr>
    </xdr:pic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30766B3F-3E7A-4D95-AC24-6580C2B5351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6560AC3F-2EF6-46F7-8C5D-EEA946111B9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C20F6A87-3709-42CB-8221-13999F20653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744D207-B33C-4A95-A4E8-D12C39B4340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6C9C72DE-EFEE-4C8C-A6D8-E614698D3325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294F1DD-22FE-472D-861E-C9738E45EAF2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50E3F2B3-54B8-46A7-B613-3A5E08C2721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BE8467E2-12F0-4021-A33D-763BD4BEE972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7A1D4DA1-4DA7-4FEC-8C62-22E6D0243247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6D74880F-A161-4A95-9FF8-2E17EA3AADE8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F8F1E193-D4B3-4488-B910-D98C68C757D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4EEDBF5A-426D-48F1-806F-06FA364F1CB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EB4C0ABC-BCE6-4873-8E42-D4B132E91FB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B1ECF3F3-B1D9-4E73-80BD-B628C5334640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B36589B6-D9BE-4900-BA72-77DF493632D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29044905-4C8F-448D-AA61-627FA333268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C1E69AA7-9C04-4A4A-8572-BAA40F11B9A2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DFD54C19-884E-4720-9D73-AF9F9443E678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88FAEB17-4A2B-4278-B30A-2864E7D99F2D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DCBD9F0E-1CCE-4167-BBDE-E3DCD8D0E92D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7EEA5294-90B5-4761-844F-7526D01B5BA3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76661D-6AAE-4192-8093-115DD2D52FDE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D5070868-434A-490A-9C80-82D320CFF225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E150FCAC-1293-437F-8698-895C9062AAE5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12B730CD-B60E-4B44-9B68-F832C09EEA0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D6D88453-D703-4D51-B628-7F62A3B3088F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3F960F16-FA18-4FB7-9E42-DB1ECC94568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E24CF421-6541-4BAA-97A2-F6ED76C83E1E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B4BBDDE8-BAEF-43DC-8969-71278793D8E4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3825281C-9E70-4C86-B891-DB9A96860CD5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DD9C78E9-5250-42FF-94DB-C2DDAEED851C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34CD48AF-FC9C-4C92-B696-F5DFBF20E6C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62B776D7-F34A-43CA-BE16-6F79F2A1336B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921BEFED-8076-4BED-B710-79CDD160ED1D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0E30835E-FB9B-437A-A72D-8CEBE946B924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1E3F487B-4BA7-462C-A010-4BC50F78148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C029D735-AA4B-48EF-8608-BA040B7BBCD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4B2B6A8-1DCE-461B-8762-10E5E01BD268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3EAE580B-1F90-4DC5-9FBF-28265C3D7ECE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CD62E4C7-34F0-4619-8FA1-F112F668E967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24EE87BA-8787-4101-A04C-F44A18C378CA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B1C7AFDD-B7FB-40E7-A0B6-5858FAFA3204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25D021EC-70FA-4FD4-8ABE-CFED3901B8BC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292868DE-8BCF-4ACC-BFF5-402104EEDBB3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7C6F829C-27DB-4A5E-A49D-FEF91A6D06C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22013A79-6477-4847-A6DC-B3C18B6A25C8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08A13F3D-49D1-4532-9DD6-817C741D8FF7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970B0178-D154-427B-B0B9-C5C40E0CF66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351E7EBD-AF66-4527-99CC-E39E1B57D865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C08E98F5-160B-449C-ABB3-145425813DEE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68525CCA-BCDC-4C11-9ADD-28E227F2C7E1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FBC4000E-5B1C-4E4A-B76F-380CA977CB73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C22324BD-9906-4132-82B3-2CEF3B5DC61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2140AEDF-0926-4FF3-887E-B079E7A4C9BC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355E5F34-66DD-4B80-8506-2F79D8C8882A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F59479B9-C75A-4F24-8AAE-5B8264B1338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514AB427-4B3B-43A7-9CCC-02C51FF34D43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90FC996D-506D-448F-BA7B-6915C53A44D7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504AF8EF-1E6E-4B4E-949C-85204025EFFF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A3C86175-3789-47BF-9C32-6F26CAB09F0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DC379774-944B-4A01-981F-946060487882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1F3D3ADC-4477-4134-BDA5-27775FBE5FA7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4C26AE28-3CDD-40BE-8E58-DE3C0D78EA3B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27D1D8CA-E536-4CE3-B242-D81CAF7C6DA5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48FB1F0F-7CCA-4FB7-AFD5-9B34B7BCB363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52572540-6EA4-4949-8B82-1314907A591B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86950D0B-430D-4E13-A07D-B6CBBDE2AAE9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5AC0EF32-95C9-488F-B378-63409B5508FD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C93B789A-D0DA-4A5D-B8BB-22AACF58773C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C0835F6F-F664-4C12-9698-A60E7272D844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779149D3-71F2-4610-A613-6F0D5EC0A392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52D5FE53-781B-4E76-86BA-1AC5F1DE5886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B6EE1C22-3190-49C5-A0D2-9990AEF9273D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163</xdr:row>
      <xdr:rowOff>0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5B0C3A4D-34F1-473A-87EA-9F0FE600E0B0}"/>
            </a:ext>
          </a:extLst>
        </xdr:cNvPr>
        <xdr:cNvSpPr txBox="1"/>
      </xdr:nvSpPr>
      <xdr:spPr>
        <a:xfrm>
          <a:off x="19195863" y="3944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993588</xdr:colOff>
      <xdr:row>10</xdr:row>
      <xdr:rowOff>0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1E188713-8AA7-4141-BDAD-0D6ABE026099}"/>
            </a:ext>
          </a:extLst>
        </xdr:cNvPr>
        <xdr:cNvSpPr txBox="1"/>
      </xdr:nvSpPr>
      <xdr:spPr>
        <a:xfrm>
          <a:off x="7920168" y="2080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993588</xdr:colOff>
      <xdr:row>10</xdr:row>
      <xdr:rowOff>0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E6D90360-37FE-4624-8B30-1C9DEE667912}"/>
            </a:ext>
          </a:extLst>
        </xdr:cNvPr>
        <xdr:cNvSpPr txBox="1"/>
      </xdr:nvSpPr>
      <xdr:spPr>
        <a:xfrm>
          <a:off x="7920168" y="2080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EB35A706-4F10-406B-BF08-A8F070DD8116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F3F624FC-611F-4B5B-AE07-C06E559C525D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A4D37431-0CF1-47DB-9939-522FAEB1D446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65A055D5-FAA7-4D99-B0E2-DA748B56765F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145</xdr:row>
      <xdr:rowOff>0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0C1E4EF1-2D05-49C7-81B0-CA735D4027D1}"/>
            </a:ext>
          </a:extLst>
        </xdr:cNvPr>
        <xdr:cNvSpPr txBox="1"/>
      </xdr:nvSpPr>
      <xdr:spPr>
        <a:xfrm>
          <a:off x="19195863" y="3601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145</xdr:row>
      <xdr:rowOff>0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F8229762-3E15-4CA7-AF4A-22E120FE1476}"/>
            </a:ext>
          </a:extLst>
        </xdr:cNvPr>
        <xdr:cNvSpPr txBox="1"/>
      </xdr:nvSpPr>
      <xdr:spPr>
        <a:xfrm>
          <a:off x="19195863" y="3601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321EF839-DE53-4F0F-B5B5-221A2700AD9D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CEFADFF6-F72B-4956-9970-B887F0F1F3C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36</xdr:col>
      <xdr:colOff>607</xdr:colOff>
      <xdr:row>66</xdr:row>
      <xdr:rowOff>0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A2B06E05-FEB3-40D4-B395-4C9B1F720DF7}"/>
            </a:ext>
          </a:extLst>
        </xdr:cNvPr>
        <xdr:cNvSpPr txBox="1"/>
      </xdr:nvSpPr>
      <xdr:spPr>
        <a:xfrm>
          <a:off x="32123670" y="2209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36</xdr:col>
      <xdr:colOff>607</xdr:colOff>
      <xdr:row>66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65752EEF-8E38-468B-BD3A-897DC22EAAE5}"/>
            </a:ext>
          </a:extLst>
        </xdr:cNvPr>
        <xdr:cNvSpPr txBox="1"/>
      </xdr:nvSpPr>
      <xdr:spPr>
        <a:xfrm>
          <a:off x="32123670" y="2209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57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B9E66071-1293-48ED-AA5E-E71B63C97B88}"/>
            </a:ext>
          </a:extLst>
        </xdr:cNvPr>
        <xdr:cNvSpPr txBox="1"/>
      </xdr:nvSpPr>
      <xdr:spPr>
        <a:xfrm>
          <a:off x="1919586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57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F0925EBD-717E-4D74-9EB2-297A7F10A372}"/>
            </a:ext>
          </a:extLst>
        </xdr:cNvPr>
        <xdr:cNvSpPr txBox="1"/>
      </xdr:nvSpPr>
      <xdr:spPr>
        <a:xfrm>
          <a:off x="1919586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88D8FF45-7DA7-4DF9-BCDD-5B1370AFB1C2}"/>
            </a:ext>
          </a:extLst>
        </xdr:cNvPr>
        <xdr:cNvSpPr txBox="1"/>
      </xdr:nvSpPr>
      <xdr:spPr>
        <a:xfrm>
          <a:off x="19195863" y="189043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EB969633-9654-43D1-AFB6-C236EC5C0CE7}"/>
            </a:ext>
          </a:extLst>
        </xdr:cNvPr>
        <xdr:cNvSpPr txBox="1"/>
      </xdr:nvSpPr>
      <xdr:spPr>
        <a:xfrm>
          <a:off x="19195863" y="189043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A8C3443C-4AE3-4F4F-8F28-E15A2CFA1A41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1466E480-01F4-446A-9A01-1DB980BF7F3F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7687B799-3D12-485D-88CC-CFF00D647E8F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159FE75F-6C30-429F-8F86-4501D60B37BA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C38ECA95-5C8C-4B10-9151-2B3B6A6091EC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F8D386A5-116D-4573-A0AB-E5CCA2DA2941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18A9D23F-7A37-4FE6-96CF-24D464530FC1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B34DA5E-23C9-48C5-985F-9D8E2084FFB0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25FC0AF2-9BB4-411E-9431-B63C54D64D3C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8CD8DDEB-AEC4-4E24-AF4E-CB91BCBE7E0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C9CAA956-4100-43E1-B335-38D14289A8FE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9AAF7DAB-9DE1-417D-B14D-51FC9D8A10C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2765F855-D275-48CB-B182-B6FABD92CD8E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3AEB0686-2F8E-44D0-BF73-E5FD62A971A7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FA074385-39A8-4657-A0DC-BC4CE0824548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1F3E3439-8C17-48DD-B1C9-B4BEEB611F18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4F85110E-AD20-4503-8777-C21F67BB88BE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E24936B2-9E89-412F-9408-BB0A92EDD806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673E97E1-7B71-4298-A8C0-280820B0733B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B292ECE7-649B-47DB-BE3D-02A01069A324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12C18889-A7DB-4842-9BF7-CB9B4935FD89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7505056F-E53F-4208-A997-272ED32D3E0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5211C533-5D8D-45EF-BD63-77A0E043FB59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E337F89E-BE2C-4BD1-9174-7DD03652AA2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0136D8FD-1296-4AEF-9EE8-DA951BA66E70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FEE20F65-EE09-4D9C-8D65-F3B3865D4F8E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E6510FDE-59BF-4BB1-AEA5-73C0FF756937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0F31CBF5-5C01-47A9-9A50-71DB4AFE42A9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E7C30CBB-35E1-4F80-895B-1E082B5B953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02158CBE-841C-49D8-B8C8-CD24651CF9A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B3AB26D6-0E23-4F2E-82B7-D329CF87E91D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032C5D32-914B-49BE-88F1-3FFAB4C7AD1B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D49ACBCA-10F4-432D-8A11-559E5D00D6A8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54F38E98-CBD3-49CF-A737-C7803A298DA7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36</xdr:col>
      <xdr:colOff>607</xdr:colOff>
      <xdr:row>78</xdr:row>
      <xdr:rowOff>0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5C867621-85C4-496F-99B8-FCFC83E3F257}"/>
            </a:ext>
          </a:extLst>
        </xdr:cNvPr>
        <xdr:cNvSpPr txBox="1"/>
      </xdr:nvSpPr>
      <xdr:spPr>
        <a:xfrm>
          <a:off x="32123670" y="243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36</xdr:col>
      <xdr:colOff>607</xdr:colOff>
      <xdr:row>78</xdr:row>
      <xdr:rowOff>0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1468BA17-4F37-46E6-BB49-B49846DA9C9C}"/>
            </a:ext>
          </a:extLst>
        </xdr:cNvPr>
        <xdr:cNvSpPr txBox="1"/>
      </xdr:nvSpPr>
      <xdr:spPr>
        <a:xfrm>
          <a:off x="32123670" y="243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36</xdr:col>
      <xdr:colOff>607</xdr:colOff>
      <xdr:row>78</xdr:row>
      <xdr:rowOff>0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C2275777-C918-44A4-A98D-FBD4101A6CA1}"/>
            </a:ext>
          </a:extLst>
        </xdr:cNvPr>
        <xdr:cNvSpPr txBox="1"/>
      </xdr:nvSpPr>
      <xdr:spPr>
        <a:xfrm>
          <a:off x="32123670" y="243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36</xdr:col>
      <xdr:colOff>607</xdr:colOff>
      <xdr:row>78</xdr:row>
      <xdr:rowOff>0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1D8528A4-CE53-4EDC-9C94-B8187012166D}"/>
            </a:ext>
          </a:extLst>
        </xdr:cNvPr>
        <xdr:cNvSpPr txBox="1"/>
      </xdr:nvSpPr>
      <xdr:spPr>
        <a:xfrm>
          <a:off x="32123670" y="243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A083B875-D94B-4910-B911-2FC3CDB2152C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A4040453-7BC3-4FB8-AD72-74865F6F1441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1555C081-5455-4012-A181-1ABDE1746947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80FF07F3-50CF-4884-8209-E8D3CB22CA67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6B590F8C-BA30-48B7-8AC9-09AD430EA85B}"/>
            </a:ext>
          </a:extLst>
        </xdr:cNvPr>
        <xdr:cNvSpPr txBox="1"/>
      </xdr:nvSpPr>
      <xdr:spPr>
        <a:xfrm>
          <a:off x="19195863" y="29920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6E0B5308-ACE4-41B8-84B8-CC3AECB5C4A4}"/>
            </a:ext>
          </a:extLst>
        </xdr:cNvPr>
        <xdr:cNvSpPr txBox="1"/>
      </xdr:nvSpPr>
      <xdr:spPr>
        <a:xfrm>
          <a:off x="19195863" y="29920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7FB96DD8-5D47-4A29-8BCB-9CF9C40B1140}"/>
            </a:ext>
          </a:extLst>
        </xdr:cNvPr>
        <xdr:cNvSpPr txBox="1"/>
      </xdr:nvSpPr>
      <xdr:spPr>
        <a:xfrm>
          <a:off x="19195863" y="29920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E0A84570-453F-4B3F-85B7-07D654DF9182}"/>
            </a:ext>
          </a:extLst>
        </xdr:cNvPr>
        <xdr:cNvSpPr txBox="1"/>
      </xdr:nvSpPr>
      <xdr:spPr>
        <a:xfrm>
          <a:off x="19195863" y="29920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CB52BF90-9995-4F37-8340-B4DFC3E92F2D}"/>
            </a:ext>
          </a:extLst>
        </xdr:cNvPr>
        <xdr:cNvSpPr txBox="1"/>
      </xdr:nvSpPr>
      <xdr:spPr>
        <a:xfrm>
          <a:off x="19195863" y="30110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49A86743-AEEC-4A5B-9A8F-5610F0A51799}"/>
            </a:ext>
          </a:extLst>
        </xdr:cNvPr>
        <xdr:cNvSpPr txBox="1"/>
      </xdr:nvSpPr>
      <xdr:spPr>
        <a:xfrm>
          <a:off x="19195863" y="30110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7D7E8E4E-C7E3-484E-AC60-41A14D92D1C9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02320243-8CB7-4901-9BB3-12911411DB8B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5F7562EB-B188-4A85-8AF6-295167EAB68D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01DF36D5-235A-4929-8110-706E968CE38E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D48BF9BB-2FCE-48EB-BB13-29367596762B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B3E9263B-03D1-435E-BE24-BC7930832580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B73E93A5-064A-4DA0-9045-A2FAF8883ADF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FFCB1FB7-FD28-44F5-8784-CD5A8CBD1DA0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8B39D4FB-87D7-485C-A1D2-6DA349D6AD79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BA6C2627-2144-45D4-AD34-CD475AA7FDA8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EAE985D1-C0D1-4B23-8D71-E11C7614BF31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BE33B729-CD6F-4DE4-9213-6282AC2A5D5D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145</xdr:row>
      <xdr:rowOff>0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AAA024E0-43B1-4117-A794-47516B2F68EE}"/>
            </a:ext>
          </a:extLst>
        </xdr:cNvPr>
        <xdr:cNvSpPr txBox="1"/>
      </xdr:nvSpPr>
      <xdr:spPr>
        <a:xfrm>
          <a:off x="19195863" y="3601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145</xdr:row>
      <xdr:rowOff>0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1DFCE0EF-00B9-4306-90E5-03E8649DCC62}"/>
            </a:ext>
          </a:extLst>
        </xdr:cNvPr>
        <xdr:cNvSpPr txBox="1"/>
      </xdr:nvSpPr>
      <xdr:spPr>
        <a:xfrm>
          <a:off x="19195863" y="3601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145</xdr:row>
      <xdr:rowOff>0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3EF01FEB-0945-4731-A21C-76CA90E95EF7}"/>
            </a:ext>
          </a:extLst>
        </xdr:cNvPr>
        <xdr:cNvSpPr txBox="1"/>
      </xdr:nvSpPr>
      <xdr:spPr>
        <a:xfrm>
          <a:off x="19195863" y="3601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145</xdr:row>
      <xdr:rowOff>0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8391F44F-FBD0-4A01-B072-B711D236BF2C}"/>
            </a:ext>
          </a:extLst>
        </xdr:cNvPr>
        <xdr:cNvSpPr txBox="1"/>
      </xdr:nvSpPr>
      <xdr:spPr>
        <a:xfrm>
          <a:off x="19195863" y="3601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146</xdr:row>
      <xdr:rowOff>0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5AC81348-D035-4045-9504-32B761F3417D}"/>
            </a:ext>
          </a:extLst>
        </xdr:cNvPr>
        <xdr:cNvSpPr txBox="1"/>
      </xdr:nvSpPr>
      <xdr:spPr>
        <a:xfrm>
          <a:off x="19195863" y="3620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B0039BAB-FC76-4915-9CBF-E5953E434A3F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E46C5EC9-8415-4FC2-9452-A38C4B43BF48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53859C67-D789-441F-990F-36D8F91D47EC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F249FD20-B60C-4D57-9359-951F3AC21321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F132132F-16CF-4670-9D0C-95EDC69AA47D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17B7797F-3CA3-45BA-B664-FAE63082DB8D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4638CC6D-130C-496A-A293-10839AA67AC1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1284C26B-1022-40AD-8A6C-BAD2859C9E37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DB393330-0EB0-44D0-B2B9-A2827D65C6E7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150</xdr:row>
      <xdr:rowOff>0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D6D6B889-6859-418D-9858-B75D3D45C10B}"/>
            </a:ext>
          </a:extLst>
        </xdr:cNvPr>
        <xdr:cNvSpPr txBox="1"/>
      </xdr:nvSpPr>
      <xdr:spPr>
        <a:xfrm>
          <a:off x="19195863" y="3696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151</xdr:row>
      <xdr:rowOff>0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C13C801-0FC6-449D-8F40-4F2E2ACB95F1}"/>
            </a:ext>
          </a:extLst>
        </xdr:cNvPr>
        <xdr:cNvSpPr txBox="1"/>
      </xdr:nvSpPr>
      <xdr:spPr>
        <a:xfrm>
          <a:off x="19195863" y="37159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151</xdr:row>
      <xdr:rowOff>0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540AD4B0-E4A0-4E8C-A14A-E023C877885B}"/>
            </a:ext>
          </a:extLst>
        </xdr:cNvPr>
        <xdr:cNvSpPr txBox="1"/>
      </xdr:nvSpPr>
      <xdr:spPr>
        <a:xfrm>
          <a:off x="19195863" y="37159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63526ED0-8E02-4131-B44F-CB1260D90AFE}"/>
            </a:ext>
          </a:extLst>
        </xdr:cNvPr>
        <xdr:cNvSpPr txBox="1"/>
      </xdr:nvSpPr>
      <xdr:spPr>
        <a:xfrm>
          <a:off x="19195863" y="32968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C5EC3385-DED9-4BE2-9EFF-BC0C66394097}"/>
            </a:ext>
          </a:extLst>
        </xdr:cNvPr>
        <xdr:cNvSpPr txBox="1"/>
      </xdr:nvSpPr>
      <xdr:spPr>
        <a:xfrm>
          <a:off x="19195863" y="32968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973835B3-F0E2-45B8-B997-A2655FF512BB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9CB527B6-38D9-48EA-9E08-CB1D49F72B8E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9E7C9B88-F7A8-4296-BA30-DF656E45EC2D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56A7419C-D083-4071-B243-DEF7C033A36F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9748F222-A16B-489B-B79F-BD2014FC7410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94069CD4-D177-4130-844B-E40E3C61C43A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4F2D2657-2229-4CA5-B26A-50FD345A0DA8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A643D243-282D-4F96-8061-2D3C7911545E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7020683E-A275-4989-9B54-8DBCC73CF1D5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AE77F678-6462-4598-9C27-AE4407289BE2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5CEA307D-E68B-4E44-929A-8D7B0EE7096C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F2C73DE8-A673-4E68-9B48-95E09C4A0235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3FB91331-EBC3-4934-A128-33DB9323FA9D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B10F2B33-9D99-4EE3-87FA-621B779A4306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34B18569-25D7-4022-B2F1-4CBEC0A81C6A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FC59914F-83F2-4A08-9241-7626DBD9461A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6A959D44-6F86-4254-98DF-10D4772B0262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9282E61E-49E8-43B8-B2DC-50AA2CA9BD20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30D7D4E6-9F98-4CF4-9BD2-629990B858DC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6EC4E479-3E63-42A5-BAC0-AA866ABFFD48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D6219532-0F93-48B5-A982-CDAF38B80D25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7C824540-17F8-41AC-B703-EC33869C69C6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71149BD0-ABBB-4E9B-9924-D66408F85D74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CDA90B3C-6EFA-4C1A-A4E2-1FCC1762B9CD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BD0707D5-3AED-4361-BF63-2B5357969648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D22650AD-1EE7-45D3-9397-812A8A516D3E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2C3E08D6-7445-42CA-B4A0-3203626F4375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C624553C-A9C1-4CE0-8FFB-8D4A4593A0D4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900B0986-E9C5-4CBB-9B62-31FC395CD3ED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4D6EACA-4653-444A-9BC9-D2B1B399A9BE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CBE3E719-0F4E-426E-8469-E8A5F6A68BB1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85EE7461-DD87-4D6C-B8EB-28481E2A81E8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BC03F5EA-7409-4E01-8E5F-E2D5C109203A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6142C50B-BA70-4E2A-80AC-C4F3E7B77B6F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E85CFE86-F062-4609-A2DC-3E35D0BCB52C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F496865C-A182-473A-AB76-5F88FB0AA770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7031A04D-1595-4EE5-9ACB-6AC773614E72}"/>
            </a:ext>
          </a:extLst>
        </xdr:cNvPr>
        <xdr:cNvSpPr txBox="1"/>
      </xdr:nvSpPr>
      <xdr:spPr>
        <a:xfrm>
          <a:off x="19195863" y="32968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B03D0BE7-89C8-45AF-9D12-69CD256417EC}"/>
            </a:ext>
          </a:extLst>
        </xdr:cNvPr>
        <xdr:cNvSpPr txBox="1"/>
      </xdr:nvSpPr>
      <xdr:spPr>
        <a:xfrm>
          <a:off x="19195863" y="32968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30A5B7F5-FBDD-4784-821C-9821E9069630}"/>
            </a:ext>
          </a:extLst>
        </xdr:cNvPr>
        <xdr:cNvSpPr txBox="1"/>
      </xdr:nvSpPr>
      <xdr:spPr>
        <a:xfrm>
          <a:off x="19195863" y="32968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1BEFAB45-98BC-47DD-91F1-071AD9600E8E}"/>
            </a:ext>
          </a:extLst>
        </xdr:cNvPr>
        <xdr:cNvSpPr txBox="1"/>
      </xdr:nvSpPr>
      <xdr:spPr>
        <a:xfrm>
          <a:off x="19195863" y="32968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4184DE6F-3052-4409-BD2B-0F806899B778}"/>
            </a:ext>
          </a:extLst>
        </xdr:cNvPr>
        <xdr:cNvSpPr txBox="1"/>
      </xdr:nvSpPr>
      <xdr:spPr>
        <a:xfrm>
          <a:off x="19195863" y="3315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64A9A973-266E-4FE3-BA0F-D8E90ACF4BEC}"/>
            </a:ext>
          </a:extLst>
        </xdr:cNvPr>
        <xdr:cNvSpPr txBox="1"/>
      </xdr:nvSpPr>
      <xdr:spPr>
        <a:xfrm>
          <a:off x="19195863" y="33158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136</xdr:row>
      <xdr:rowOff>0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F305CA76-144D-4424-B49C-DECD38641B77}"/>
            </a:ext>
          </a:extLst>
        </xdr:cNvPr>
        <xdr:cNvSpPr txBox="1"/>
      </xdr:nvSpPr>
      <xdr:spPr>
        <a:xfrm>
          <a:off x="19195863" y="33920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136</xdr:row>
      <xdr:rowOff>0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391218CE-EE46-4F51-B032-07102FE3ADD2}"/>
            </a:ext>
          </a:extLst>
        </xdr:cNvPr>
        <xdr:cNvSpPr txBox="1"/>
      </xdr:nvSpPr>
      <xdr:spPr>
        <a:xfrm>
          <a:off x="19195863" y="33920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136</xdr:row>
      <xdr:rowOff>0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1145547D-09A0-4436-90F2-5B5A9ED0B4F4}"/>
            </a:ext>
          </a:extLst>
        </xdr:cNvPr>
        <xdr:cNvSpPr txBox="1"/>
      </xdr:nvSpPr>
      <xdr:spPr>
        <a:xfrm>
          <a:off x="19195863" y="33920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136</xdr:row>
      <xdr:rowOff>0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208223BE-1751-4122-ADAB-F0E6A8AB59A0}"/>
            </a:ext>
          </a:extLst>
        </xdr:cNvPr>
        <xdr:cNvSpPr txBox="1"/>
      </xdr:nvSpPr>
      <xdr:spPr>
        <a:xfrm>
          <a:off x="19195863" y="33920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09666991-E161-4CEC-B5B7-70DD8B84B3C2}"/>
            </a:ext>
          </a:extLst>
        </xdr:cNvPr>
        <xdr:cNvSpPr txBox="1"/>
      </xdr:nvSpPr>
      <xdr:spPr>
        <a:xfrm>
          <a:off x="19195863" y="3411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3C8698FD-D7B7-4B05-AB54-B06018E1A77D}"/>
            </a:ext>
          </a:extLst>
        </xdr:cNvPr>
        <xdr:cNvSpPr txBox="1"/>
      </xdr:nvSpPr>
      <xdr:spPr>
        <a:xfrm>
          <a:off x="19195863" y="3411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FC15808C-C72A-46A2-AD24-036B76519A58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436AFE88-A39B-4B14-8A10-64BDC70E9D9B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929F2D57-A8FD-4EA7-A7D2-3A73FDEA4C71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187BE767-C4D4-479D-A440-AC05F12F2123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62EC9A07-32C3-415A-BC4D-D6E247C664C8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139</xdr:row>
      <xdr:rowOff>0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157525C8-4472-4BC6-BEBE-90DEAD50B514}"/>
            </a:ext>
          </a:extLst>
        </xdr:cNvPr>
        <xdr:cNvSpPr txBox="1"/>
      </xdr:nvSpPr>
      <xdr:spPr>
        <a:xfrm>
          <a:off x="19195863" y="34873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82</xdr:row>
      <xdr:rowOff>0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69F59E39-3F87-4BC8-8055-82048146CD90}"/>
            </a:ext>
          </a:extLst>
        </xdr:cNvPr>
        <xdr:cNvSpPr txBox="1"/>
      </xdr:nvSpPr>
      <xdr:spPr>
        <a:xfrm>
          <a:off x="19195863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82</xdr:row>
      <xdr:rowOff>0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A79305C0-685A-4370-B9BD-E6A119226104}"/>
            </a:ext>
          </a:extLst>
        </xdr:cNvPr>
        <xdr:cNvSpPr txBox="1"/>
      </xdr:nvSpPr>
      <xdr:spPr>
        <a:xfrm>
          <a:off x="19195863" y="2514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4BD29B5F-153D-440E-876E-77F70D5BFCC6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05CFDA24-2090-48EA-BA44-59FEEA7CDAA5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9A2747D4-97ED-4817-90D6-BB2DCBFE1638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A68CCDD5-BA7C-472D-A562-24CF33AED766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73CD0D5D-2803-4C83-821B-E3347A303429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E891A5AD-D65F-4FE5-84DF-4CEF8BE1B77A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5AE75CBC-C5CD-45F9-BEC3-6D33A8DDE98A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243F12C3-2508-4D4D-BBE1-1BA5169EAD9A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E949489F-E33F-4082-AD4E-88EDC1224C85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98DF7D8A-3878-4317-8670-1001CE2C826C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A431F5EB-C624-4052-9A86-0B234F2DFD63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709DE753-E766-45A9-BEFC-DED31012CC7B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BE68A56E-EA9A-407E-90F1-17319E4061E2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135611B-BC7E-481E-9531-CF397E81162C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C70ADA0F-645E-4504-9282-850E894D711D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1472F937-32A5-4A45-8E5E-27A3C8F9DCA9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4" name="CaixaDeTexto 263">
          <a:extLst>
            <a:ext uri="{FF2B5EF4-FFF2-40B4-BE49-F238E27FC236}">
              <a16:creationId xmlns:a16="http://schemas.microsoft.com/office/drawing/2014/main" id="{9144FCF4-BDC2-46F3-A33D-B9D043BB88B3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BA0F4688-2B3F-4A38-80D0-C7185EC624FE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6" name="CaixaDeTexto 265">
          <a:extLst>
            <a:ext uri="{FF2B5EF4-FFF2-40B4-BE49-F238E27FC236}">
              <a16:creationId xmlns:a16="http://schemas.microsoft.com/office/drawing/2014/main" id="{06BA981E-92CD-4C1E-9DF2-1300EF684520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50B4F4A0-DCF8-4D75-BF57-BA07EBB05B44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9CD1F91E-8C60-4148-92C8-5CE19527B829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A2F7AEF0-4E58-4BE4-AE52-9495DFABFCAE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322B725A-E3B2-48DD-8B94-F45FA2AA3460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56C9DE00-977D-41B2-842B-8617E389CC12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2" name="CaixaDeTexto 271">
          <a:extLst>
            <a:ext uri="{FF2B5EF4-FFF2-40B4-BE49-F238E27FC236}">
              <a16:creationId xmlns:a16="http://schemas.microsoft.com/office/drawing/2014/main" id="{65A3CF34-3A6B-4171-8287-140A7A07A164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3" name="CaixaDeTexto 272">
          <a:extLst>
            <a:ext uri="{FF2B5EF4-FFF2-40B4-BE49-F238E27FC236}">
              <a16:creationId xmlns:a16="http://schemas.microsoft.com/office/drawing/2014/main" id="{0B251357-FD5D-44A4-8ACB-E47BCDCAD34F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4" name="CaixaDeTexto 273">
          <a:extLst>
            <a:ext uri="{FF2B5EF4-FFF2-40B4-BE49-F238E27FC236}">
              <a16:creationId xmlns:a16="http://schemas.microsoft.com/office/drawing/2014/main" id="{1E2A652F-17C4-422E-8823-F661AE0F0EC2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5" name="CaixaDeTexto 274">
          <a:extLst>
            <a:ext uri="{FF2B5EF4-FFF2-40B4-BE49-F238E27FC236}">
              <a16:creationId xmlns:a16="http://schemas.microsoft.com/office/drawing/2014/main" id="{C3E4B765-27FC-4AD5-B63C-9FE14A40D74A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6" name="CaixaDeTexto 275">
          <a:extLst>
            <a:ext uri="{FF2B5EF4-FFF2-40B4-BE49-F238E27FC236}">
              <a16:creationId xmlns:a16="http://schemas.microsoft.com/office/drawing/2014/main" id="{19FB49A6-B61A-4373-99CC-13A65E7FDC11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7" name="CaixaDeTexto 276">
          <a:extLst>
            <a:ext uri="{FF2B5EF4-FFF2-40B4-BE49-F238E27FC236}">
              <a16:creationId xmlns:a16="http://schemas.microsoft.com/office/drawing/2014/main" id="{A2782D7D-789A-4E72-B321-48EB9896C638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8" name="CaixaDeTexto 277">
          <a:extLst>
            <a:ext uri="{FF2B5EF4-FFF2-40B4-BE49-F238E27FC236}">
              <a16:creationId xmlns:a16="http://schemas.microsoft.com/office/drawing/2014/main" id="{5511B2F5-14D5-4A2A-BCDD-60982F192897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9E55CA71-CB49-4044-ADCF-68839B24BCF5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8F1C02EF-84D6-499C-A179-6CBE975EBB06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1" name="CaixaDeTexto 280">
          <a:extLst>
            <a:ext uri="{FF2B5EF4-FFF2-40B4-BE49-F238E27FC236}">
              <a16:creationId xmlns:a16="http://schemas.microsoft.com/office/drawing/2014/main" id="{D8CC4A8C-57DA-4F1B-A621-553FAAA12B35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2" name="CaixaDeTexto 281">
          <a:extLst>
            <a:ext uri="{FF2B5EF4-FFF2-40B4-BE49-F238E27FC236}">
              <a16:creationId xmlns:a16="http://schemas.microsoft.com/office/drawing/2014/main" id="{6BF46C79-2A77-42E4-B2B0-7FA3065CBF3C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3" name="CaixaDeTexto 282">
          <a:extLst>
            <a:ext uri="{FF2B5EF4-FFF2-40B4-BE49-F238E27FC236}">
              <a16:creationId xmlns:a16="http://schemas.microsoft.com/office/drawing/2014/main" id="{D644D3A4-F382-44E7-80F3-BD763DE71975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9859B09E-D02D-4CEB-88AD-CEC7816A0260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D7A39B92-CB8E-4339-BCD4-9F95310081FF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3125495D-E29A-4D1C-8E74-0A4610B586A9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88</xdr:row>
      <xdr:rowOff>0</xdr:rowOff>
    </xdr:from>
    <xdr:ext cx="184731" cy="264560"/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9721623B-68D6-4785-B5FF-1610A3480A11}"/>
            </a:ext>
          </a:extLst>
        </xdr:cNvPr>
        <xdr:cNvSpPr txBox="1"/>
      </xdr:nvSpPr>
      <xdr:spPr>
        <a:xfrm>
          <a:off x="19195863" y="262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68D97E2E-D427-4B09-93FC-2FD1177AC8CC}"/>
            </a:ext>
          </a:extLst>
        </xdr:cNvPr>
        <xdr:cNvSpPr txBox="1"/>
      </xdr:nvSpPr>
      <xdr:spPr>
        <a:xfrm>
          <a:off x="19195863" y="2839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3C98480A-68FF-4D19-B5BA-4A45DA8FFD5B}"/>
            </a:ext>
          </a:extLst>
        </xdr:cNvPr>
        <xdr:cNvSpPr txBox="1"/>
      </xdr:nvSpPr>
      <xdr:spPr>
        <a:xfrm>
          <a:off x="19195863" y="2839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C61FD2E-15C9-492E-9199-587FBDC3CCCD}"/>
            </a:ext>
          </a:extLst>
        </xdr:cNvPr>
        <xdr:cNvSpPr txBox="1"/>
      </xdr:nvSpPr>
      <xdr:spPr>
        <a:xfrm>
          <a:off x="19195863" y="2839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5955521A-A6CF-4B6E-9741-339FEEEED8C4}"/>
            </a:ext>
          </a:extLst>
        </xdr:cNvPr>
        <xdr:cNvSpPr txBox="1"/>
      </xdr:nvSpPr>
      <xdr:spPr>
        <a:xfrm>
          <a:off x="19195863" y="2839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4DA51897-18D4-4F88-9913-9D7565F5EC0C}"/>
            </a:ext>
          </a:extLst>
        </xdr:cNvPr>
        <xdr:cNvSpPr txBox="1"/>
      </xdr:nvSpPr>
      <xdr:spPr>
        <a:xfrm>
          <a:off x="19195863" y="2839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8A5E71B2-8A66-4DC7-B8CB-E5A055B159AD}"/>
            </a:ext>
          </a:extLst>
        </xdr:cNvPr>
        <xdr:cNvSpPr txBox="1"/>
      </xdr:nvSpPr>
      <xdr:spPr>
        <a:xfrm>
          <a:off x="19195863" y="28396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CBBA0A8A-64AB-4AF0-B0C9-0C2836F4097E}"/>
            </a:ext>
          </a:extLst>
        </xdr:cNvPr>
        <xdr:cNvSpPr txBox="1"/>
      </xdr:nvSpPr>
      <xdr:spPr>
        <a:xfrm>
          <a:off x="19195863" y="2858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4B66CFB2-EE32-4049-92DC-14BBC5A0374B}"/>
            </a:ext>
          </a:extLst>
        </xdr:cNvPr>
        <xdr:cNvSpPr txBox="1"/>
      </xdr:nvSpPr>
      <xdr:spPr>
        <a:xfrm>
          <a:off x="19195863" y="2858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D5F3EA3A-313D-49B6-87FD-53C9D3B098DD}"/>
            </a:ext>
          </a:extLst>
        </xdr:cNvPr>
        <xdr:cNvSpPr txBox="1"/>
      </xdr:nvSpPr>
      <xdr:spPr>
        <a:xfrm>
          <a:off x="19195863" y="2858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7" name="CaixaDeTexto 296">
          <a:extLst>
            <a:ext uri="{FF2B5EF4-FFF2-40B4-BE49-F238E27FC236}">
              <a16:creationId xmlns:a16="http://schemas.microsoft.com/office/drawing/2014/main" id="{CDE77808-DB26-4901-9C74-580B3241AC42}"/>
            </a:ext>
          </a:extLst>
        </xdr:cNvPr>
        <xdr:cNvSpPr txBox="1"/>
      </xdr:nvSpPr>
      <xdr:spPr>
        <a:xfrm>
          <a:off x="19195863" y="2858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8" name="CaixaDeTexto 297">
          <a:extLst>
            <a:ext uri="{FF2B5EF4-FFF2-40B4-BE49-F238E27FC236}">
              <a16:creationId xmlns:a16="http://schemas.microsoft.com/office/drawing/2014/main" id="{8811077C-7793-41E7-B274-4C75ACC3E04A}"/>
            </a:ext>
          </a:extLst>
        </xdr:cNvPr>
        <xdr:cNvSpPr txBox="1"/>
      </xdr:nvSpPr>
      <xdr:spPr>
        <a:xfrm>
          <a:off x="19195863" y="2858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D8FCFD53-0D37-4DB6-A0DC-ED3A2B7EB70F}"/>
            </a:ext>
          </a:extLst>
        </xdr:cNvPr>
        <xdr:cNvSpPr txBox="1"/>
      </xdr:nvSpPr>
      <xdr:spPr>
        <a:xfrm>
          <a:off x="19195863" y="28586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BF08951E-35EE-4190-860C-34D17C4FE000}"/>
            </a:ext>
          </a:extLst>
        </xdr:cNvPr>
        <xdr:cNvSpPr txBox="1"/>
      </xdr:nvSpPr>
      <xdr:spPr>
        <a:xfrm>
          <a:off x="19195863" y="28777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CF8884E9-EFD0-4356-859C-A5EFC3DD26BD}"/>
            </a:ext>
          </a:extLst>
        </xdr:cNvPr>
        <xdr:cNvSpPr txBox="1"/>
      </xdr:nvSpPr>
      <xdr:spPr>
        <a:xfrm>
          <a:off x="19195863" y="28777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0A108FB1-E33A-4D12-9E8F-88673EAE53E7}"/>
            </a:ext>
          </a:extLst>
        </xdr:cNvPr>
        <xdr:cNvSpPr txBox="1"/>
      </xdr:nvSpPr>
      <xdr:spPr>
        <a:xfrm>
          <a:off x="19195863" y="28777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C14081C4-CAC5-4B9F-8B63-DABE333866E5}"/>
            </a:ext>
          </a:extLst>
        </xdr:cNvPr>
        <xdr:cNvSpPr txBox="1"/>
      </xdr:nvSpPr>
      <xdr:spPr>
        <a:xfrm>
          <a:off x="19195863" y="28777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A7503477-9D71-4CC3-B8A5-BAD9F7039AA2}"/>
            </a:ext>
          </a:extLst>
        </xdr:cNvPr>
        <xdr:cNvSpPr txBox="1"/>
      </xdr:nvSpPr>
      <xdr:spPr>
        <a:xfrm>
          <a:off x="19195863" y="28777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95D60594-CC8C-42CC-AB57-C4BAF3E383CA}"/>
            </a:ext>
          </a:extLst>
        </xdr:cNvPr>
        <xdr:cNvSpPr txBox="1"/>
      </xdr:nvSpPr>
      <xdr:spPr>
        <a:xfrm>
          <a:off x="19195863" y="28777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818494B4-776C-49EC-BC7D-1C7F9C59D24C}"/>
            </a:ext>
          </a:extLst>
        </xdr:cNvPr>
        <xdr:cNvSpPr txBox="1"/>
      </xdr:nvSpPr>
      <xdr:spPr>
        <a:xfrm>
          <a:off x="19195863" y="28967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75D03EF0-16FA-4E60-B74F-C0F1CF190E15}"/>
            </a:ext>
          </a:extLst>
        </xdr:cNvPr>
        <xdr:cNvSpPr txBox="1"/>
      </xdr:nvSpPr>
      <xdr:spPr>
        <a:xfrm>
          <a:off x="19195863" y="28967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7F05298D-5465-4264-8A7C-3FCF812D8330}"/>
            </a:ext>
          </a:extLst>
        </xdr:cNvPr>
        <xdr:cNvSpPr txBox="1"/>
      </xdr:nvSpPr>
      <xdr:spPr>
        <a:xfrm>
          <a:off x="19195863" y="28967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09" name="CaixaDeTexto 308">
          <a:extLst>
            <a:ext uri="{FF2B5EF4-FFF2-40B4-BE49-F238E27FC236}">
              <a16:creationId xmlns:a16="http://schemas.microsoft.com/office/drawing/2014/main" id="{68BAAEB1-77E8-454D-AFB6-3DFFC7AE2BAC}"/>
            </a:ext>
          </a:extLst>
        </xdr:cNvPr>
        <xdr:cNvSpPr txBox="1"/>
      </xdr:nvSpPr>
      <xdr:spPr>
        <a:xfrm>
          <a:off x="19195863" y="28967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B1D2ACE5-C4FF-417D-8E58-26CEF4654A94}"/>
            </a:ext>
          </a:extLst>
        </xdr:cNvPr>
        <xdr:cNvSpPr txBox="1"/>
      </xdr:nvSpPr>
      <xdr:spPr>
        <a:xfrm>
          <a:off x="19195863" y="28967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DD4CFEB9-E6C0-45A5-8CE6-5744A3BD9E29}"/>
            </a:ext>
          </a:extLst>
        </xdr:cNvPr>
        <xdr:cNvSpPr txBox="1"/>
      </xdr:nvSpPr>
      <xdr:spPr>
        <a:xfrm>
          <a:off x="19195863" y="28967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2" name="CaixaDeTexto 311">
          <a:extLst>
            <a:ext uri="{FF2B5EF4-FFF2-40B4-BE49-F238E27FC236}">
              <a16:creationId xmlns:a16="http://schemas.microsoft.com/office/drawing/2014/main" id="{8205C620-0281-46FE-B11E-B2668806008B}"/>
            </a:ext>
          </a:extLst>
        </xdr:cNvPr>
        <xdr:cNvSpPr txBox="1"/>
      </xdr:nvSpPr>
      <xdr:spPr>
        <a:xfrm>
          <a:off x="19195863" y="29729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4DCB4FE2-A792-4D70-AE1C-432DC947263A}"/>
            </a:ext>
          </a:extLst>
        </xdr:cNvPr>
        <xdr:cNvSpPr txBox="1"/>
      </xdr:nvSpPr>
      <xdr:spPr>
        <a:xfrm>
          <a:off x="19195863" y="29729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FC874F3F-2F6B-4662-B322-1F3301F45F06}"/>
            </a:ext>
          </a:extLst>
        </xdr:cNvPr>
        <xdr:cNvSpPr txBox="1"/>
      </xdr:nvSpPr>
      <xdr:spPr>
        <a:xfrm>
          <a:off x="19195863" y="29729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77CC6A6B-4A3F-4510-A2ED-B6FA180AA548}"/>
            </a:ext>
          </a:extLst>
        </xdr:cNvPr>
        <xdr:cNvSpPr txBox="1"/>
      </xdr:nvSpPr>
      <xdr:spPr>
        <a:xfrm>
          <a:off x="19195863" y="29729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E09B6CB6-695A-4088-8EBB-4283141AF85D}"/>
            </a:ext>
          </a:extLst>
        </xdr:cNvPr>
        <xdr:cNvSpPr txBox="1"/>
      </xdr:nvSpPr>
      <xdr:spPr>
        <a:xfrm>
          <a:off x="19195863" y="29729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7" name="CaixaDeTexto 316">
          <a:extLst>
            <a:ext uri="{FF2B5EF4-FFF2-40B4-BE49-F238E27FC236}">
              <a16:creationId xmlns:a16="http://schemas.microsoft.com/office/drawing/2014/main" id="{46C80D27-97BC-4127-AC32-68B49E79F2F9}"/>
            </a:ext>
          </a:extLst>
        </xdr:cNvPr>
        <xdr:cNvSpPr txBox="1"/>
      </xdr:nvSpPr>
      <xdr:spPr>
        <a:xfrm>
          <a:off x="19195863" y="29729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27996FCC-5A81-4008-B168-F64E0C01BE8E}"/>
            </a:ext>
          </a:extLst>
        </xdr:cNvPr>
        <xdr:cNvSpPr txBox="1"/>
      </xdr:nvSpPr>
      <xdr:spPr>
        <a:xfrm>
          <a:off x="19195863" y="29920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98</xdr:row>
      <xdr:rowOff>0</xdr:rowOff>
    </xdr:from>
    <xdr:ext cx="184731" cy="264560"/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DBE6086C-E01B-421D-B103-94153EC87B15}"/>
            </a:ext>
          </a:extLst>
        </xdr:cNvPr>
        <xdr:cNvSpPr txBox="1"/>
      </xdr:nvSpPr>
      <xdr:spPr>
        <a:xfrm>
          <a:off x="19195863" y="29920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100</xdr:row>
      <xdr:rowOff>0</xdr:rowOff>
    </xdr:from>
    <xdr:ext cx="184731" cy="264560"/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04243FDD-F837-4FD7-A8CD-51C3A04E46FB}"/>
            </a:ext>
          </a:extLst>
        </xdr:cNvPr>
        <xdr:cNvSpPr txBox="1"/>
      </xdr:nvSpPr>
      <xdr:spPr>
        <a:xfrm>
          <a:off x="19195863" y="30682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100</xdr:row>
      <xdr:rowOff>0</xdr:rowOff>
    </xdr:from>
    <xdr:ext cx="184731" cy="264560"/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F6E1FABB-A714-4789-82FC-34475C7FF487}"/>
            </a:ext>
          </a:extLst>
        </xdr:cNvPr>
        <xdr:cNvSpPr txBox="1"/>
      </xdr:nvSpPr>
      <xdr:spPr>
        <a:xfrm>
          <a:off x="19195863" y="30682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100</xdr:row>
      <xdr:rowOff>0</xdr:rowOff>
    </xdr:from>
    <xdr:ext cx="184731" cy="264560"/>
    <xdr:sp macro="" textlink="">
      <xdr:nvSpPr>
        <xdr:cNvPr id="329" name="CaixaDeTexto 328">
          <a:extLst>
            <a:ext uri="{FF2B5EF4-FFF2-40B4-BE49-F238E27FC236}">
              <a16:creationId xmlns:a16="http://schemas.microsoft.com/office/drawing/2014/main" id="{9EF8E82D-4471-4DCA-8F16-F0738A58FC1D}"/>
            </a:ext>
          </a:extLst>
        </xdr:cNvPr>
        <xdr:cNvSpPr txBox="1"/>
      </xdr:nvSpPr>
      <xdr:spPr>
        <a:xfrm>
          <a:off x="19195863" y="30682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100</xdr:row>
      <xdr:rowOff>0</xdr:rowOff>
    </xdr:from>
    <xdr:ext cx="184731" cy="264560"/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5E869E2F-1AB1-4326-A95D-965636340A6A}"/>
            </a:ext>
          </a:extLst>
        </xdr:cNvPr>
        <xdr:cNvSpPr txBox="1"/>
      </xdr:nvSpPr>
      <xdr:spPr>
        <a:xfrm>
          <a:off x="19195863" y="30682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101</xdr:row>
      <xdr:rowOff>0</xdr:rowOff>
    </xdr:from>
    <xdr:ext cx="184731" cy="264560"/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3841028B-7630-40C4-B6B4-A9712135DEB5}"/>
            </a:ext>
          </a:extLst>
        </xdr:cNvPr>
        <xdr:cNvSpPr txBox="1"/>
      </xdr:nvSpPr>
      <xdr:spPr>
        <a:xfrm>
          <a:off x="19195863" y="30872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101</xdr:row>
      <xdr:rowOff>0</xdr:rowOff>
    </xdr:from>
    <xdr:ext cx="184731" cy="264560"/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6AF087DC-E128-4428-AA97-ADFD25805F14}"/>
            </a:ext>
          </a:extLst>
        </xdr:cNvPr>
        <xdr:cNvSpPr txBox="1"/>
      </xdr:nvSpPr>
      <xdr:spPr>
        <a:xfrm>
          <a:off x="19195863" y="30872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E1C11B17-9AB5-4CE9-91B0-E0D5D92A9CB3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333" name="CaixaDeTexto 332">
          <a:extLst>
            <a:ext uri="{FF2B5EF4-FFF2-40B4-BE49-F238E27FC236}">
              <a16:creationId xmlns:a16="http://schemas.microsoft.com/office/drawing/2014/main" id="{2B4268BE-DC09-4025-9C4B-58C829FD4B7D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334" name="CaixaDeTexto 333">
          <a:extLst>
            <a:ext uri="{FF2B5EF4-FFF2-40B4-BE49-F238E27FC236}">
              <a16:creationId xmlns:a16="http://schemas.microsoft.com/office/drawing/2014/main" id="{0B404DDA-8183-4E0B-9E22-94FFA38BB43F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A21F6C91-A69F-433D-BFD8-B4BA8586569C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336" name="CaixaDeTexto 335">
          <a:extLst>
            <a:ext uri="{FF2B5EF4-FFF2-40B4-BE49-F238E27FC236}">
              <a16:creationId xmlns:a16="http://schemas.microsoft.com/office/drawing/2014/main" id="{271542C3-BFAB-46BB-8085-8737C678DABC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104</xdr:row>
      <xdr:rowOff>0</xdr:rowOff>
    </xdr:from>
    <xdr:ext cx="184731" cy="264560"/>
    <xdr:sp macro="" textlink="">
      <xdr:nvSpPr>
        <xdr:cNvPr id="337" name="CaixaDeTexto 336">
          <a:extLst>
            <a:ext uri="{FF2B5EF4-FFF2-40B4-BE49-F238E27FC236}">
              <a16:creationId xmlns:a16="http://schemas.microsoft.com/office/drawing/2014/main" id="{C30D5E4C-31FA-4034-9523-A3A6269014DE}"/>
            </a:ext>
          </a:extLst>
        </xdr:cNvPr>
        <xdr:cNvSpPr txBox="1"/>
      </xdr:nvSpPr>
      <xdr:spPr>
        <a:xfrm>
          <a:off x="19195863" y="31825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38" name="CaixaDeTexto 337">
          <a:extLst>
            <a:ext uri="{FF2B5EF4-FFF2-40B4-BE49-F238E27FC236}">
              <a16:creationId xmlns:a16="http://schemas.microsoft.com/office/drawing/2014/main" id="{ABF6BD10-0C42-477C-BA72-E2C1BF2C422C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39" name="CaixaDeTexto 338">
          <a:extLst>
            <a:ext uri="{FF2B5EF4-FFF2-40B4-BE49-F238E27FC236}">
              <a16:creationId xmlns:a16="http://schemas.microsoft.com/office/drawing/2014/main" id="{00AC8B99-2248-4C17-92A7-CB5A2C69BCFC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AC10BD08-6379-4498-82FB-99753F6E8747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DAA661BB-AFB1-4F09-AABE-D428E3F313A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C7AD3DF6-B6B4-447B-8B94-237882BADA95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A4FAF704-FFF6-4862-9D7D-E7006AFA761A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7FDFA01F-C9DE-48CD-B8DA-1CFED0C9E56E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471F61F7-712C-4DAE-B1CF-6FECAB8E96A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013F69C8-1551-4A8F-A16B-673C17BA33AD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DBAF2C83-8EF1-4A4A-B902-14F147D97DF2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B62B3397-406F-414F-892A-4B0BF819D719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155</xdr:row>
      <xdr:rowOff>0</xdr:rowOff>
    </xdr:from>
    <xdr:ext cx="184731" cy="264560"/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1EBFA630-2E55-4EAD-9CFE-B93C684640F1}"/>
            </a:ext>
          </a:extLst>
        </xdr:cNvPr>
        <xdr:cNvSpPr txBox="1"/>
      </xdr:nvSpPr>
      <xdr:spPr>
        <a:xfrm>
          <a:off x="19195863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B40828FD-8FE1-4DFD-90D4-BFB8F5AD3913}"/>
            </a:ext>
          </a:extLst>
        </xdr:cNvPr>
        <xdr:cNvSpPr txBox="1"/>
      </xdr:nvSpPr>
      <xdr:spPr>
        <a:xfrm>
          <a:off x="19195863" y="177613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27845220-19D8-41A1-9454-808C345F3309}"/>
            </a:ext>
          </a:extLst>
        </xdr:cNvPr>
        <xdr:cNvSpPr txBox="1"/>
      </xdr:nvSpPr>
      <xdr:spPr>
        <a:xfrm>
          <a:off x="19195863" y="177613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2</xdr:col>
      <xdr:colOff>0</xdr:colOff>
      <xdr:row>156</xdr:row>
      <xdr:rowOff>38100</xdr:rowOff>
    </xdr:from>
    <xdr:to>
      <xdr:col>2</xdr:col>
      <xdr:colOff>514941</xdr:colOff>
      <xdr:row>158</xdr:row>
      <xdr:rowOff>168728</xdr:rowOff>
    </xdr:to>
    <xdr:pic>
      <xdr:nvPicPr>
        <xdr:cNvPr id="352" name="Imagem 351">
          <a:extLst>
            <a:ext uri="{FF2B5EF4-FFF2-40B4-BE49-F238E27FC236}">
              <a16:creationId xmlns:a16="http://schemas.microsoft.com/office/drawing/2014/main" id="{4E14C6FB-0FBB-4567-B512-0B631AE8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38150006"/>
          <a:ext cx="507321" cy="511629"/>
        </a:xfrm>
        <a:prstGeom prst="rect">
          <a:avLst/>
        </a:prstGeom>
      </xdr:spPr>
    </xdr:pic>
    <xdr:clientData/>
  </xdr:twoCellAnchor>
  <xdr:oneCellAnchor>
    <xdr:from>
      <xdr:col>17</xdr:col>
      <xdr:colOff>2988</xdr:colOff>
      <xdr:row>58</xdr:row>
      <xdr:rowOff>0</xdr:rowOff>
    </xdr:from>
    <xdr:ext cx="184731" cy="264560"/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4BB1E5FF-28A0-42D4-B32E-DEA64D565B48}"/>
            </a:ext>
          </a:extLst>
        </xdr:cNvPr>
        <xdr:cNvSpPr txBox="1"/>
      </xdr:nvSpPr>
      <xdr:spPr>
        <a:xfrm>
          <a:off x="19195863" y="150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58</xdr:row>
      <xdr:rowOff>0</xdr:rowOff>
    </xdr:from>
    <xdr:ext cx="184731" cy="264560"/>
    <xdr:sp macro="" textlink="">
      <xdr:nvSpPr>
        <xdr:cNvPr id="354" name="CaixaDeTexto 353">
          <a:extLst>
            <a:ext uri="{FF2B5EF4-FFF2-40B4-BE49-F238E27FC236}">
              <a16:creationId xmlns:a16="http://schemas.microsoft.com/office/drawing/2014/main" id="{22F406EB-EFA8-4E33-B4B8-517C4A107E44}"/>
            </a:ext>
          </a:extLst>
        </xdr:cNvPr>
        <xdr:cNvSpPr txBox="1"/>
      </xdr:nvSpPr>
      <xdr:spPr>
        <a:xfrm>
          <a:off x="19195863" y="1504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54</xdr:row>
      <xdr:rowOff>44823</xdr:rowOff>
    </xdr:from>
    <xdr:ext cx="184731" cy="264560"/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E87DFD6C-5C78-4C19-8184-76E322E470D4}"/>
            </a:ext>
          </a:extLst>
        </xdr:cNvPr>
        <xdr:cNvSpPr txBox="1"/>
      </xdr:nvSpPr>
      <xdr:spPr>
        <a:xfrm>
          <a:off x="19195863" y="141418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54</xdr:row>
      <xdr:rowOff>44823</xdr:rowOff>
    </xdr:from>
    <xdr:ext cx="184731" cy="264560"/>
    <xdr:sp macro="" textlink="">
      <xdr:nvSpPr>
        <xdr:cNvPr id="356" name="CaixaDeTexto 355">
          <a:extLst>
            <a:ext uri="{FF2B5EF4-FFF2-40B4-BE49-F238E27FC236}">
              <a16:creationId xmlns:a16="http://schemas.microsoft.com/office/drawing/2014/main" id="{5CC04E3E-C8B7-44DF-ABC8-74F0DEBC2A08}"/>
            </a:ext>
          </a:extLst>
        </xdr:cNvPr>
        <xdr:cNvSpPr txBox="1"/>
      </xdr:nvSpPr>
      <xdr:spPr>
        <a:xfrm>
          <a:off x="19195863" y="141418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57</xdr:row>
      <xdr:rowOff>44823</xdr:rowOff>
    </xdr:from>
    <xdr:ext cx="184731" cy="264560"/>
    <xdr:sp macro="" textlink="">
      <xdr:nvSpPr>
        <xdr:cNvPr id="357" name="CaixaDeTexto 356">
          <a:extLst>
            <a:ext uri="{FF2B5EF4-FFF2-40B4-BE49-F238E27FC236}">
              <a16:creationId xmlns:a16="http://schemas.microsoft.com/office/drawing/2014/main" id="{2A72BE64-CCEB-4C62-9F1A-F253CC1BE8F3}"/>
            </a:ext>
          </a:extLst>
        </xdr:cNvPr>
        <xdr:cNvSpPr txBox="1"/>
      </xdr:nvSpPr>
      <xdr:spPr>
        <a:xfrm>
          <a:off x="19195863" y="149038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57</xdr:row>
      <xdr:rowOff>44823</xdr:rowOff>
    </xdr:from>
    <xdr:ext cx="184731" cy="264560"/>
    <xdr:sp macro="" textlink="">
      <xdr:nvSpPr>
        <xdr:cNvPr id="358" name="CaixaDeTexto 357">
          <a:extLst>
            <a:ext uri="{FF2B5EF4-FFF2-40B4-BE49-F238E27FC236}">
              <a16:creationId xmlns:a16="http://schemas.microsoft.com/office/drawing/2014/main" id="{B4DFC15E-1B19-48D1-9788-D1A22A953ED5}"/>
            </a:ext>
          </a:extLst>
        </xdr:cNvPr>
        <xdr:cNvSpPr txBox="1"/>
      </xdr:nvSpPr>
      <xdr:spPr>
        <a:xfrm>
          <a:off x="19195863" y="149038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59" name="CaixaDeTexto 358">
          <a:extLst>
            <a:ext uri="{FF2B5EF4-FFF2-40B4-BE49-F238E27FC236}">
              <a16:creationId xmlns:a16="http://schemas.microsoft.com/office/drawing/2014/main" id="{E5F99174-E199-4B69-885A-59497A9CEDED}"/>
            </a:ext>
          </a:extLst>
        </xdr:cNvPr>
        <xdr:cNvSpPr txBox="1"/>
      </xdr:nvSpPr>
      <xdr:spPr>
        <a:xfrm>
          <a:off x="19195863" y="34301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60" name="CaixaDeTexto 359">
          <a:extLst>
            <a:ext uri="{FF2B5EF4-FFF2-40B4-BE49-F238E27FC236}">
              <a16:creationId xmlns:a16="http://schemas.microsoft.com/office/drawing/2014/main" id="{BD6C7E70-D309-492D-AB50-A863646FF94C}"/>
            </a:ext>
          </a:extLst>
        </xdr:cNvPr>
        <xdr:cNvSpPr txBox="1"/>
      </xdr:nvSpPr>
      <xdr:spPr>
        <a:xfrm>
          <a:off x="19195863" y="34301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61" name="CaixaDeTexto 360">
          <a:extLst>
            <a:ext uri="{FF2B5EF4-FFF2-40B4-BE49-F238E27FC236}">
              <a16:creationId xmlns:a16="http://schemas.microsoft.com/office/drawing/2014/main" id="{6C03F241-4AD8-4E73-92EA-7B88C7B33C4C}"/>
            </a:ext>
          </a:extLst>
        </xdr:cNvPr>
        <xdr:cNvSpPr txBox="1"/>
      </xdr:nvSpPr>
      <xdr:spPr>
        <a:xfrm>
          <a:off x="19195863" y="34301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44189B99-7AD3-4187-8EAC-BA4BFA8A0B38}"/>
            </a:ext>
          </a:extLst>
        </xdr:cNvPr>
        <xdr:cNvSpPr txBox="1"/>
      </xdr:nvSpPr>
      <xdr:spPr>
        <a:xfrm>
          <a:off x="19195863" y="343019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9E10359D-10DB-44DB-A9C2-CC70B371300E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2618F6FC-68FB-438C-B972-52DB557F96A6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76D16E11-343A-4873-BA28-874C5348B766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507B05C3-E6CD-4CA7-953C-D8613D965D32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0978D00F-032D-4524-B239-EC9407D8E7D9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8" name="CaixaDeTexto 367">
          <a:extLst>
            <a:ext uri="{FF2B5EF4-FFF2-40B4-BE49-F238E27FC236}">
              <a16:creationId xmlns:a16="http://schemas.microsoft.com/office/drawing/2014/main" id="{CCF29D3D-8A64-4BD4-9119-B9A02DD31011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26BA3218-1296-4A4B-B1D7-4AC51E67FBBC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C4F149D8-381B-4A0E-BADF-BE481EBDAA8E}"/>
            </a:ext>
          </a:extLst>
        </xdr:cNvPr>
        <xdr:cNvSpPr txBox="1"/>
      </xdr:nvSpPr>
      <xdr:spPr>
        <a:xfrm>
          <a:off x="19195863" y="2095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BDB01C2B-13DB-44E9-9BD5-E1350F2FC22C}"/>
            </a:ext>
          </a:extLst>
        </xdr:cNvPr>
        <xdr:cNvSpPr txBox="1"/>
      </xdr:nvSpPr>
      <xdr:spPr>
        <a:xfrm>
          <a:off x="19195863" y="2114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0E78A10E-958F-442A-86A0-D2652FF80F66}"/>
            </a:ext>
          </a:extLst>
        </xdr:cNvPr>
        <xdr:cNvSpPr txBox="1"/>
      </xdr:nvSpPr>
      <xdr:spPr>
        <a:xfrm>
          <a:off x="19195863" y="2114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73" name="CaixaDeTexto 372">
          <a:extLst>
            <a:ext uri="{FF2B5EF4-FFF2-40B4-BE49-F238E27FC236}">
              <a16:creationId xmlns:a16="http://schemas.microsoft.com/office/drawing/2014/main" id="{D20B0056-D12D-45F2-998D-A9D3B95BC589}"/>
            </a:ext>
          </a:extLst>
        </xdr:cNvPr>
        <xdr:cNvSpPr txBox="1"/>
      </xdr:nvSpPr>
      <xdr:spPr>
        <a:xfrm>
          <a:off x="19195863" y="2019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66</xdr:row>
      <xdr:rowOff>0</xdr:rowOff>
    </xdr:from>
    <xdr:ext cx="184731" cy="264560"/>
    <xdr:sp macro="" textlink="">
      <xdr:nvSpPr>
        <xdr:cNvPr id="374" name="CaixaDeTexto 373">
          <a:extLst>
            <a:ext uri="{FF2B5EF4-FFF2-40B4-BE49-F238E27FC236}">
              <a16:creationId xmlns:a16="http://schemas.microsoft.com/office/drawing/2014/main" id="{A7052C7C-F946-449F-B596-99E96A7ED3E4}"/>
            </a:ext>
          </a:extLst>
        </xdr:cNvPr>
        <xdr:cNvSpPr txBox="1"/>
      </xdr:nvSpPr>
      <xdr:spPr>
        <a:xfrm>
          <a:off x="19195863" y="2019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C8D6C974-7D38-41F7-BE71-FF7841E08CB7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3C9633C5-D3A6-48CF-8989-F125A609ABFA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5E9EDB58-AC0A-4866-B0CF-8721367C0CBD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9ABCAEC6-66C7-4488-9F4A-871217957C04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95513424-CCD6-4B25-8BBE-93E5D8F70CA9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8BBE4B78-D146-4DF6-B769-910BBE2E4E09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6C870D8-41AD-47C8-8A15-6EC8B84CF155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DBC3CDF8-55A9-4F2F-BD4D-36D7B91C410D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B6676135-7593-4589-91E0-67C24796F129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26A5F259-624C-46FD-8484-D838C6C0F6A9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BA646F30-1154-44CC-93E8-ED350BDFC7CE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87127CAD-0FD2-4E90-8857-B7A370619B4D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A9028055-A1BC-4F53-8228-2954B419D91A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0BE0D23D-E05A-4C22-8248-4385BE111E56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89" name="CaixaDeTexto 388">
          <a:extLst>
            <a:ext uri="{FF2B5EF4-FFF2-40B4-BE49-F238E27FC236}">
              <a16:creationId xmlns:a16="http://schemas.microsoft.com/office/drawing/2014/main" id="{D56A9D2B-6812-4D2D-BF32-1550C6D7263E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0" name="CaixaDeTexto 389">
          <a:extLst>
            <a:ext uri="{FF2B5EF4-FFF2-40B4-BE49-F238E27FC236}">
              <a16:creationId xmlns:a16="http://schemas.microsoft.com/office/drawing/2014/main" id="{A9C49FBD-2F56-4D7A-B909-22692061E28C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2458A359-EA82-4B8B-9712-8BBFBE21DCFC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E69D7B1B-15A5-457B-A129-9193CB6ECCF1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3" name="CaixaDeTexto 392">
          <a:extLst>
            <a:ext uri="{FF2B5EF4-FFF2-40B4-BE49-F238E27FC236}">
              <a16:creationId xmlns:a16="http://schemas.microsoft.com/office/drawing/2014/main" id="{0DA83717-31DC-4FA3-9F41-3B4B17BB4BBF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1459BDBE-2130-4E58-97EF-3B1544047BFB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E88BCF3B-8B13-4095-9D19-A56BEE8C8A77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C88A7692-B050-4D0C-8A5C-CDDCDC21B128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38ACCC40-1AE8-4EAE-8632-C782C4E692B3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D847D440-BB72-413C-BA2F-892772E9EBE2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A2A8FF60-4B7D-4EF4-AB4F-29F805362057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220BCCED-1C86-45DF-9F11-EFA3E7B3F5E2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559BCC45-7575-4833-92B1-7882379138F8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6246C562-4CDE-4966-AD6D-1439A293ED69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3" name="CaixaDeTexto 402">
          <a:extLst>
            <a:ext uri="{FF2B5EF4-FFF2-40B4-BE49-F238E27FC236}">
              <a16:creationId xmlns:a16="http://schemas.microsoft.com/office/drawing/2014/main" id="{81940FD6-3154-4AF8-BB21-B224AC064FE7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19FFBEC5-28E9-442E-9F6D-6B13686448ED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45BB2855-37CF-4004-AB0E-11C6E4B17CF8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40BE292B-EF07-4E94-BBB8-8F42C1281116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4</xdr:col>
      <xdr:colOff>0</xdr:colOff>
      <xdr:row>155</xdr:row>
      <xdr:rowOff>0</xdr:rowOff>
    </xdr:from>
    <xdr:ext cx="184731" cy="26456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0250B6E7-9C0E-45FA-A593-DFC86A13DD32}"/>
            </a:ext>
          </a:extLst>
        </xdr:cNvPr>
        <xdr:cNvSpPr txBox="1"/>
      </xdr:nvSpPr>
      <xdr:spPr>
        <a:xfrm>
          <a:off x="7905750" y="3792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41E99EE-2790-4017-B7E8-5B06B1362444}"/>
            </a:ext>
          </a:extLst>
        </xdr:cNvPr>
        <xdr:cNvSpPr txBox="1"/>
      </xdr:nvSpPr>
      <xdr:spPr>
        <a:xfrm>
          <a:off x="18300513" y="3239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5154DAB0-832C-4AC5-8FBB-C535E04E631F}"/>
            </a:ext>
          </a:extLst>
        </xdr:cNvPr>
        <xdr:cNvSpPr txBox="1"/>
      </xdr:nvSpPr>
      <xdr:spPr>
        <a:xfrm>
          <a:off x="18300513" y="3239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9D512E5C-B641-42D3-989E-934BF1C16F98}"/>
            </a:ext>
          </a:extLst>
        </xdr:cNvPr>
        <xdr:cNvSpPr txBox="1"/>
      </xdr:nvSpPr>
      <xdr:spPr>
        <a:xfrm>
          <a:off x="18300513" y="3239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22" name="CaixaDeTexto 321">
          <a:extLst>
            <a:ext uri="{FF2B5EF4-FFF2-40B4-BE49-F238E27FC236}">
              <a16:creationId xmlns:a16="http://schemas.microsoft.com/office/drawing/2014/main" id="{663DE645-0ED3-4FDE-9023-9D04820F701D}"/>
            </a:ext>
          </a:extLst>
        </xdr:cNvPr>
        <xdr:cNvSpPr txBox="1"/>
      </xdr:nvSpPr>
      <xdr:spPr>
        <a:xfrm>
          <a:off x="18300513" y="3239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23" name="CaixaDeTexto 322">
          <a:extLst>
            <a:ext uri="{FF2B5EF4-FFF2-40B4-BE49-F238E27FC236}">
              <a16:creationId xmlns:a16="http://schemas.microsoft.com/office/drawing/2014/main" id="{11260AD9-8A08-4759-A392-F9F64EDF4F0A}"/>
            </a:ext>
          </a:extLst>
        </xdr:cNvPr>
        <xdr:cNvSpPr txBox="1"/>
      </xdr:nvSpPr>
      <xdr:spPr>
        <a:xfrm>
          <a:off x="18300513" y="3239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138</xdr:row>
      <xdr:rowOff>0</xdr:rowOff>
    </xdr:from>
    <xdr:ext cx="184731" cy="264560"/>
    <xdr:sp macro="" textlink="">
      <xdr:nvSpPr>
        <xdr:cNvPr id="324" name="CaixaDeTexto 323">
          <a:extLst>
            <a:ext uri="{FF2B5EF4-FFF2-40B4-BE49-F238E27FC236}">
              <a16:creationId xmlns:a16="http://schemas.microsoft.com/office/drawing/2014/main" id="{CEFEDBA3-55F5-469D-BDF7-60A0CEC6808A}"/>
            </a:ext>
          </a:extLst>
        </xdr:cNvPr>
        <xdr:cNvSpPr txBox="1"/>
      </xdr:nvSpPr>
      <xdr:spPr>
        <a:xfrm>
          <a:off x="18300513" y="3239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217640B9-1710-4312-8265-4AA040C02D55}"/>
            </a:ext>
          </a:extLst>
        </xdr:cNvPr>
        <xdr:cNvSpPr txBox="1"/>
      </xdr:nvSpPr>
      <xdr:spPr>
        <a:xfrm>
          <a:off x="18405288" y="3201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25AEC19F-74A5-4D82-A718-931E0F7294F4}"/>
            </a:ext>
          </a:extLst>
        </xdr:cNvPr>
        <xdr:cNvSpPr txBox="1"/>
      </xdr:nvSpPr>
      <xdr:spPr>
        <a:xfrm>
          <a:off x="18405288" y="3201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09" name="CaixaDeTexto 408">
          <a:extLst>
            <a:ext uri="{FF2B5EF4-FFF2-40B4-BE49-F238E27FC236}">
              <a16:creationId xmlns:a16="http://schemas.microsoft.com/office/drawing/2014/main" id="{B914CFE9-CCE0-4129-8A22-FEA0280B8ECC}"/>
            </a:ext>
          </a:extLst>
        </xdr:cNvPr>
        <xdr:cNvSpPr txBox="1"/>
      </xdr:nvSpPr>
      <xdr:spPr>
        <a:xfrm>
          <a:off x="18405288" y="316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10" name="CaixaDeTexto 409">
          <a:extLst>
            <a:ext uri="{FF2B5EF4-FFF2-40B4-BE49-F238E27FC236}">
              <a16:creationId xmlns:a16="http://schemas.microsoft.com/office/drawing/2014/main" id="{1C81F717-91AF-4297-82D0-FA1C2949AFE9}"/>
            </a:ext>
          </a:extLst>
        </xdr:cNvPr>
        <xdr:cNvSpPr txBox="1"/>
      </xdr:nvSpPr>
      <xdr:spPr>
        <a:xfrm>
          <a:off x="18405288" y="316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11" name="CaixaDeTexto 410">
          <a:extLst>
            <a:ext uri="{FF2B5EF4-FFF2-40B4-BE49-F238E27FC236}">
              <a16:creationId xmlns:a16="http://schemas.microsoft.com/office/drawing/2014/main" id="{80759C0C-6021-4784-87EC-241DA032A1C5}"/>
            </a:ext>
          </a:extLst>
        </xdr:cNvPr>
        <xdr:cNvSpPr txBox="1"/>
      </xdr:nvSpPr>
      <xdr:spPr>
        <a:xfrm>
          <a:off x="18405288" y="316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3C11A4F5-69AD-467D-B965-F12A9A228FA5}"/>
            </a:ext>
          </a:extLst>
        </xdr:cNvPr>
        <xdr:cNvSpPr txBox="1"/>
      </xdr:nvSpPr>
      <xdr:spPr>
        <a:xfrm>
          <a:off x="18405288" y="316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9174DA40-2616-4528-B744-995EC85BC92B}"/>
            </a:ext>
          </a:extLst>
        </xdr:cNvPr>
        <xdr:cNvSpPr txBox="1"/>
      </xdr:nvSpPr>
      <xdr:spPr>
        <a:xfrm>
          <a:off x="18405288" y="3182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137</xdr:row>
      <xdr:rowOff>0</xdr:rowOff>
    </xdr:from>
    <xdr:ext cx="184731" cy="264560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B2700F11-8C7A-4E9B-9F34-B3F6F1DAD7E5}"/>
            </a:ext>
          </a:extLst>
        </xdr:cNvPr>
        <xdr:cNvSpPr txBox="1"/>
      </xdr:nvSpPr>
      <xdr:spPr>
        <a:xfrm>
          <a:off x="18405288" y="3182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54EAD2DB-6EC6-481D-B532-7B91A57D6678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16" name="CaixaDeTexto 415">
          <a:extLst>
            <a:ext uri="{FF2B5EF4-FFF2-40B4-BE49-F238E27FC236}">
              <a16:creationId xmlns:a16="http://schemas.microsoft.com/office/drawing/2014/main" id="{5EF153E3-5738-4494-A54A-488306733EC3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A1EC7DD1-E7FC-4CA0-9C16-4423242EDD5F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56B04C2C-F901-4511-9D17-4F1E7282A72A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5617F99C-DA1E-4BBA-9BEA-F06DADDAF083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E5B8235B-9844-4543-8235-4CC2F75DA11E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21" name="CaixaDeTexto 420">
          <a:extLst>
            <a:ext uri="{FF2B5EF4-FFF2-40B4-BE49-F238E27FC236}">
              <a16:creationId xmlns:a16="http://schemas.microsoft.com/office/drawing/2014/main" id="{5D912719-C50C-49C6-956B-88A0002187BB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6CD06370-9BE8-448C-8DB6-1365A5C91EC8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8922152D-1FCC-4408-9DEF-C5C2B2C8BD60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B80C0980-DD6C-436A-A3FA-EA71DDD0E99C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7C80121F-DEEB-4C14-8869-341CE7D29453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FF52A437-8460-4C7C-BB69-50138D9E78CB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9C0882E7-8F4D-451E-8ED5-669450D60DF0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6166618C-8022-4A70-BAE4-057BC313889F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B75BE81E-F47E-4E20-B759-2E12456DD575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8AC5ACFF-7350-4BF0-A7F2-1BF0CE8663C2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3D35205C-F48C-4018-82FB-26CE89652121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91F1A625-8990-4864-BA35-4BC0967AE8EC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DD614EBD-D908-4E1E-884A-A8E71EFF4284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4" name="CaixaDeTexto 433">
          <a:extLst>
            <a:ext uri="{FF2B5EF4-FFF2-40B4-BE49-F238E27FC236}">
              <a16:creationId xmlns:a16="http://schemas.microsoft.com/office/drawing/2014/main" id="{2F0C5398-2D5C-46B8-B94A-76405368B381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5" name="CaixaDeTexto 434">
          <a:extLst>
            <a:ext uri="{FF2B5EF4-FFF2-40B4-BE49-F238E27FC236}">
              <a16:creationId xmlns:a16="http://schemas.microsoft.com/office/drawing/2014/main" id="{AD7587A7-B1C0-47B7-84FC-0C9FD592FC64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36" name="CaixaDeTexto 435">
          <a:extLst>
            <a:ext uri="{FF2B5EF4-FFF2-40B4-BE49-F238E27FC236}">
              <a16:creationId xmlns:a16="http://schemas.microsoft.com/office/drawing/2014/main" id="{0EADB600-0DFB-4B65-A3D5-65F032A7DF3B}"/>
            </a:ext>
          </a:extLst>
        </xdr:cNvPr>
        <xdr:cNvSpPr txBox="1"/>
      </xdr:nvSpPr>
      <xdr:spPr>
        <a:xfrm>
          <a:off x="15976413" y="1466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37" name="CaixaDeTexto 436">
          <a:extLst>
            <a:ext uri="{FF2B5EF4-FFF2-40B4-BE49-F238E27FC236}">
              <a16:creationId xmlns:a16="http://schemas.microsoft.com/office/drawing/2014/main" id="{F5BE1DC4-2F4D-4994-8AA5-5E053E1BCFDF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38" name="CaixaDeTexto 437">
          <a:extLst>
            <a:ext uri="{FF2B5EF4-FFF2-40B4-BE49-F238E27FC236}">
              <a16:creationId xmlns:a16="http://schemas.microsoft.com/office/drawing/2014/main" id="{331B700F-50E2-4A73-B6FC-8A82F2D417C8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39" name="CaixaDeTexto 438">
          <a:extLst>
            <a:ext uri="{FF2B5EF4-FFF2-40B4-BE49-F238E27FC236}">
              <a16:creationId xmlns:a16="http://schemas.microsoft.com/office/drawing/2014/main" id="{1CBBBE4E-4878-4D50-BFF7-AA8EB19E8E57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0" name="CaixaDeTexto 439">
          <a:extLst>
            <a:ext uri="{FF2B5EF4-FFF2-40B4-BE49-F238E27FC236}">
              <a16:creationId xmlns:a16="http://schemas.microsoft.com/office/drawing/2014/main" id="{9F0A925D-795B-4AB5-8EEF-EEB1827A39C8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FA2F33F0-2480-4503-98EB-19DC49C5A1F9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5B62A70C-2862-4CA3-91AF-50D8EBCBA190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F8D6FCF7-0373-4EBE-8245-61B33B8A86E1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ED7503A7-5C3B-45B8-BF70-75FF205E8FDA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CB619C2F-6C7F-4348-B187-CA51F32CCE27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786D2E8E-F78B-496A-97FE-E0C0865A158B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E1ABD47C-A07F-4FB4-8FC4-96F0E9E9817F}"/>
            </a:ext>
          </a:extLst>
        </xdr:cNvPr>
        <xdr:cNvSpPr txBox="1"/>
      </xdr:nvSpPr>
      <xdr:spPr>
        <a:xfrm>
          <a:off x="15976413" y="1485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DAE21622-3BE4-4ED7-9F93-114F7F0AAA50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9E052597-09BB-4271-B9A3-0C57469A67FB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E27EE5BA-E3F7-448C-94CA-C66ED0F10591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3D6BD530-DA15-4A42-8DF2-8C8B12916618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D0009794-BB76-4C9F-ADAB-95E30663EB0C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114</xdr:row>
      <xdr:rowOff>0</xdr:rowOff>
    </xdr:from>
    <xdr:ext cx="184731" cy="264560"/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2A4F57BC-CCEA-4EE0-960E-2733ED8E5E04}"/>
            </a:ext>
          </a:extLst>
        </xdr:cNvPr>
        <xdr:cNvSpPr txBox="1"/>
      </xdr:nvSpPr>
      <xdr:spPr>
        <a:xfrm>
          <a:off x="13880913" y="2695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115</xdr:row>
      <xdr:rowOff>0</xdr:rowOff>
    </xdr:from>
    <xdr:ext cx="184731" cy="264560"/>
    <xdr:sp macro="" textlink="">
      <xdr:nvSpPr>
        <xdr:cNvPr id="454" name="CaixaDeTexto 453">
          <a:extLst>
            <a:ext uri="{FF2B5EF4-FFF2-40B4-BE49-F238E27FC236}">
              <a16:creationId xmlns:a16="http://schemas.microsoft.com/office/drawing/2014/main" id="{279D3FC8-476F-40F8-A821-36C24E52BE4D}"/>
            </a:ext>
          </a:extLst>
        </xdr:cNvPr>
        <xdr:cNvSpPr txBox="1"/>
      </xdr:nvSpPr>
      <xdr:spPr>
        <a:xfrm>
          <a:off x="13880913" y="2714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2988</xdr:colOff>
      <xdr:row>115</xdr:row>
      <xdr:rowOff>0</xdr:rowOff>
    </xdr:from>
    <xdr:ext cx="184731" cy="264560"/>
    <xdr:sp macro="" textlink="">
      <xdr:nvSpPr>
        <xdr:cNvPr id="455" name="CaixaDeTexto 454">
          <a:extLst>
            <a:ext uri="{FF2B5EF4-FFF2-40B4-BE49-F238E27FC236}">
              <a16:creationId xmlns:a16="http://schemas.microsoft.com/office/drawing/2014/main" id="{FC2C1F03-C0D0-4FC8-A88D-05665CE66D99}"/>
            </a:ext>
          </a:extLst>
        </xdr:cNvPr>
        <xdr:cNvSpPr txBox="1"/>
      </xdr:nvSpPr>
      <xdr:spPr>
        <a:xfrm>
          <a:off x="13880913" y="2714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29</xdr:col>
      <xdr:colOff>585376</xdr:colOff>
      <xdr:row>156</xdr:row>
      <xdr:rowOff>101600</xdr:rowOff>
    </xdr:from>
    <xdr:ext cx="1060378" cy="368828"/>
    <xdr:pic>
      <xdr:nvPicPr>
        <xdr:cNvPr id="456" name="Imagem 455">
          <a:extLst>
            <a:ext uri="{FF2B5EF4-FFF2-40B4-BE49-F238E27FC236}">
              <a16:creationId xmlns:a16="http://schemas.microsoft.com/office/drawing/2014/main" id="{FE3871DE-2168-495D-BF69-E791E69A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3476" y="15627350"/>
          <a:ext cx="1060378" cy="368828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156</xdr:row>
      <xdr:rowOff>38100</xdr:rowOff>
    </xdr:from>
    <xdr:to>
      <xdr:col>2</xdr:col>
      <xdr:colOff>511131</xdr:colOff>
      <xdr:row>158</xdr:row>
      <xdr:rowOff>172538</xdr:rowOff>
    </xdr:to>
    <xdr:pic>
      <xdr:nvPicPr>
        <xdr:cNvPr id="457" name="Imagem 456">
          <a:extLst>
            <a:ext uri="{FF2B5EF4-FFF2-40B4-BE49-F238E27FC236}">
              <a16:creationId xmlns:a16="http://schemas.microsoft.com/office/drawing/2014/main" id="{9F5C6874-4D68-4CE7-9244-2E76269E7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563850"/>
          <a:ext cx="511131" cy="515438"/>
        </a:xfrm>
        <a:prstGeom prst="rect">
          <a:avLst/>
        </a:prstGeom>
      </xdr:spPr>
    </xdr:pic>
    <xdr:clientData/>
  </xdr:two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58" name="CaixaDeTexto 457">
          <a:extLst>
            <a:ext uri="{FF2B5EF4-FFF2-40B4-BE49-F238E27FC236}">
              <a16:creationId xmlns:a16="http://schemas.microsoft.com/office/drawing/2014/main" id="{35AF42FA-5FA3-4FC7-BF46-A4C370D44D5B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59" name="CaixaDeTexto 458">
          <a:extLst>
            <a:ext uri="{FF2B5EF4-FFF2-40B4-BE49-F238E27FC236}">
              <a16:creationId xmlns:a16="http://schemas.microsoft.com/office/drawing/2014/main" id="{14EE871D-2307-4B71-A03B-A8F5370ACFFD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0" name="CaixaDeTexto 459">
          <a:extLst>
            <a:ext uri="{FF2B5EF4-FFF2-40B4-BE49-F238E27FC236}">
              <a16:creationId xmlns:a16="http://schemas.microsoft.com/office/drawing/2014/main" id="{9F6D410B-0F9F-466F-BC90-8256F8556435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1" name="CaixaDeTexto 460">
          <a:extLst>
            <a:ext uri="{FF2B5EF4-FFF2-40B4-BE49-F238E27FC236}">
              <a16:creationId xmlns:a16="http://schemas.microsoft.com/office/drawing/2014/main" id="{09AF2B05-485D-46CE-B2D5-2E17E3F13970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2" name="CaixaDeTexto 461">
          <a:extLst>
            <a:ext uri="{FF2B5EF4-FFF2-40B4-BE49-F238E27FC236}">
              <a16:creationId xmlns:a16="http://schemas.microsoft.com/office/drawing/2014/main" id="{A8782688-5F61-4402-BBA4-F5C1A25DEFFC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D798E173-B99A-4446-9249-CEA3044CD458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4" name="CaixaDeTexto 463">
          <a:extLst>
            <a:ext uri="{FF2B5EF4-FFF2-40B4-BE49-F238E27FC236}">
              <a16:creationId xmlns:a16="http://schemas.microsoft.com/office/drawing/2014/main" id="{DE6B5D66-4E32-49F8-8118-E56C005F9137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D5FAFDE2-5F25-4DCE-A5D7-EAC42D91E4DF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7" name="CaixaDeTexto 466">
          <a:extLst>
            <a:ext uri="{FF2B5EF4-FFF2-40B4-BE49-F238E27FC236}">
              <a16:creationId xmlns:a16="http://schemas.microsoft.com/office/drawing/2014/main" id="{90DFAE52-7A2A-4593-8C7A-37EA67C8ABDC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8" name="CaixaDeTexto 467">
          <a:extLst>
            <a:ext uri="{FF2B5EF4-FFF2-40B4-BE49-F238E27FC236}">
              <a16:creationId xmlns:a16="http://schemas.microsoft.com/office/drawing/2014/main" id="{BCD96141-AE1C-4FE3-8CE8-77C47C6A06C5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69" name="CaixaDeTexto 468">
          <a:extLst>
            <a:ext uri="{FF2B5EF4-FFF2-40B4-BE49-F238E27FC236}">
              <a16:creationId xmlns:a16="http://schemas.microsoft.com/office/drawing/2014/main" id="{6C730E25-6C43-4343-A604-693B6F34DCD4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0" name="CaixaDeTexto 469">
          <a:extLst>
            <a:ext uri="{FF2B5EF4-FFF2-40B4-BE49-F238E27FC236}">
              <a16:creationId xmlns:a16="http://schemas.microsoft.com/office/drawing/2014/main" id="{0A1FF535-AB7E-44C0-BA68-5CC8C689DD6C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1" name="CaixaDeTexto 470">
          <a:extLst>
            <a:ext uri="{FF2B5EF4-FFF2-40B4-BE49-F238E27FC236}">
              <a16:creationId xmlns:a16="http://schemas.microsoft.com/office/drawing/2014/main" id="{4EF5CF6B-5CFB-4177-A10C-8449912530DC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2" name="CaixaDeTexto 471">
          <a:extLst>
            <a:ext uri="{FF2B5EF4-FFF2-40B4-BE49-F238E27FC236}">
              <a16:creationId xmlns:a16="http://schemas.microsoft.com/office/drawing/2014/main" id="{1AE6D886-1D89-4734-8474-0213F3CCDCC8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BCEE2CEA-88E7-4D30-AB03-F3AF2F5466E0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5214A87D-B832-4D60-9B7D-791E64846643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3A72FB83-DBE3-42D7-9571-6124383B560C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6" name="CaixaDeTexto 475">
          <a:extLst>
            <a:ext uri="{FF2B5EF4-FFF2-40B4-BE49-F238E27FC236}">
              <a16:creationId xmlns:a16="http://schemas.microsoft.com/office/drawing/2014/main" id="{0CA9DACD-912F-4267-B7BD-54CE7F21C9A0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C82AFBC8-D504-484F-92A7-D024A7C86C78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1C78A90E-7554-4B4F-8D6D-867709F09B46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0B6EA28C-3558-41B7-9F33-F49DB7CA7CDC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156</xdr:row>
      <xdr:rowOff>0</xdr:rowOff>
    </xdr:from>
    <xdr:ext cx="184731" cy="264560"/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6439ADEA-4B88-4946-9B82-A61E9CD4C45B}"/>
            </a:ext>
          </a:extLst>
        </xdr:cNvPr>
        <xdr:cNvSpPr txBox="1"/>
      </xdr:nvSpPr>
      <xdr:spPr>
        <a:xfrm>
          <a:off x="14681013" y="1552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B97A1FAE-D85F-4BC1-BA90-FCB9CDD6294D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2" name="CaixaDeTexto 481">
          <a:extLst>
            <a:ext uri="{FF2B5EF4-FFF2-40B4-BE49-F238E27FC236}">
              <a16:creationId xmlns:a16="http://schemas.microsoft.com/office/drawing/2014/main" id="{3025F2E8-3CEF-45AB-BB54-DEF1884D5BD3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FECD2BF2-D4DE-4E8F-B143-35ED0CB8EB89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5513B3A3-6E31-4ABD-9ADA-ACDE79E73DE6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5" name="CaixaDeTexto 484">
          <a:extLst>
            <a:ext uri="{FF2B5EF4-FFF2-40B4-BE49-F238E27FC236}">
              <a16:creationId xmlns:a16="http://schemas.microsoft.com/office/drawing/2014/main" id="{56D5A6D0-BE65-435F-B296-0F5FFACAF7F5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94135456-137F-4277-A97D-4BD4DFE6BCDA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7" name="CaixaDeTexto 486">
          <a:extLst>
            <a:ext uri="{FF2B5EF4-FFF2-40B4-BE49-F238E27FC236}">
              <a16:creationId xmlns:a16="http://schemas.microsoft.com/office/drawing/2014/main" id="{7A5577A9-C849-464A-9346-85EA099CE6BB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8" name="CaixaDeTexto 487">
          <a:extLst>
            <a:ext uri="{FF2B5EF4-FFF2-40B4-BE49-F238E27FC236}">
              <a16:creationId xmlns:a16="http://schemas.microsoft.com/office/drawing/2014/main" id="{AEB8C00B-D399-4C7D-A3E9-176A9330360A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89" name="CaixaDeTexto 488">
          <a:extLst>
            <a:ext uri="{FF2B5EF4-FFF2-40B4-BE49-F238E27FC236}">
              <a16:creationId xmlns:a16="http://schemas.microsoft.com/office/drawing/2014/main" id="{6B0C7E46-F645-49AE-92D1-3B8AD84FA025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90" name="CaixaDeTexto 489">
          <a:extLst>
            <a:ext uri="{FF2B5EF4-FFF2-40B4-BE49-F238E27FC236}">
              <a16:creationId xmlns:a16="http://schemas.microsoft.com/office/drawing/2014/main" id="{14F6C638-0A35-41F8-B659-96FBDB213B84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17</xdr:col>
      <xdr:colOff>993588</xdr:colOff>
      <xdr:row>157</xdr:row>
      <xdr:rowOff>0</xdr:rowOff>
    </xdr:from>
    <xdr:ext cx="184731" cy="264560"/>
    <xdr:sp macro="" textlink="">
      <xdr:nvSpPr>
        <xdr:cNvPr id="491" name="CaixaDeTexto 490">
          <a:extLst>
            <a:ext uri="{FF2B5EF4-FFF2-40B4-BE49-F238E27FC236}">
              <a16:creationId xmlns:a16="http://schemas.microsoft.com/office/drawing/2014/main" id="{1E7EE79B-D2A1-4F36-9D58-98BB44F6373E}"/>
            </a:ext>
          </a:extLst>
        </xdr:cNvPr>
        <xdr:cNvSpPr txBox="1"/>
      </xdr:nvSpPr>
      <xdr:spPr>
        <a:xfrm>
          <a:off x="14681013" y="1571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402771</xdr:colOff>
      <xdr:row>2</xdr:row>
      <xdr:rowOff>0</xdr:rowOff>
    </xdr:from>
    <xdr:ext cx="1163782" cy="928254"/>
    <xdr:pic>
      <xdr:nvPicPr>
        <xdr:cNvPr id="492" name="image1.png" title="Imagem">
          <a:extLst>
            <a:ext uri="{FF2B5EF4-FFF2-40B4-BE49-F238E27FC236}">
              <a16:creationId xmlns:a16="http://schemas.microsoft.com/office/drawing/2014/main" id="{F4DEE9EE-DCE3-4910-A0D4-2180F2109B1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2257" y="283029"/>
          <a:ext cx="1163782" cy="928254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6107F4A-F572-4BB4-9588-AB3ACC114C19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4C94833-F7D0-4484-8AB1-195715BADCA3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C15C330-D271-4228-B545-8D88B5651EBB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5A7DCAD-9F9C-43B1-AA5E-3253CA3EE573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33D97F4C-BCAE-43EA-87B8-54471E5A1885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14A802E-2A74-45A5-B776-2A7CEBD70C49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DC03BB41-C84A-4C70-890D-4844417F32DA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8F011098-A3A9-4417-8285-4C0C43F30079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65F644BA-8521-4A38-8AC1-FAFD7F42EDF1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C8B34073-391A-4DF7-8E02-4D0FF17CD70E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F4023FA8-DFF0-4A6F-93FC-BAF4E252CAAA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7AA71228-56AA-4F50-A76B-7DA77846EC25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32707BD-4A43-4959-A110-403404A9C0BB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18451F9E-B9F2-467C-8AE5-15E8B352D825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BC4BF28D-8567-4BC5-AD6D-F17B2DA35DA3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498AA64F-E91F-4A5D-B5E8-462B4B6A65C3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84A971F-532C-45B3-9A74-18831C101992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A8B9595-3C26-4279-AD75-77B32E25664D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AE363225-F18D-4F83-8921-BAD81DBE2974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47EE225F-D0D3-4660-AC5C-0379429B2052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BD550DA3-5B19-47A6-BD76-3167AC5173B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99D9E91D-3C76-4502-92FB-14FFF7FD27ED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FDBA9EC6-2689-47B2-A08F-578896DDA9F2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A3C7ED60-8E03-40C3-93B9-7786D820AD08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61864EEE-2684-441C-B88B-208E96800645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A881BCE1-8A60-4A59-9695-89ADF2C86DF8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BFA9E4F3-28A8-45B6-A2DD-FE58EE01298F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02F0D651-46DC-4F43-979B-27027F2B2590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9D189C83-2ABF-4F6B-99BC-F601DCDA5908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5F794D7C-3409-47BF-AD97-048FF2958C5F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C7B25E3E-897A-47AF-B84E-32E7C4BC847E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3D5CDBE2-D5A2-44B4-B2FB-EE0181C5BB4C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B198434D-9143-4062-AF5F-B4E91BC79F32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19993E89-64FF-42D6-850D-C9F1B1C6E665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5D7A83A2-25B1-4DE4-BDA1-48ACBB3DFF2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9A7515B1-AB49-49C5-8CDE-097637D2508C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C6BF34EF-9BAF-4013-9003-29DCE48F87E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88709CA7-7138-4917-8E1F-C55D0A9A2C4C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E64DCE58-7F96-4A50-B22D-150B80D5E015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88FDDA17-F8CE-4004-BC2B-BCBB3963A9C4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1BEB2F46-AF46-4AEE-B1B5-B7E1AC509D3F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3F77ADAF-5A90-40CD-80A7-7459DA3C2BC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AC7E8C82-4512-4F10-9EAB-D560B9EA488E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7CE48906-C4FA-48DE-BEE2-B1CAF4259ACC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CBEB3921-3EC9-4C88-813B-A25349D2017A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BA5C375A-C66A-4D87-9BC3-3C2DEC11EB91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811E7678-B7E7-465C-A598-48FB474DC4AB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C27188C9-D3BD-4D6A-84FE-ABD2E49147D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BA3D0CC7-D0C2-4605-B538-75ACF9FE332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E2CDEB63-4EFE-4297-A3E5-08D18A06E626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B55F47E2-7C35-4645-A3AF-F49E83B10E5D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AE7DA80C-5E59-41C1-AE48-B54CAE0C96FF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27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CA4D4890-1DE3-48B9-BA2C-3C7A9CC5B8EF}"/>
            </a:ext>
          </a:extLst>
        </xdr:cNvPr>
        <xdr:cNvSpPr txBox="1"/>
      </xdr:nvSpPr>
      <xdr:spPr>
        <a:xfrm>
          <a:off x="18852963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FC5EF56B-F4EA-41C0-87C5-8D84B991D984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6BFDD29A-6435-4060-9E5D-9201CCF2B74A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7A1F255D-B77A-42DE-8F23-2FCBD64F638E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5B7C3C41-8926-47C9-9051-9B59F6D26FA1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AF15CF2B-6503-4F03-B78C-956EDE9752EF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9F4FDF6F-99AC-4D14-B70F-537015C72E7F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B7CE9142-72FA-42C0-9ED1-4B07A297650D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C20AD370-7410-415D-9FF8-1C7E4645DF9B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89D1862E-D65A-4347-AC08-D4AB20E83203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5CC4730C-D469-4C30-BCD5-4CE631F8B244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7BE37CCB-8905-4E24-B308-723D136E7B29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0B167235-51A0-4879-9C71-F05D24319D71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8D226D41-FF67-4978-9687-05188EBC76C8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11532BAC-92B3-4096-9C97-EC3144BB84D8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D5ED2E4F-976B-4A96-95A4-0E80F4C9211A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3272F602-61AB-43DF-A4EC-0F51ECE3EDF2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5A2083C7-76C8-4A6F-848F-19BA20B4EBC1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574F633C-BA66-4BCA-8A84-B0CF31EC5354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9248E342-64E0-44CE-A264-74754B95BEA3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4FC72A43-BEDB-4E47-99A4-BDFA393DDC68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F42DD5B9-43A8-4AE4-9C43-82BE94FE0C46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144F5EB3-EDDB-42A2-85CA-6E873B073047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075BB817-A718-4CA6-8371-77CA4E42BD21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04B2D4B3-97F8-49EB-9354-670F3028C598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A679C4FD-C140-4BB1-9B3D-38FE021A3627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EFCFD043-7463-4B56-9356-5FB2A6A67D08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29559BFD-0D01-4B42-A425-B36745CAB0F9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7CF55284-A0D1-4555-9282-3E9DC3BBF75D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477335C8-1AEB-421D-A670-35A43FB1579C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16B6E491-DC25-411D-8021-E5227FB6EA10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17B3E6A8-51C4-41A7-BCFA-E8A950A73362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8048909C-39F1-4763-A973-96A247369DCF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27</xdr:row>
      <xdr:rowOff>0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BDF0BB5C-8157-49A8-A906-7DB0872F95B6}"/>
            </a:ext>
          </a:extLst>
        </xdr:cNvPr>
        <xdr:cNvSpPr txBox="1"/>
      </xdr:nvSpPr>
      <xdr:spPr>
        <a:xfrm>
          <a:off x="332422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EE680131-49EE-4653-A3A5-00D990E536C8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689698D3-C0AB-4490-8C16-F3081B240C52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755D481F-6CB9-4A63-9407-330CE1368D3A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683B58B1-722B-47F3-A578-6B849325587D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AE1B1939-14BC-43CB-BC73-D8ADE4CC5F49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16870243-D87A-4325-8442-B80C80E135F1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BC75FD23-B6EF-471F-B16F-2C58E16359F0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BF209D8E-66BC-4F21-BBD3-410D25C65A1B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C580D51D-24F4-4686-9B00-263AC6D75B07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607BE08F-5BA1-42E7-98A1-01ACCE006F21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7F2C21ED-8B65-4A86-B33C-B56DEB59D555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65AA1BBA-0CD5-4667-8B0B-85C86D5EBA5F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525ED381-44E9-40F9-9766-E2C79FA52DF6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432DBDCC-6AC6-4C89-B3AE-6E2AE66952FD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726098EA-8CB2-4C4F-84C6-102657B010DE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71B4889F-6C7B-4421-B2A9-1EBE849A3084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E9198C6E-4895-47FF-8BB1-A348519FFC25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4C765731-E8F4-4A8C-8C47-5D8841BECB46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5310C04E-73C8-48BD-BF80-ED5F6E6E55E8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985B1F3C-A103-444F-8529-0EF875707DEE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3D53582B-6943-4BC6-8125-C10265102DED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89577582-B1F5-4BBD-9606-2655D52ADFF7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BD87E476-CE7C-4783-904A-A07DD0A0DE39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D050F708-6A63-45CA-A4FB-69C4399C267C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11BCE5D4-B1D3-47D1-9814-F165C5D3DFCC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9D402A76-09FB-447F-A64B-7814177777CA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BE63EA67-BA6E-4E91-BE7A-AC759065B04B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8973A0D7-E134-468C-A462-CB57956681C3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9F48BAC1-7A79-4E7B-BA04-9B84A1535899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7C36A5D2-533D-4289-B702-9A5B28402A03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E3DB579B-D2B0-4ECB-918D-C2DBF08AE888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27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1E6F96C4-7E61-4DF7-A331-3EB304978233}"/>
            </a:ext>
          </a:extLst>
        </xdr:cNvPr>
        <xdr:cNvSpPr txBox="1"/>
      </xdr:nvSpPr>
      <xdr:spPr>
        <a:xfrm>
          <a:off x="19843563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78A1698E-288F-4D6B-A016-9DEEAB0468C3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557996F4-D9E0-446E-8B52-7BC909B89841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D4F78F89-4573-4973-9156-15CC526CCBA2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C568044F-025F-4EB0-B5B7-942FE803DD9C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7BCF119-7920-401D-9726-343C94AA536E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646D8556-3A95-47AB-8B3F-E3208BB68307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4360616F-DF9C-4685-A6CB-FC5857B20D71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C392BFCC-3A96-486C-B2D2-3EF44CCCD736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3967A83C-F20A-4F82-958B-2A5BD56B5478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48607B1A-1799-421B-BD17-3F16346F41AE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9D06AC75-BDCB-4958-82C5-49B4AF9BE090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BF7E1375-AA60-4429-ADC9-911AC1BAE1F4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5A018B93-0680-47F7-B8AD-C8116E82D925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D3973F97-8A04-49F7-BF2D-540ADF451365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0D5BC737-57A2-4CFB-A6C2-A4582252B7DA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7B4E4FF4-4554-46C8-9A97-756E177B5719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F81842E6-F4BC-479C-BF4C-27ECA1F9F87E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198E28E3-1BEA-41E3-9063-715FE97C6E10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67C8663C-2757-443C-8B26-C960AEA19DD8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5C404349-2364-4500-B489-FC244CDD0EF7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A5D5082C-C936-43DF-9074-185B1B30014D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962D630B-51EB-4A7B-A98E-14DE7BE6465F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32F0D818-E3DD-4B82-8C18-FDC2D24CCB7C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DC2D7C8F-1D4A-4552-BAF3-0C24EAACAD3C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157D560B-AA87-4567-B639-69FC676D7EE8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4710E451-4B40-45DA-9CF6-52877BFB3A86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3EA90FA9-05C7-40B8-85AF-DBF69B9E9129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DFA408CA-F363-431E-B184-FA423CD8F08E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D293413F-E9D4-4E5C-B5B1-B8F3ACE4A112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AEAF0B29-4B44-4A8C-8BF4-B8F41608459A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3F7F1195-8151-4D53-A508-7D79379850B4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D043C43D-CECA-4A2A-BF86-F624A873D13F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50</xdr:row>
      <xdr:rowOff>0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1ED19936-70C4-472D-A46C-6D518BF0DEC0}"/>
            </a:ext>
          </a:extLst>
        </xdr:cNvPr>
        <xdr:cNvSpPr txBox="1"/>
      </xdr:nvSpPr>
      <xdr:spPr>
        <a:xfrm>
          <a:off x="19843563" y="2087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EB29BF92-2BF4-494A-A543-2C055FC25C06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B75F1713-4FEC-4BC7-A7A3-57AB24159102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8486868E-4539-4B0E-9431-181A235FE16E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6AE10DB1-CD5D-4B4D-A34F-3B034AB94EA5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B3C2B6DF-58F6-4668-92CB-298136D75645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4F78E0C1-887B-4490-9348-3DA7AB0E1A53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27FADED3-7D72-47E4-ACE1-5FF3B0E7A7DE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D0ECE212-3C11-43ED-A838-03635349F615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93A55AC5-82CA-47C7-8A66-CB7EAD2595C0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A2477606-2141-4EDA-916C-783656B41686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2242521A-9E74-4B75-A498-FEC4F231CB11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D23B1F8D-3F7E-4028-825C-4A229E6AC4AD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445B1E4D-CD1B-4EDA-B9E4-DF7460D6E37E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F12214D6-B410-4462-87F9-8447CCF33CE1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AAFEEEF6-2569-482D-A105-4678C9AD6424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B9727746-10C4-4285-A307-92FE954E332A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936D29ED-4702-43E7-A178-DA865BE40F1B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DEC9828F-DC4D-4665-A3F9-FDE2DDC23F1B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E0792E8A-9975-4C4F-82B8-52BBE0858B01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AE95AAFD-7808-466F-BDC4-500B33D4F852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EFE6B31E-E325-403C-A91F-AD8016AA879D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73</xdr:row>
      <xdr:rowOff>0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F2F9069D-4473-4831-ABD0-B07B751701D8}"/>
            </a:ext>
          </a:extLst>
        </xdr:cNvPr>
        <xdr:cNvSpPr txBox="1"/>
      </xdr:nvSpPr>
      <xdr:spPr>
        <a:xfrm>
          <a:off x="19843563" y="3223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3802BA78-1753-429F-9614-0FE1871F6C3E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E94D4FFD-9F44-4FF7-A9CC-57EFFABD6594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00B44B12-7C7A-47FF-9AE4-E56E114A5039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ABC997F6-73DE-4222-9329-48C983B4DE6B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416CEDD5-226A-481B-A1BF-9DB10800BB0C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488BD0BC-F273-4AA1-880F-35AD6676D224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95AA3B5B-819E-4008-AFD1-A843E3C8692D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DC156163-B925-41EC-A3BC-F7969C5DFD23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480F3541-96F4-473B-A78D-8F4622F77A53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A962247F-7531-41CB-BC3C-F9D90F8CDAF8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74</xdr:row>
      <xdr:rowOff>0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C17119BB-7BA0-4298-A430-5CB0095E820F}"/>
            </a:ext>
          </a:extLst>
        </xdr:cNvPr>
        <xdr:cNvSpPr txBox="1"/>
      </xdr:nvSpPr>
      <xdr:spPr>
        <a:xfrm>
          <a:off x="19843563" y="3247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53298</xdr:colOff>
      <xdr:row>2</xdr:row>
      <xdr:rowOff>147104</xdr:rowOff>
    </xdr:from>
    <xdr:ext cx="2624082" cy="880635"/>
    <xdr:pic>
      <xdr:nvPicPr>
        <xdr:cNvPr id="193" name="Imagem 192">
          <a:extLst>
            <a:ext uri="{FF2B5EF4-FFF2-40B4-BE49-F238E27FC236}">
              <a16:creationId xmlns:a16="http://schemas.microsoft.com/office/drawing/2014/main" id="{E3E89056-F54B-443E-9431-07D7AC39B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89" b="22025"/>
        <a:stretch/>
      </xdr:blipFill>
      <xdr:spPr>
        <a:xfrm>
          <a:off x="277416" y="472075"/>
          <a:ext cx="2624082" cy="880635"/>
        </a:xfrm>
        <a:prstGeom prst="rect">
          <a:avLst/>
        </a:prstGeom>
      </xdr:spPr>
    </xdr:pic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99170E72-6797-4174-8E66-B10593D4CEB1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4736F310-D19F-4767-8579-1064DBA14453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C5F219D-5BA4-4391-BBD9-AEC6169715F7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0F5D7062-B1B4-4C6F-BC18-32CA66304E23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A3403508-B85B-4CBB-8CC9-306CBC40A74D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A426DA05-22BE-4456-8F79-FDB5DC396729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6B92955B-6C49-42A5-B9B9-6917774B7BDD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9E834780-69BB-4C3D-819F-7975CFD30A03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D464CCE1-9432-4369-A4F5-1402D4EE8534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411E082F-29E1-40CE-8EED-60001B482569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7F7DFC43-94B8-463E-8EBB-9887E9BAE27D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D52C6734-19A5-452A-BD1D-B384011426F8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655CF216-F97E-43E2-9C59-9B98F44F47CE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6469F44D-8E81-4A3A-806F-706D573353CF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378C924B-4131-400D-B874-D0BED9DD4BCA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FA00BFEB-598A-482D-8BCA-D39A028A1217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E01BBAF6-D11B-4005-A103-46F785DF56ED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EF744971-39ED-499A-AD97-AC529DE2439B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2600F976-F5F5-420A-A147-55BD0DD4699D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DC7D7DDA-C8FF-4021-BC25-3E6FA00188F7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451E1A6A-4846-40E3-8A63-4FE553E5192C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CB226D97-AE35-41EF-B74C-5672E6A19107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31F3A65C-93BD-4CAD-ABD5-9D8C3F39B062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B7EC8FD1-9E85-4FBE-AF18-6BEB0C12CB5C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9CCDA3A7-0D9F-4E87-8F84-E8FA92FE2F0C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D855BA99-8872-4A3A-9A04-667E4C7D4580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1820D18C-B821-4032-AC21-41E5BED7804C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84CDDC37-5A4E-4BE1-B742-E798AB84F76B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34CD93BA-29B5-4980-91CE-7EF49092C047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777434D4-BAD0-494A-9754-FC745A2844DB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3EEEC6EC-10CC-4D71-BA52-D4FADC69FDAC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25F60002-6241-47ED-A6B7-803049C8B1A0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</xdr:row>
      <xdr:rowOff>0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36EF0465-C9AF-4790-AA69-E7BDF2BF12D9}"/>
            </a:ext>
          </a:extLst>
        </xdr:cNvPr>
        <xdr:cNvSpPr txBox="1"/>
      </xdr:nvSpPr>
      <xdr:spPr>
        <a:xfrm>
          <a:off x="19843563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E1203DFC-6761-40E2-B269-8DE3E2762D00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5487EC7F-5AD4-43C9-B073-C65062F9262B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C39947E1-E0C0-407E-B6EB-024EA9A8885D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D27A361E-95F5-460A-A420-86F27EEB8036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9AE5F0A7-C2FA-402B-A06E-62548C3AE923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346F7F85-D3F8-44D4-92E7-7075478C549D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2EC60983-B39E-499E-945A-356C13A578A4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8A8A0814-1611-4052-B513-38D3520F548D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E2CA1F25-ACB0-41DF-85D9-31C5A8BA35BF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56EE12BC-16B3-4C2F-9AAF-E9AF0814A2D1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8EE8DE8B-8DAF-401A-8831-415BB3015D18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9259415F-CB86-4362-9FA6-1979EB71CC3E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EA81E919-DFDF-4CF6-8AD5-655E301DC11B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3ADD9F26-B01F-466D-A7A8-6269BE648008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D99CAD39-9C8C-4A3A-B9AB-914D930BA477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2080CE92-D7DF-4BB2-AE97-CDAD392C5AEC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DC99FCBA-1007-4378-AA97-D71F04BF3B0B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DBFC473A-A9EB-482C-9E0F-7D3AC1C5BEEC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0BDC25F5-DC96-4E2C-8ED9-E35281A9C287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91CADAC9-8677-4E93-A48E-F124A55D6A76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8F815941-48CE-4777-B380-448BA75BC8FC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82</xdr:row>
      <xdr:rowOff>0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EBBEDE63-D74C-43BD-A8D8-79C1D45A2180}"/>
            </a:ext>
          </a:extLst>
        </xdr:cNvPr>
        <xdr:cNvSpPr txBox="1"/>
      </xdr:nvSpPr>
      <xdr:spPr>
        <a:xfrm>
          <a:off x="20615088" y="3402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797EA028-CD22-4DCD-AE54-0D93B4C4FE88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90137CD3-FDD9-485F-AE0D-2E075CAC0077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F70EED4A-BBD1-42C5-8668-50BEBAF17DB8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B3895555-F7CB-4C07-BCC3-6BE6BB8BC4BC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CD464570-4792-46E4-9E9B-37A79370BB99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696D733B-3787-4ED2-9326-2921447EF253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2FFD56C1-E339-4E2F-A963-0DFDACFC83EA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4E92A619-D4F2-4D25-8164-87E46AC701F7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856371E3-9051-4173-AB4F-0B784115E00E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CE12EC57-3F65-4C99-B8B1-252FD760EBDE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10</xdr:col>
      <xdr:colOff>993588</xdr:colOff>
      <xdr:row>83</xdr:row>
      <xdr:rowOff>0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2185D8F7-29C2-4104-8AC4-FC4670622CC9}"/>
            </a:ext>
          </a:extLst>
        </xdr:cNvPr>
        <xdr:cNvSpPr txBox="1"/>
      </xdr:nvSpPr>
      <xdr:spPr>
        <a:xfrm>
          <a:off x="20615088" y="342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179B346E-6B32-4D84-A1E2-F7ABA03AE872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F67C0700-53EE-484C-A72A-B2114C73B908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DAD35027-7190-4E2B-8862-90A40F6E0CA9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9E4F2517-82CB-4907-AD34-B121BAFE73CA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4" name="CaixaDeTexto 263">
          <a:extLst>
            <a:ext uri="{FF2B5EF4-FFF2-40B4-BE49-F238E27FC236}">
              <a16:creationId xmlns:a16="http://schemas.microsoft.com/office/drawing/2014/main" id="{EF181E00-F688-4AFC-83E8-8D9C6E355F04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09698A68-F527-4DA1-81A3-CCCFB644585F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6" name="CaixaDeTexto 265">
          <a:extLst>
            <a:ext uri="{FF2B5EF4-FFF2-40B4-BE49-F238E27FC236}">
              <a16:creationId xmlns:a16="http://schemas.microsoft.com/office/drawing/2014/main" id="{3BE2EA6D-0C13-44B0-8980-6B80B44F7AC6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D39B248B-0715-4D62-915C-AABA0EC802D2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C1663418-CA5A-4194-A1CA-69232479089E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88646798-47ED-48E2-B4A4-C93E1079701E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5B075608-D82D-43CE-9BE2-BEE10F2377D1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C358620F-51FC-487F-808F-0A5ED6A6BC3C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2" name="CaixaDeTexto 271">
          <a:extLst>
            <a:ext uri="{FF2B5EF4-FFF2-40B4-BE49-F238E27FC236}">
              <a16:creationId xmlns:a16="http://schemas.microsoft.com/office/drawing/2014/main" id="{BA763FF7-6DCB-4CE2-8DA7-6981E9564FEC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3" name="CaixaDeTexto 272">
          <a:extLst>
            <a:ext uri="{FF2B5EF4-FFF2-40B4-BE49-F238E27FC236}">
              <a16:creationId xmlns:a16="http://schemas.microsoft.com/office/drawing/2014/main" id="{8A56A78A-5615-4055-9A40-4CBBF1EAF0AA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4" name="CaixaDeTexto 273">
          <a:extLst>
            <a:ext uri="{FF2B5EF4-FFF2-40B4-BE49-F238E27FC236}">
              <a16:creationId xmlns:a16="http://schemas.microsoft.com/office/drawing/2014/main" id="{F3D955FC-FFDD-4054-A0A6-CAFE4EBADA56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5" name="CaixaDeTexto 274">
          <a:extLst>
            <a:ext uri="{FF2B5EF4-FFF2-40B4-BE49-F238E27FC236}">
              <a16:creationId xmlns:a16="http://schemas.microsoft.com/office/drawing/2014/main" id="{57F50335-197D-4AEA-AD0D-4D38960A82BB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6" name="CaixaDeTexto 275">
          <a:extLst>
            <a:ext uri="{FF2B5EF4-FFF2-40B4-BE49-F238E27FC236}">
              <a16:creationId xmlns:a16="http://schemas.microsoft.com/office/drawing/2014/main" id="{9926AC97-964F-4239-8831-9AD2AADCEAD0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7" name="CaixaDeTexto 276">
          <a:extLst>
            <a:ext uri="{FF2B5EF4-FFF2-40B4-BE49-F238E27FC236}">
              <a16:creationId xmlns:a16="http://schemas.microsoft.com/office/drawing/2014/main" id="{9CB2CBDD-98C5-4EFA-A6BA-50616D7793C0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8" name="CaixaDeTexto 277">
          <a:extLst>
            <a:ext uri="{FF2B5EF4-FFF2-40B4-BE49-F238E27FC236}">
              <a16:creationId xmlns:a16="http://schemas.microsoft.com/office/drawing/2014/main" id="{2132E154-4F7A-4AC5-936A-AA792E1ACE09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9CF16F16-AB13-408D-A436-AC2C45F517E1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E5732A3D-DCD8-4929-BAD9-147990D084FC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1" name="CaixaDeTexto 280">
          <a:extLst>
            <a:ext uri="{FF2B5EF4-FFF2-40B4-BE49-F238E27FC236}">
              <a16:creationId xmlns:a16="http://schemas.microsoft.com/office/drawing/2014/main" id="{7CC75E81-42AD-49A9-AFAF-970791A3368E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2" name="CaixaDeTexto 281">
          <a:extLst>
            <a:ext uri="{FF2B5EF4-FFF2-40B4-BE49-F238E27FC236}">
              <a16:creationId xmlns:a16="http://schemas.microsoft.com/office/drawing/2014/main" id="{885E868E-E7B1-49C5-A2AD-99A5B3DAD702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3" name="CaixaDeTexto 282">
          <a:extLst>
            <a:ext uri="{FF2B5EF4-FFF2-40B4-BE49-F238E27FC236}">
              <a16:creationId xmlns:a16="http://schemas.microsoft.com/office/drawing/2014/main" id="{0BE261DC-DA3E-448B-AF08-702875F3501D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407EC08C-C761-4BB7-99F8-87C4A6BE4224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39D3A0DA-3469-4311-A1D9-394893A2FA08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3ACA0EBC-8234-4237-9FE9-43D6461ED392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611C4BC2-962B-430D-8BBA-F30006B1DD47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D3F1D087-47FB-48B2-B0FE-AEE4A227BE1B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A6E7AB3C-E5D9-4ACD-A517-27B15EA35E54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6999CCE2-5C04-4A05-82DA-9DDCFCB1F273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CFB45549-D8BF-44B4-AC5F-2916E60BCDC9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</xdr:row>
      <xdr:rowOff>0</xdr:rowOff>
    </xdr:from>
    <xdr:ext cx="184731" cy="264560"/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ED545F4E-971C-435D-9866-ED00FF0A70AE}"/>
            </a:ext>
          </a:extLst>
        </xdr:cNvPr>
        <xdr:cNvSpPr txBox="1"/>
      </xdr:nvSpPr>
      <xdr:spPr>
        <a:xfrm>
          <a:off x="19922361" y="2788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96D17C20-D148-4AA0-B33D-A39127E07D32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689B507E-6519-4019-A58C-FA7BAA20BE49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80EDD6CA-9267-42E2-9D1E-612B400D0814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D961E4AE-5712-4B18-B93F-82A48A570B44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7" name="CaixaDeTexto 296">
          <a:extLst>
            <a:ext uri="{FF2B5EF4-FFF2-40B4-BE49-F238E27FC236}">
              <a16:creationId xmlns:a16="http://schemas.microsoft.com/office/drawing/2014/main" id="{7AFC151F-E75A-45E8-AE53-3126ABA4E8F6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8" name="CaixaDeTexto 297">
          <a:extLst>
            <a:ext uri="{FF2B5EF4-FFF2-40B4-BE49-F238E27FC236}">
              <a16:creationId xmlns:a16="http://schemas.microsoft.com/office/drawing/2014/main" id="{95351D62-D6F6-490E-9ADE-691DB4C86520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F5E0EBD3-64E9-4801-A8A2-7AEBAA2BAA74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FA2396D3-764B-47C8-B9DA-5469ABCAAD5F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0152DCCD-80BB-4B08-8D0E-2561C1FFF6A6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BA6F282B-4674-4D9D-B8D5-57283FFF740E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2ABC4A23-5CA6-45DF-ADAF-E2101EB2CDB7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D704CE84-0DC2-4869-B34D-5E8417E86CB1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B3809ECE-7655-451C-B27E-0425D2F7BE00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F5236E16-58DE-4435-B5AB-7B0EF320179B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DCE6B90A-89E1-4454-9805-AF8C620FB49B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DCE850D1-890D-4B39-BE64-B56666EE2392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09" name="CaixaDeTexto 308">
          <a:extLst>
            <a:ext uri="{FF2B5EF4-FFF2-40B4-BE49-F238E27FC236}">
              <a16:creationId xmlns:a16="http://schemas.microsoft.com/office/drawing/2014/main" id="{3C16BE05-A714-40EE-B360-54BFD4757AFC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6EAFF33C-7A0F-4E95-87BF-0D98BE5E8410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1E5CE6D3-E5AF-4300-9119-AC6D6B8802FB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2" name="CaixaDeTexto 311">
          <a:extLst>
            <a:ext uri="{FF2B5EF4-FFF2-40B4-BE49-F238E27FC236}">
              <a16:creationId xmlns:a16="http://schemas.microsoft.com/office/drawing/2014/main" id="{F05885E9-45FA-4800-AC22-3303E6ED8EC3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FA6126AC-90CD-48E5-8D71-25C5127D7AE6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4370ADA6-00DB-48DC-8F02-91644BED8D39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45BBCE0E-6541-4ECD-AC5B-B1185EA57948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48A7D7A4-0062-4260-A0DA-7A5156BF200B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7" name="CaixaDeTexto 316">
          <a:extLst>
            <a:ext uri="{FF2B5EF4-FFF2-40B4-BE49-F238E27FC236}">
              <a16:creationId xmlns:a16="http://schemas.microsoft.com/office/drawing/2014/main" id="{39A7862E-0B52-43C9-8A1E-047094F95F8D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59DBE782-0593-45CD-ADCC-F3FAF3EDA39D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BE49A155-FB6F-447B-B26C-F60A727A4C9F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FA48B2FC-363E-44B9-BBC5-3A39FD5F66F1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E32DF1AE-483D-44F5-8EA3-A477C6EA4C1B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22" name="CaixaDeTexto 321">
          <a:extLst>
            <a:ext uri="{FF2B5EF4-FFF2-40B4-BE49-F238E27FC236}">
              <a16:creationId xmlns:a16="http://schemas.microsoft.com/office/drawing/2014/main" id="{20EA138F-D678-4135-84F2-7E6D8D7323B6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23" name="CaixaDeTexto 322">
          <a:extLst>
            <a:ext uri="{FF2B5EF4-FFF2-40B4-BE49-F238E27FC236}">
              <a16:creationId xmlns:a16="http://schemas.microsoft.com/office/drawing/2014/main" id="{1154CE44-E3F5-4811-A7D2-1E184EC256ED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24" name="CaixaDeTexto 323">
          <a:extLst>
            <a:ext uri="{FF2B5EF4-FFF2-40B4-BE49-F238E27FC236}">
              <a16:creationId xmlns:a16="http://schemas.microsoft.com/office/drawing/2014/main" id="{9075E07B-23C2-49AD-8F3C-237CC0E6EB87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43</xdr:row>
      <xdr:rowOff>0</xdr:rowOff>
    </xdr:from>
    <xdr:ext cx="184731" cy="264560"/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C8E2762-C6A4-41D7-9259-5B201329B14A}"/>
            </a:ext>
          </a:extLst>
        </xdr:cNvPr>
        <xdr:cNvSpPr txBox="1"/>
      </xdr:nvSpPr>
      <xdr:spPr>
        <a:xfrm>
          <a:off x="12940659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0788C560-3EAA-4F21-8DAD-87D49831CA38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3119C692-696D-4B5B-86F6-013C419D5C9A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43C7EC6E-D545-4720-9815-2F32FEA527BA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29" name="CaixaDeTexto 328">
          <a:extLst>
            <a:ext uri="{FF2B5EF4-FFF2-40B4-BE49-F238E27FC236}">
              <a16:creationId xmlns:a16="http://schemas.microsoft.com/office/drawing/2014/main" id="{8726B357-EB59-462A-93A1-75089BA85BFB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54C9B371-1C63-483D-9AAA-B5C52B2021AD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157DCFD6-F0F7-425E-82B5-58ADFBF4CD94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60CA011A-7478-4A97-A46D-07EA148190B8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3" name="CaixaDeTexto 332">
          <a:extLst>
            <a:ext uri="{FF2B5EF4-FFF2-40B4-BE49-F238E27FC236}">
              <a16:creationId xmlns:a16="http://schemas.microsoft.com/office/drawing/2014/main" id="{BF7535A7-9542-4A5F-807B-48B26DB2B5C1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4" name="CaixaDeTexto 333">
          <a:extLst>
            <a:ext uri="{FF2B5EF4-FFF2-40B4-BE49-F238E27FC236}">
              <a16:creationId xmlns:a16="http://schemas.microsoft.com/office/drawing/2014/main" id="{C5AC1F36-C60F-420F-8611-C9448A7480F8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620F360D-F939-4DE4-8974-86A91A6D37C0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6" name="CaixaDeTexto 335">
          <a:extLst>
            <a:ext uri="{FF2B5EF4-FFF2-40B4-BE49-F238E27FC236}">
              <a16:creationId xmlns:a16="http://schemas.microsoft.com/office/drawing/2014/main" id="{19E0D5AB-2CF9-4A3B-BE31-58A682505024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7" name="CaixaDeTexto 336">
          <a:extLst>
            <a:ext uri="{FF2B5EF4-FFF2-40B4-BE49-F238E27FC236}">
              <a16:creationId xmlns:a16="http://schemas.microsoft.com/office/drawing/2014/main" id="{B42B6A1A-037C-4A1C-AAF5-19298C9B66D6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8" name="CaixaDeTexto 337">
          <a:extLst>
            <a:ext uri="{FF2B5EF4-FFF2-40B4-BE49-F238E27FC236}">
              <a16:creationId xmlns:a16="http://schemas.microsoft.com/office/drawing/2014/main" id="{D56C6A79-3CCE-4ECE-A71B-8A564803730A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39" name="CaixaDeTexto 338">
          <a:extLst>
            <a:ext uri="{FF2B5EF4-FFF2-40B4-BE49-F238E27FC236}">
              <a16:creationId xmlns:a16="http://schemas.microsoft.com/office/drawing/2014/main" id="{F13B8169-5E6A-4FB9-885F-4E605B5B9FDB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5B874A73-D945-4C4B-9BAA-A6617B6A9F72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7E93EE61-759D-4904-8CF7-BC9F0689B36E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B293C960-7FEB-4250-8064-8320FDB6691B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B00DF714-94A5-47E1-8593-3CA9B14C83E9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FB4579CD-2165-4BF2-B604-5958FFA0CDDD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58FE31A8-C08D-45A3-8428-160628A5C8C1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B3A1E131-F4BF-4731-9C22-C22BC82A80C3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4D496789-6717-4FCD-A4C5-EA4A25556F33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71D579D1-A473-49B0-A010-C14CF83CF7C3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2F9E2373-FBF0-4D4D-BDBD-DD0BBE2E1596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E8B90458-CF84-4A6E-846B-B7C21DFE4591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8C024569-2202-4DA1-9FA1-DA8F06036CD6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C1518364-0800-43A5-AE77-AF3E685F1867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262C5BA5-0365-4F40-A6DB-23B5C3D5EE8B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4" name="CaixaDeTexto 353">
          <a:extLst>
            <a:ext uri="{FF2B5EF4-FFF2-40B4-BE49-F238E27FC236}">
              <a16:creationId xmlns:a16="http://schemas.microsoft.com/office/drawing/2014/main" id="{FA5BAE10-2935-4E85-9A2D-E9F5F610667B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6DC04A7B-9B34-43C4-8763-F714F36F02CB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6" name="CaixaDeTexto 355">
          <a:extLst>
            <a:ext uri="{FF2B5EF4-FFF2-40B4-BE49-F238E27FC236}">
              <a16:creationId xmlns:a16="http://schemas.microsoft.com/office/drawing/2014/main" id="{914E583A-A5DD-489A-8162-B255CE342353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7" name="CaixaDeTexto 356">
          <a:extLst>
            <a:ext uri="{FF2B5EF4-FFF2-40B4-BE49-F238E27FC236}">
              <a16:creationId xmlns:a16="http://schemas.microsoft.com/office/drawing/2014/main" id="{FD8A1BEF-2C5B-4149-88FB-5F6BE1AC972D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66</xdr:row>
      <xdr:rowOff>0</xdr:rowOff>
    </xdr:from>
    <xdr:ext cx="184731" cy="264560"/>
    <xdr:sp macro="" textlink="">
      <xdr:nvSpPr>
        <xdr:cNvPr id="358" name="CaixaDeTexto 357">
          <a:extLst>
            <a:ext uri="{FF2B5EF4-FFF2-40B4-BE49-F238E27FC236}">
              <a16:creationId xmlns:a16="http://schemas.microsoft.com/office/drawing/2014/main" id="{E922335B-9D06-4160-8D2F-81FC7B276B46}"/>
            </a:ext>
          </a:extLst>
        </xdr:cNvPr>
        <xdr:cNvSpPr txBox="1"/>
      </xdr:nvSpPr>
      <xdr:spPr>
        <a:xfrm>
          <a:off x="12940659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59" name="CaixaDeTexto 358">
          <a:extLst>
            <a:ext uri="{FF2B5EF4-FFF2-40B4-BE49-F238E27FC236}">
              <a16:creationId xmlns:a16="http://schemas.microsoft.com/office/drawing/2014/main" id="{888B5E0C-97D4-44F1-B46A-69CD00E3E50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0" name="CaixaDeTexto 359">
          <a:extLst>
            <a:ext uri="{FF2B5EF4-FFF2-40B4-BE49-F238E27FC236}">
              <a16:creationId xmlns:a16="http://schemas.microsoft.com/office/drawing/2014/main" id="{94969DCC-359A-4FF5-9C8C-B91D62F68D27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1" name="CaixaDeTexto 360">
          <a:extLst>
            <a:ext uri="{FF2B5EF4-FFF2-40B4-BE49-F238E27FC236}">
              <a16:creationId xmlns:a16="http://schemas.microsoft.com/office/drawing/2014/main" id="{05416309-2066-448F-AAAB-784DD21D1C57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7B85C880-2F52-409A-BD32-79C0B70187E3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1AD1C1F4-AAD6-414B-9148-25A3B88C9D42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0C4EC723-9CAF-463E-9956-2B1C63ECB21C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8F65E11A-31BD-4D59-ACF6-ED29D6B0A2B3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262BFC3D-13A5-4B54-BC71-02E74075DA6A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FF199291-5868-476A-9736-2DE2450A3DE5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8" name="CaixaDeTexto 367">
          <a:extLst>
            <a:ext uri="{FF2B5EF4-FFF2-40B4-BE49-F238E27FC236}">
              <a16:creationId xmlns:a16="http://schemas.microsoft.com/office/drawing/2014/main" id="{DBFA2CD8-7765-44DE-9446-F1CEFD3E5392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B9D6348A-8D93-48A6-8105-B4F5BB596E7F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D0F0446B-62BC-4B8C-AC40-D74BB348EA7C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914278DB-AB90-46C7-B823-C5518A137A3D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9EAB5619-9BCC-4DE6-804D-C5D004E24A18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3" name="CaixaDeTexto 372">
          <a:extLst>
            <a:ext uri="{FF2B5EF4-FFF2-40B4-BE49-F238E27FC236}">
              <a16:creationId xmlns:a16="http://schemas.microsoft.com/office/drawing/2014/main" id="{1F840C1E-EA9A-44E9-A304-50A31245C94D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4" name="CaixaDeTexto 373">
          <a:extLst>
            <a:ext uri="{FF2B5EF4-FFF2-40B4-BE49-F238E27FC236}">
              <a16:creationId xmlns:a16="http://schemas.microsoft.com/office/drawing/2014/main" id="{D0FDA645-3FB6-4896-91B4-3634D23FAB2A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282E79C2-A360-4F71-A7EF-5A6DBF146C2E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C554D75B-DA96-4E85-A85A-A83596F51B5E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657B23DB-9661-479C-96D2-302E7628A8B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F7D2A27F-17EE-4788-B909-F526E599A99D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81CC8963-25CF-4A35-9FB1-82F344ECE932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C0D09850-3EAE-4AAA-9D8C-A84DACDA54E3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6F848C43-7245-4D70-8A06-22FF42A79598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5BA26E71-1A09-4B08-B747-DD663C95E72B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2F2A6789-2246-44B9-976C-E0EED52CAD5B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7F374D40-4A2C-43BF-8E8A-CD72D4B03013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5BE67AC0-AE45-4ACD-AA92-37EE79F35982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589A31C1-EF0E-46BF-87EC-37090B8B82B4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30E74DB4-49E9-462A-9385-A26E0B550F4B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8D48D0A0-C2C4-431F-BFDD-BCD4DCD938AE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89" name="CaixaDeTexto 388">
          <a:extLst>
            <a:ext uri="{FF2B5EF4-FFF2-40B4-BE49-F238E27FC236}">
              <a16:creationId xmlns:a16="http://schemas.microsoft.com/office/drawing/2014/main" id="{C4244321-13C7-4428-B895-DB600390CDF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0" name="CaixaDeTexto 389">
          <a:extLst>
            <a:ext uri="{FF2B5EF4-FFF2-40B4-BE49-F238E27FC236}">
              <a16:creationId xmlns:a16="http://schemas.microsoft.com/office/drawing/2014/main" id="{775B7753-9E29-4957-B78D-A4BF476AA5B6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824A5956-94E7-4CA9-8293-C6D7627830F7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BCE432B8-8382-444A-8454-CC3F1D343AA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3" name="CaixaDeTexto 392">
          <a:extLst>
            <a:ext uri="{FF2B5EF4-FFF2-40B4-BE49-F238E27FC236}">
              <a16:creationId xmlns:a16="http://schemas.microsoft.com/office/drawing/2014/main" id="{23FF3E47-1559-48C7-987A-2FB74432FEE8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DC0A7DB7-A0DF-4A90-B412-07C7AE53B42F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4E3D2793-1D35-4E33-8B5F-66488164B2C3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FFA15AC2-61B2-4DCA-9F3D-748D122CC7BC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C54D7FE2-E46F-4D3B-B945-883FD32ADA3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8E1AEED9-F78F-4A91-B432-7B5CF1A4C6C2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601E14D8-819C-4CA6-8D57-AA052D3126F6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E958E6CC-CA69-4477-B3AD-1A9F9BF2AD6D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C489276F-F085-40AE-AFE4-F41F64A6CAF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36242F03-23BC-4977-A0F0-37AB67BC5912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3" name="CaixaDeTexto 402">
          <a:extLst>
            <a:ext uri="{FF2B5EF4-FFF2-40B4-BE49-F238E27FC236}">
              <a16:creationId xmlns:a16="http://schemas.microsoft.com/office/drawing/2014/main" id="{2B539569-36D7-40A8-B78F-E8A828561B69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F1E99B82-97E4-45EE-A80B-A075C774FC6A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766CD3D8-B15F-4B50-85A2-3840A6588CF4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AC96EF9D-0242-488F-93F3-7D9F346B2B8A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4CC21B12-1B3D-4581-9A14-86013929953B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8119AA35-52B4-49E5-A691-42DCA7115B0E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09" name="CaixaDeTexto 408">
          <a:extLst>
            <a:ext uri="{FF2B5EF4-FFF2-40B4-BE49-F238E27FC236}">
              <a16:creationId xmlns:a16="http://schemas.microsoft.com/office/drawing/2014/main" id="{61AF7F9A-AE5E-43D9-BFF4-45D939DA807C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10" name="CaixaDeTexto 409">
          <a:extLst>
            <a:ext uri="{FF2B5EF4-FFF2-40B4-BE49-F238E27FC236}">
              <a16:creationId xmlns:a16="http://schemas.microsoft.com/office/drawing/2014/main" id="{78568EE6-E813-4D40-B16E-16418D093EB6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2988</xdr:colOff>
      <xdr:row>104</xdr:row>
      <xdr:rowOff>0</xdr:rowOff>
    </xdr:from>
    <xdr:ext cx="184731" cy="264560"/>
    <xdr:sp macro="" textlink="">
      <xdr:nvSpPr>
        <xdr:cNvPr id="411" name="CaixaDeTexto 410">
          <a:extLst>
            <a:ext uri="{FF2B5EF4-FFF2-40B4-BE49-F238E27FC236}">
              <a16:creationId xmlns:a16="http://schemas.microsoft.com/office/drawing/2014/main" id="{103BEDE1-A6A4-4DA9-B902-15EB883DA43D}"/>
            </a:ext>
          </a:extLst>
        </xdr:cNvPr>
        <xdr:cNvSpPr txBox="1"/>
      </xdr:nvSpPr>
      <xdr:spPr>
        <a:xfrm>
          <a:off x="117051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CAAD0AD5-122C-4573-808C-27B941044C93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DA037193-7432-4218-BF95-2C34305F61E9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5FA0A033-DD08-466E-A902-19FF7CED1A12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6CF978CD-B71E-42D4-849D-0337AC3424B6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6" name="CaixaDeTexto 415">
          <a:extLst>
            <a:ext uri="{FF2B5EF4-FFF2-40B4-BE49-F238E27FC236}">
              <a16:creationId xmlns:a16="http://schemas.microsoft.com/office/drawing/2014/main" id="{251196A3-CC22-4C67-8EEC-7C67EA7C3D04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1E08DF77-9F30-452D-9641-017EB05E6A2B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28F0AB49-E3C9-4757-8D42-FEF76E224861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B2A09EF1-F5C1-4C1F-94DF-D5BED4563A4F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126299A7-65F7-419C-A448-6C14BACCAD6B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1" name="CaixaDeTexto 420">
          <a:extLst>
            <a:ext uri="{FF2B5EF4-FFF2-40B4-BE49-F238E27FC236}">
              <a16:creationId xmlns:a16="http://schemas.microsoft.com/office/drawing/2014/main" id="{C69C8458-8DA3-4B77-A7DA-432B58F0BE89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75E431E4-48B9-4717-911D-9AAF8C82E4C0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58CDE114-B020-4D63-81B5-596BBD961209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6B4B4B2C-48F1-4641-8438-30E7D7265744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CEB8BA1F-C380-473D-B333-974F25ECABFF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2C458AB0-3196-4F70-9BCC-4E67E7A94D56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E7CCCC0D-13CD-485B-87FD-688ECFB7E2AD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7530B34F-6FCC-40B3-AD9E-62E5401F2C71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C4405727-1696-47A0-A386-054219CD3BB8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CC7B7215-AB70-4998-A087-6FD8A8A0105D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B46266F7-9D55-4038-BFA6-DA7494D37A97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B1D03739-F78C-4F58-8F5A-734522334E11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92C98010-4550-49D0-8CD5-B5BACFF557C7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4" name="CaixaDeTexto 433">
          <a:extLst>
            <a:ext uri="{FF2B5EF4-FFF2-40B4-BE49-F238E27FC236}">
              <a16:creationId xmlns:a16="http://schemas.microsoft.com/office/drawing/2014/main" id="{D8E09284-1B55-4045-9445-CB2351000CB6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5" name="CaixaDeTexto 434">
          <a:extLst>
            <a:ext uri="{FF2B5EF4-FFF2-40B4-BE49-F238E27FC236}">
              <a16:creationId xmlns:a16="http://schemas.microsoft.com/office/drawing/2014/main" id="{937CD5D8-C01E-4CCF-A99A-B0D749788A03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6" name="CaixaDeTexto 435">
          <a:extLst>
            <a:ext uri="{FF2B5EF4-FFF2-40B4-BE49-F238E27FC236}">
              <a16:creationId xmlns:a16="http://schemas.microsoft.com/office/drawing/2014/main" id="{6963A422-B4BB-4582-8608-794B995A2A0A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7" name="CaixaDeTexto 436">
          <a:extLst>
            <a:ext uri="{FF2B5EF4-FFF2-40B4-BE49-F238E27FC236}">
              <a16:creationId xmlns:a16="http://schemas.microsoft.com/office/drawing/2014/main" id="{908AE4CB-01F8-4A46-BD0D-99D5B9FCF66A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8" name="CaixaDeTexto 437">
          <a:extLst>
            <a:ext uri="{FF2B5EF4-FFF2-40B4-BE49-F238E27FC236}">
              <a16:creationId xmlns:a16="http://schemas.microsoft.com/office/drawing/2014/main" id="{B0288DE3-66F6-44AF-880E-DD32DB9BDA1E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39" name="CaixaDeTexto 438">
          <a:extLst>
            <a:ext uri="{FF2B5EF4-FFF2-40B4-BE49-F238E27FC236}">
              <a16:creationId xmlns:a16="http://schemas.microsoft.com/office/drawing/2014/main" id="{57F6505A-A0E5-4321-86EB-7991F15AE14B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40" name="CaixaDeTexto 439">
          <a:extLst>
            <a:ext uri="{FF2B5EF4-FFF2-40B4-BE49-F238E27FC236}">
              <a16:creationId xmlns:a16="http://schemas.microsoft.com/office/drawing/2014/main" id="{ADAD683F-07C0-479C-9D24-42BAA1E04FA9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F5ED7A7D-B7A2-4514-B2BB-38123E5B1896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429225E4-6C88-4300-B935-BAC624A1E6A5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73754203-E175-434F-9366-AB98938399D0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104</xdr:row>
      <xdr:rowOff>0</xdr:rowOff>
    </xdr:from>
    <xdr:ext cx="184731" cy="264560"/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C992671D-D6DD-4635-A913-5554AFF676ED}"/>
            </a:ext>
          </a:extLst>
        </xdr:cNvPr>
        <xdr:cNvSpPr txBox="1"/>
      </xdr:nvSpPr>
      <xdr:spPr>
        <a:xfrm>
          <a:off x="4191000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926E565D-AFC1-49FF-BE0D-240F1C3CFB24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C77A33E9-3980-4085-95AE-81F68C2807C7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3352B10F-D787-4A7D-A8FF-108D59B43BD7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2DE8CF4C-88A8-4AFC-BFC1-49B1EEB1B924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598AB080-81A5-4184-8846-335CA777E5BB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B0A59264-3092-49D5-98D8-F81298DAD05A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A680C728-8DC0-4B63-847B-C4B4EB9FE945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CA92CBBB-288B-4D52-9E0C-BD271E303756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B496E958-EA24-4E81-8BD5-F637970F39D2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4" name="CaixaDeTexto 453">
          <a:extLst>
            <a:ext uri="{FF2B5EF4-FFF2-40B4-BE49-F238E27FC236}">
              <a16:creationId xmlns:a16="http://schemas.microsoft.com/office/drawing/2014/main" id="{39851616-9A17-416A-B497-0BF7DDCD6BFB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5" name="CaixaDeTexto 454">
          <a:extLst>
            <a:ext uri="{FF2B5EF4-FFF2-40B4-BE49-F238E27FC236}">
              <a16:creationId xmlns:a16="http://schemas.microsoft.com/office/drawing/2014/main" id="{B4DD657C-88DC-4646-9366-DCD466394877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6" name="CaixaDeTexto 455">
          <a:extLst>
            <a:ext uri="{FF2B5EF4-FFF2-40B4-BE49-F238E27FC236}">
              <a16:creationId xmlns:a16="http://schemas.microsoft.com/office/drawing/2014/main" id="{42975700-4B79-4F6A-872B-279C8F9F28EE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7" name="CaixaDeTexto 456">
          <a:extLst>
            <a:ext uri="{FF2B5EF4-FFF2-40B4-BE49-F238E27FC236}">
              <a16:creationId xmlns:a16="http://schemas.microsoft.com/office/drawing/2014/main" id="{FF1F4CC7-12EE-42BB-812C-FA9FA00C65C1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8" name="CaixaDeTexto 457">
          <a:extLst>
            <a:ext uri="{FF2B5EF4-FFF2-40B4-BE49-F238E27FC236}">
              <a16:creationId xmlns:a16="http://schemas.microsoft.com/office/drawing/2014/main" id="{0A9D782D-D7AE-41CA-9F89-75030723D734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59" name="CaixaDeTexto 458">
          <a:extLst>
            <a:ext uri="{FF2B5EF4-FFF2-40B4-BE49-F238E27FC236}">
              <a16:creationId xmlns:a16="http://schemas.microsoft.com/office/drawing/2014/main" id="{8666C8F7-7A96-4859-AF14-5F1489B19B07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0" name="CaixaDeTexto 459">
          <a:extLst>
            <a:ext uri="{FF2B5EF4-FFF2-40B4-BE49-F238E27FC236}">
              <a16:creationId xmlns:a16="http://schemas.microsoft.com/office/drawing/2014/main" id="{6F30D079-0675-4DE5-B754-488D99415BC3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1" name="CaixaDeTexto 460">
          <a:extLst>
            <a:ext uri="{FF2B5EF4-FFF2-40B4-BE49-F238E27FC236}">
              <a16:creationId xmlns:a16="http://schemas.microsoft.com/office/drawing/2014/main" id="{18C8566C-07A4-4A2E-AC11-1CCCDD848FCA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2" name="CaixaDeTexto 461">
          <a:extLst>
            <a:ext uri="{FF2B5EF4-FFF2-40B4-BE49-F238E27FC236}">
              <a16:creationId xmlns:a16="http://schemas.microsoft.com/office/drawing/2014/main" id="{F7070AE9-74FD-4594-BD64-633A2C5BACE1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B9AC0191-A16F-442C-988B-A5ECC01E56F3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4" name="CaixaDeTexto 463">
          <a:extLst>
            <a:ext uri="{FF2B5EF4-FFF2-40B4-BE49-F238E27FC236}">
              <a16:creationId xmlns:a16="http://schemas.microsoft.com/office/drawing/2014/main" id="{7378739A-4D6B-4402-9E93-EAB28C65C527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72B367AF-7F67-4378-9ADB-BCAC22ACD7D0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6" name="CaixaDeTexto 465">
          <a:extLst>
            <a:ext uri="{FF2B5EF4-FFF2-40B4-BE49-F238E27FC236}">
              <a16:creationId xmlns:a16="http://schemas.microsoft.com/office/drawing/2014/main" id="{BD93B99C-B000-4139-B3D7-A6BE2480B0C4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7" name="CaixaDeTexto 466">
          <a:extLst>
            <a:ext uri="{FF2B5EF4-FFF2-40B4-BE49-F238E27FC236}">
              <a16:creationId xmlns:a16="http://schemas.microsoft.com/office/drawing/2014/main" id="{607947FE-B834-4366-A89E-4425EB032F75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8" name="CaixaDeTexto 467">
          <a:extLst>
            <a:ext uri="{FF2B5EF4-FFF2-40B4-BE49-F238E27FC236}">
              <a16:creationId xmlns:a16="http://schemas.microsoft.com/office/drawing/2014/main" id="{FFBF038E-48B4-4023-AAA3-E16F1F958AC4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69" name="CaixaDeTexto 468">
          <a:extLst>
            <a:ext uri="{FF2B5EF4-FFF2-40B4-BE49-F238E27FC236}">
              <a16:creationId xmlns:a16="http://schemas.microsoft.com/office/drawing/2014/main" id="{4121D7EE-2F67-48D0-A1F4-342DED0A6798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0" name="CaixaDeTexto 469">
          <a:extLst>
            <a:ext uri="{FF2B5EF4-FFF2-40B4-BE49-F238E27FC236}">
              <a16:creationId xmlns:a16="http://schemas.microsoft.com/office/drawing/2014/main" id="{4F0BFA92-3327-4F81-B331-E20A1759981B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1" name="CaixaDeTexto 470">
          <a:extLst>
            <a:ext uri="{FF2B5EF4-FFF2-40B4-BE49-F238E27FC236}">
              <a16:creationId xmlns:a16="http://schemas.microsoft.com/office/drawing/2014/main" id="{26B43EA2-1EEE-42EB-A803-89188C62CF3A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2" name="CaixaDeTexto 471">
          <a:extLst>
            <a:ext uri="{FF2B5EF4-FFF2-40B4-BE49-F238E27FC236}">
              <a16:creationId xmlns:a16="http://schemas.microsoft.com/office/drawing/2014/main" id="{7FE67DC0-9BA1-4796-AE45-CEA08B720970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DEF5C58C-3EC0-4E57-A3DA-64F26C40AE7E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B1B86E85-AD16-4DF0-B134-A2281CB7A11F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39505557-68B2-4103-A520-798F5CC33B15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104</xdr:row>
      <xdr:rowOff>0</xdr:rowOff>
    </xdr:from>
    <xdr:ext cx="184731" cy="264560"/>
    <xdr:sp macro="" textlink="">
      <xdr:nvSpPr>
        <xdr:cNvPr id="476" name="CaixaDeTexto 475">
          <a:extLst>
            <a:ext uri="{FF2B5EF4-FFF2-40B4-BE49-F238E27FC236}">
              <a16:creationId xmlns:a16="http://schemas.microsoft.com/office/drawing/2014/main" id="{9885A3CF-600C-49E2-B2CF-16530023B1AE}"/>
            </a:ext>
          </a:extLst>
        </xdr:cNvPr>
        <xdr:cNvSpPr txBox="1"/>
      </xdr:nvSpPr>
      <xdr:spPr>
        <a:xfrm>
          <a:off x="12695731" y="65042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D63B1586-373C-436B-A5CB-B3BDBAD409AF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A233FF0A-F8DD-4240-8535-40233C1C9EEA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93436C89-CCDF-403C-818D-BF913DD0D47B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50A25222-F5AF-4EA7-9FDE-81CB156B3BB6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53C1BE76-58F6-4036-B7F8-FC1F6D37CDB5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2" name="CaixaDeTexto 481">
          <a:extLst>
            <a:ext uri="{FF2B5EF4-FFF2-40B4-BE49-F238E27FC236}">
              <a16:creationId xmlns:a16="http://schemas.microsoft.com/office/drawing/2014/main" id="{C23CFD65-1C9F-4474-962B-A74A8F4DED1F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3B32A241-DC8C-46ED-94A4-9424C93622AB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C1AB96E3-0AD9-4C85-8BBB-EE553B2BBAD9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5" name="CaixaDeTexto 484">
          <a:extLst>
            <a:ext uri="{FF2B5EF4-FFF2-40B4-BE49-F238E27FC236}">
              <a16:creationId xmlns:a16="http://schemas.microsoft.com/office/drawing/2014/main" id="{1296F46C-D84B-4248-AD3F-BCA5277DCAD3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ABA8C8D3-5B0F-4736-9333-55B137998D70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7" name="CaixaDeTexto 486">
          <a:extLst>
            <a:ext uri="{FF2B5EF4-FFF2-40B4-BE49-F238E27FC236}">
              <a16:creationId xmlns:a16="http://schemas.microsoft.com/office/drawing/2014/main" id="{17E32380-F883-4AF1-ACB1-9B1B71AF4908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8" name="CaixaDeTexto 487">
          <a:extLst>
            <a:ext uri="{FF2B5EF4-FFF2-40B4-BE49-F238E27FC236}">
              <a16:creationId xmlns:a16="http://schemas.microsoft.com/office/drawing/2014/main" id="{C19682D4-DE17-4BC3-B925-1F3F9B9F3902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89" name="CaixaDeTexto 488">
          <a:extLst>
            <a:ext uri="{FF2B5EF4-FFF2-40B4-BE49-F238E27FC236}">
              <a16:creationId xmlns:a16="http://schemas.microsoft.com/office/drawing/2014/main" id="{8DB0C9F1-CD80-4746-92E2-45CA2A2FC955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0" name="CaixaDeTexto 489">
          <a:extLst>
            <a:ext uri="{FF2B5EF4-FFF2-40B4-BE49-F238E27FC236}">
              <a16:creationId xmlns:a16="http://schemas.microsoft.com/office/drawing/2014/main" id="{6F8FAFF8-D30B-4626-AC14-279AB3CE49B5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1" name="CaixaDeTexto 490">
          <a:extLst>
            <a:ext uri="{FF2B5EF4-FFF2-40B4-BE49-F238E27FC236}">
              <a16:creationId xmlns:a16="http://schemas.microsoft.com/office/drawing/2014/main" id="{822C1B80-0BC7-4E2C-8129-DEE08088E50D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2" name="CaixaDeTexto 491">
          <a:extLst>
            <a:ext uri="{FF2B5EF4-FFF2-40B4-BE49-F238E27FC236}">
              <a16:creationId xmlns:a16="http://schemas.microsoft.com/office/drawing/2014/main" id="{1E30AF28-263D-4D9B-8950-2AB3200C2909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3" name="CaixaDeTexto 492">
          <a:extLst>
            <a:ext uri="{FF2B5EF4-FFF2-40B4-BE49-F238E27FC236}">
              <a16:creationId xmlns:a16="http://schemas.microsoft.com/office/drawing/2014/main" id="{60EE6EE9-456E-4CA2-8EAB-5346F439FB1F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4" name="CaixaDeTexto 493">
          <a:extLst>
            <a:ext uri="{FF2B5EF4-FFF2-40B4-BE49-F238E27FC236}">
              <a16:creationId xmlns:a16="http://schemas.microsoft.com/office/drawing/2014/main" id="{9DD0DBC4-1C20-4385-8F5B-D4926BCB95A9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5" name="CaixaDeTexto 494">
          <a:extLst>
            <a:ext uri="{FF2B5EF4-FFF2-40B4-BE49-F238E27FC236}">
              <a16:creationId xmlns:a16="http://schemas.microsoft.com/office/drawing/2014/main" id="{417E30C6-50CF-4F77-9825-82B61CE4AA7A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6" name="CaixaDeTexto 495">
          <a:extLst>
            <a:ext uri="{FF2B5EF4-FFF2-40B4-BE49-F238E27FC236}">
              <a16:creationId xmlns:a16="http://schemas.microsoft.com/office/drawing/2014/main" id="{246E31B6-7E33-4C24-BBDD-9CBE540DDF58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7" name="CaixaDeTexto 496">
          <a:extLst>
            <a:ext uri="{FF2B5EF4-FFF2-40B4-BE49-F238E27FC236}">
              <a16:creationId xmlns:a16="http://schemas.microsoft.com/office/drawing/2014/main" id="{4419C7FA-D77C-4217-9C23-38C2F2AFE8FC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8" name="CaixaDeTexto 497">
          <a:extLst>
            <a:ext uri="{FF2B5EF4-FFF2-40B4-BE49-F238E27FC236}">
              <a16:creationId xmlns:a16="http://schemas.microsoft.com/office/drawing/2014/main" id="{FF71AEC9-1AC0-499C-AA5E-67F73899E57C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499" name="CaixaDeTexto 498">
          <a:extLst>
            <a:ext uri="{FF2B5EF4-FFF2-40B4-BE49-F238E27FC236}">
              <a16:creationId xmlns:a16="http://schemas.microsoft.com/office/drawing/2014/main" id="{081E94E0-4517-420F-BD39-561D8515C2B2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0" name="CaixaDeTexto 499">
          <a:extLst>
            <a:ext uri="{FF2B5EF4-FFF2-40B4-BE49-F238E27FC236}">
              <a16:creationId xmlns:a16="http://schemas.microsoft.com/office/drawing/2014/main" id="{1AB61404-98D8-40D7-8F5F-25977F85E126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1" name="CaixaDeTexto 500">
          <a:extLst>
            <a:ext uri="{FF2B5EF4-FFF2-40B4-BE49-F238E27FC236}">
              <a16:creationId xmlns:a16="http://schemas.microsoft.com/office/drawing/2014/main" id="{C4E3DAC2-4E03-435F-98D7-DDA240E33D77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2" name="CaixaDeTexto 501">
          <a:extLst>
            <a:ext uri="{FF2B5EF4-FFF2-40B4-BE49-F238E27FC236}">
              <a16:creationId xmlns:a16="http://schemas.microsoft.com/office/drawing/2014/main" id="{0B490BB3-FAA7-4553-B4FE-9AC06EDE304B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3" name="CaixaDeTexto 502">
          <a:extLst>
            <a:ext uri="{FF2B5EF4-FFF2-40B4-BE49-F238E27FC236}">
              <a16:creationId xmlns:a16="http://schemas.microsoft.com/office/drawing/2014/main" id="{47FEC297-4BE3-4315-AB3D-C91A4F00883E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4" name="CaixaDeTexto 503">
          <a:extLst>
            <a:ext uri="{FF2B5EF4-FFF2-40B4-BE49-F238E27FC236}">
              <a16:creationId xmlns:a16="http://schemas.microsoft.com/office/drawing/2014/main" id="{DCAAC3A1-5E51-4779-8C22-C8E8526387E8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5" name="CaixaDeTexto 504">
          <a:extLst>
            <a:ext uri="{FF2B5EF4-FFF2-40B4-BE49-F238E27FC236}">
              <a16:creationId xmlns:a16="http://schemas.microsoft.com/office/drawing/2014/main" id="{A37D9C0F-533C-461F-9179-F1C89C396C3C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6" name="CaixaDeTexto 505">
          <a:extLst>
            <a:ext uri="{FF2B5EF4-FFF2-40B4-BE49-F238E27FC236}">
              <a16:creationId xmlns:a16="http://schemas.microsoft.com/office/drawing/2014/main" id="{42903B5E-A03F-4251-B4B2-AF11240425AE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7" name="CaixaDeTexto 506">
          <a:extLst>
            <a:ext uri="{FF2B5EF4-FFF2-40B4-BE49-F238E27FC236}">
              <a16:creationId xmlns:a16="http://schemas.microsoft.com/office/drawing/2014/main" id="{8F2DCE56-7EDB-4FFA-96A4-7ED4C9A3C817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8" name="CaixaDeTexto 507">
          <a:extLst>
            <a:ext uri="{FF2B5EF4-FFF2-40B4-BE49-F238E27FC236}">
              <a16:creationId xmlns:a16="http://schemas.microsoft.com/office/drawing/2014/main" id="{C05042AF-B347-409D-87F2-F77EAF64E339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125</xdr:row>
      <xdr:rowOff>0</xdr:rowOff>
    </xdr:from>
    <xdr:ext cx="184731" cy="264560"/>
    <xdr:sp macro="" textlink="">
      <xdr:nvSpPr>
        <xdr:cNvPr id="509" name="CaixaDeTexto 508">
          <a:extLst>
            <a:ext uri="{FF2B5EF4-FFF2-40B4-BE49-F238E27FC236}">
              <a16:creationId xmlns:a16="http://schemas.microsoft.com/office/drawing/2014/main" id="{4624A967-C754-4DBA-A21C-D903BB2E6990}"/>
            </a:ext>
          </a:extLst>
        </xdr:cNvPr>
        <xdr:cNvSpPr txBox="1"/>
      </xdr:nvSpPr>
      <xdr:spPr>
        <a:xfrm>
          <a:off x="12695731" y="134574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1" name="CaixaDeTexto 510">
          <a:extLst>
            <a:ext uri="{FF2B5EF4-FFF2-40B4-BE49-F238E27FC236}">
              <a16:creationId xmlns:a16="http://schemas.microsoft.com/office/drawing/2014/main" id="{2E4DA77B-037E-4E24-B033-692AEC6FF141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2" name="CaixaDeTexto 511">
          <a:extLst>
            <a:ext uri="{FF2B5EF4-FFF2-40B4-BE49-F238E27FC236}">
              <a16:creationId xmlns:a16="http://schemas.microsoft.com/office/drawing/2014/main" id="{CD417F62-4621-4D7A-84DF-8BC124B74854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3" name="CaixaDeTexto 512">
          <a:extLst>
            <a:ext uri="{FF2B5EF4-FFF2-40B4-BE49-F238E27FC236}">
              <a16:creationId xmlns:a16="http://schemas.microsoft.com/office/drawing/2014/main" id="{285DAA48-114C-47ED-8CD3-49041D723997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D4F61906-D021-4A0F-A3F8-A23129C4D6DB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7EF374D5-E306-44EB-A5B0-88DFB52EFD57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F92F88FE-8E0E-4117-97A7-930A73BF070E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C338791F-A943-4165-8692-7B966B4E4D25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8" name="CaixaDeTexto 517">
          <a:extLst>
            <a:ext uri="{FF2B5EF4-FFF2-40B4-BE49-F238E27FC236}">
              <a16:creationId xmlns:a16="http://schemas.microsoft.com/office/drawing/2014/main" id="{32C0CF39-6C4B-4859-A7BD-B594158C41F0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8DFE03BE-1196-4E2B-8F37-05A28CA3B68F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455C5C1E-508E-4B2D-85CB-E7AB1E58DFD9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4743930B-2E38-4ED2-8D90-9CA7582F6864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D3E6B88C-8B31-428E-BEF5-655BE6001E9C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06D66210-8425-4DA1-87CB-69B32EC4A332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9F6E3891-04E2-47B0-BA76-FDC162CE6F61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33327027-8A2E-409D-930E-A20C458CFC2E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2BDF3AD-3C63-4341-853C-7CEC8AF4F060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BB4D8921-B1B6-4E67-B502-CF9AF1C52D7B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8" name="CaixaDeTexto 527">
          <a:extLst>
            <a:ext uri="{FF2B5EF4-FFF2-40B4-BE49-F238E27FC236}">
              <a16:creationId xmlns:a16="http://schemas.microsoft.com/office/drawing/2014/main" id="{669721F1-50FD-43C1-A6EC-E823BCE3FD8F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0ECC192C-2E5B-4A54-9BB5-B926454270A7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A7123965-F984-427D-8B55-0653B5C0B2BE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976666A0-1224-472E-9257-C6503DD7D860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154</xdr:row>
      <xdr:rowOff>0</xdr:rowOff>
    </xdr:from>
    <xdr:ext cx="184731" cy="264560"/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7405E083-4596-4958-95FF-020031F44585}"/>
            </a:ext>
          </a:extLst>
        </xdr:cNvPr>
        <xdr:cNvSpPr txBox="1"/>
      </xdr:nvSpPr>
      <xdr:spPr>
        <a:xfrm>
          <a:off x="12695731" y="2028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156C6FBC-C611-4E13-B5ED-FE5CC7EDA0C4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583784F9-09CE-4207-95A8-9EF165F90E0F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583DF3EE-C16D-4185-AED6-9B2E18381A55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3E6BB82A-7958-45F7-B57A-A629C7E80D49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633B5F5A-A272-461C-B480-61760F9B49F0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8" name="CaixaDeTexto 537">
          <a:extLst>
            <a:ext uri="{FF2B5EF4-FFF2-40B4-BE49-F238E27FC236}">
              <a16:creationId xmlns:a16="http://schemas.microsoft.com/office/drawing/2014/main" id="{B7A5516A-319F-4A4C-9CA2-D503B80375CB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39" name="CaixaDeTexto 538">
          <a:extLst>
            <a:ext uri="{FF2B5EF4-FFF2-40B4-BE49-F238E27FC236}">
              <a16:creationId xmlns:a16="http://schemas.microsoft.com/office/drawing/2014/main" id="{EE4C0DE9-9E34-4284-82EA-117A293A96AB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40" name="CaixaDeTexto 539">
          <a:extLst>
            <a:ext uri="{FF2B5EF4-FFF2-40B4-BE49-F238E27FC236}">
              <a16:creationId xmlns:a16="http://schemas.microsoft.com/office/drawing/2014/main" id="{139CF6AD-1409-4349-94EE-A36446D0C9A0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41" name="CaixaDeTexto 540">
          <a:extLst>
            <a:ext uri="{FF2B5EF4-FFF2-40B4-BE49-F238E27FC236}">
              <a16:creationId xmlns:a16="http://schemas.microsoft.com/office/drawing/2014/main" id="{7C10BE3C-9354-4D9B-9054-5BD667C932FB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42" name="CaixaDeTexto 541">
          <a:extLst>
            <a:ext uri="{FF2B5EF4-FFF2-40B4-BE49-F238E27FC236}">
              <a16:creationId xmlns:a16="http://schemas.microsoft.com/office/drawing/2014/main" id="{3988206F-9375-48BD-A974-00941559600B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155</xdr:row>
      <xdr:rowOff>0</xdr:rowOff>
    </xdr:from>
    <xdr:ext cx="184731" cy="264560"/>
    <xdr:sp macro="" textlink="">
      <xdr:nvSpPr>
        <xdr:cNvPr id="543" name="CaixaDeTexto 542">
          <a:extLst>
            <a:ext uri="{FF2B5EF4-FFF2-40B4-BE49-F238E27FC236}">
              <a16:creationId xmlns:a16="http://schemas.microsoft.com/office/drawing/2014/main" id="{C2F0FE34-7B79-42B5-97D6-DC57BC7271E8}"/>
            </a:ext>
          </a:extLst>
        </xdr:cNvPr>
        <xdr:cNvSpPr txBox="1"/>
      </xdr:nvSpPr>
      <xdr:spPr>
        <a:xfrm>
          <a:off x="12695731" y="205331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46865</xdr:colOff>
      <xdr:row>154</xdr:row>
      <xdr:rowOff>61535</xdr:rowOff>
    </xdr:from>
    <xdr:ext cx="461227" cy="465142"/>
    <xdr:pic>
      <xdr:nvPicPr>
        <xdr:cNvPr id="544" name="Imagem 543">
          <a:extLst>
            <a:ext uri="{FF2B5EF4-FFF2-40B4-BE49-F238E27FC236}">
              <a16:creationId xmlns:a16="http://schemas.microsoft.com/office/drawing/2014/main" id="{E24F4D8C-530A-4AAC-9897-709863D13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83" y="33634359"/>
          <a:ext cx="461227" cy="465142"/>
        </a:xfrm>
        <a:prstGeom prst="rect">
          <a:avLst/>
        </a:prstGeom>
      </xdr:spPr>
    </xdr:pic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46" name="CaixaDeTexto 545">
          <a:extLst>
            <a:ext uri="{FF2B5EF4-FFF2-40B4-BE49-F238E27FC236}">
              <a16:creationId xmlns:a16="http://schemas.microsoft.com/office/drawing/2014/main" id="{F4BC1A88-9886-4687-A757-F768F3783CAD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47" name="CaixaDeTexto 546">
          <a:extLst>
            <a:ext uri="{FF2B5EF4-FFF2-40B4-BE49-F238E27FC236}">
              <a16:creationId xmlns:a16="http://schemas.microsoft.com/office/drawing/2014/main" id="{8C3A49F2-E8C0-4F84-A182-56685718F87F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48" name="CaixaDeTexto 547">
          <a:extLst>
            <a:ext uri="{FF2B5EF4-FFF2-40B4-BE49-F238E27FC236}">
              <a16:creationId xmlns:a16="http://schemas.microsoft.com/office/drawing/2014/main" id="{5BF5EDED-02BB-4CDE-8291-2B538B52B6A8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49" name="CaixaDeTexto 548">
          <a:extLst>
            <a:ext uri="{FF2B5EF4-FFF2-40B4-BE49-F238E27FC236}">
              <a16:creationId xmlns:a16="http://schemas.microsoft.com/office/drawing/2014/main" id="{F80711F5-7370-4F88-9816-4C8E4C1DB31A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0" name="CaixaDeTexto 549">
          <a:extLst>
            <a:ext uri="{FF2B5EF4-FFF2-40B4-BE49-F238E27FC236}">
              <a16:creationId xmlns:a16="http://schemas.microsoft.com/office/drawing/2014/main" id="{9501F6D4-A31C-4611-9913-D6DBFEE2CA00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1" name="CaixaDeTexto 550">
          <a:extLst>
            <a:ext uri="{FF2B5EF4-FFF2-40B4-BE49-F238E27FC236}">
              <a16:creationId xmlns:a16="http://schemas.microsoft.com/office/drawing/2014/main" id="{90105C6A-4DF4-417C-8563-D54EF2D5F6AE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2" name="CaixaDeTexto 551">
          <a:extLst>
            <a:ext uri="{FF2B5EF4-FFF2-40B4-BE49-F238E27FC236}">
              <a16:creationId xmlns:a16="http://schemas.microsoft.com/office/drawing/2014/main" id="{34667FC6-1FC0-48B9-B268-11AA613A0F62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3" name="CaixaDeTexto 552">
          <a:extLst>
            <a:ext uri="{FF2B5EF4-FFF2-40B4-BE49-F238E27FC236}">
              <a16:creationId xmlns:a16="http://schemas.microsoft.com/office/drawing/2014/main" id="{57F4DF92-7ED4-475B-BF69-230056AF42C7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88A4A2B1-AC0C-4B63-86D4-59FB9D7862E9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5" name="CaixaDeTexto 554">
          <a:extLst>
            <a:ext uri="{FF2B5EF4-FFF2-40B4-BE49-F238E27FC236}">
              <a16:creationId xmlns:a16="http://schemas.microsoft.com/office/drawing/2014/main" id="{657F8CF1-96A5-4D66-A27A-85D6D1994F20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6" name="CaixaDeTexto 555">
          <a:extLst>
            <a:ext uri="{FF2B5EF4-FFF2-40B4-BE49-F238E27FC236}">
              <a16:creationId xmlns:a16="http://schemas.microsoft.com/office/drawing/2014/main" id="{D34B8A7E-0F9E-4A1D-8243-8526ADE69F98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7" name="CaixaDeTexto 556">
          <a:extLst>
            <a:ext uri="{FF2B5EF4-FFF2-40B4-BE49-F238E27FC236}">
              <a16:creationId xmlns:a16="http://schemas.microsoft.com/office/drawing/2014/main" id="{592B99CE-FE8B-4D40-A7DC-A6E5C2E6F6F8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8" name="CaixaDeTexto 557">
          <a:extLst>
            <a:ext uri="{FF2B5EF4-FFF2-40B4-BE49-F238E27FC236}">
              <a16:creationId xmlns:a16="http://schemas.microsoft.com/office/drawing/2014/main" id="{51889583-1F8F-48F6-93F1-1122692E40CF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59" name="CaixaDeTexto 558">
          <a:extLst>
            <a:ext uri="{FF2B5EF4-FFF2-40B4-BE49-F238E27FC236}">
              <a16:creationId xmlns:a16="http://schemas.microsoft.com/office/drawing/2014/main" id="{67F02425-1027-453D-87F8-7DECEA3992DE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0" name="CaixaDeTexto 559">
          <a:extLst>
            <a:ext uri="{FF2B5EF4-FFF2-40B4-BE49-F238E27FC236}">
              <a16:creationId xmlns:a16="http://schemas.microsoft.com/office/drawing/2014/main" id="{07C0645C-FF91-45A6-B981-42EDA16CEBFB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368760CA-AC61-4711-A645-767868FA9880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37A20C46-2ADC-4B85-B507-3B0088C8D38A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9805E921-2CC7-4B7F-8E2B-D28A2DD60CDE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4" name="CaixaDeTexto 563">
          <a:extLst>
            <a:ext uri="{FF2B5EF4-FFF2-40B4-BE49-F238E27FC236}">
              <a16:creationId xmlns:a16="http://schemas.microsoft.com/office/drawing/2014/main" id="{8EBADC95-D9B4-4D91-9272-BCB8F08C7BAF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5" name="CaixaDeTexto 564">
          <a:extLst>
            <a:ext uri="{FF2B5EF4-FFF2-40B4-BE49-F238E27FC236}">
              <a16:creationId xmlns:a16="http://schemas.microsoft.com/office/drawing/2014/main" id="{1E41310D-CC92-487B-A39F-A08BFC17FCC4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6" name="CaixaDeTexto 565">
          <a:extLst>
            <a:ext uri="{FF2B5EF4-FFF2-40B4-BE49-F238E27FC236}">
              <a16:creationId xmlns:a16="http://schemas.microsoft.com/office/drawing/2014/main" id="{F9FA052F-FE5E-462D-897C-E80BAF806270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7" name="CaixaDeTexto 566">
          <a:extLst>
            <a:ext uri="{FF2B5EF4-FFF2-40B4-BE49-F238E27FC236}">
              <a16:creationId xmlns:a16="http://schemas.microsoft.com/office/drawing/2014/main" id="{44FD7D89-7B00-4241-9A06-0604D3F0CDB0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8" name="CaixaDeTexto 567">
          <a:extLst>
            <a:ext uri="{FF2B5EF4-FFF2-40B4-BE49-F238E27FC236}">
              <a16:creationId xmlns:a16="http://schemas.microsoft.com/office/drawing/2014/main" id="{A5B43FE7-CDC0-416A-A49B-3D7703F141A3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69" name="CaixaDeTexto 568">
          <a:extLst>
            <a:ext uri="{FF2B5EF4-FFF2-40B4-BE49-F238E27FC236}">
              <a16:creationId xmlns:a16="http://schemas.microsoft.com/office/drawing/2014/main" id="{4B539FAC-292D-428B-91D1-D7282D6AB507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0" name="CaixaDeTexto 569">
          <a:extLst>
            <a:ext uri="{FF2B5EF4-FFF2-40B4-BE49-F238E27FC236}">
              <a16:creationId xmlns:a16="http://schemas.microsoft.com/office/drawing/2014/main" id="{EACDD20A-4751-43B8-9AE6-E99902F5A545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1" name="CaixaDeTexto 570">
          <a:extLst>
            <a:ext uri="{FF2B5EF4-FFF2-40B4-BE49-F238E27FC236}">
              <a16:creationId xmlns:a16="http://schemas.microsoft.com/office/drawing/2014/main" id="{78E0B7DE-584A-4E52-86FD-F536F39EE147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2" name="CaixaDeTexto 571">
          <a:extLst>
            <a:ext uri="{FF2B5EF4-FFF2-40B4-BE49-F238E27FC236}">
              <a16:creationId xmlns:a16="http://schemas.microsoft.com/office/drawing/2014/main" id="{6456A143-7D9B-464C-ACE5-5C1FEEFC8006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3" name="CaixaDeTexto 572">
          <a:extLst>
            <a:ext uri="{FF2B5EF4-FFF2-40B4-BE49-F238E27FC236}">
              <a16:creationId xmlns:a16="http://schemas.microsoft.com/office/drawing/2014/main" id="{D984DDFB-0FED-435A-A273-CE7494F0B5A5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4" name="CaixaDeTexto 573">
          <a:extLst>
            <a:ext uri="{FF2B5EF4-FFF2-40B4-BE49-F238E27FC236}">
              <a16:creationId xmlns:a16="http://schemas.microsoft.com/office/drawing/2014/main" id="{07691A2D-FDDF-40DE-8F38-13E8E55340D9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5" name="CaixaDeTexto 574">
          <a:extLst>
            <a:ext uri="{FF2B5EF4-FFF2-40B4-BE49-F238E27FC236}">
              <a16:creationId xmlns:a16="http://schemas.microsoft.com/office/drawing/2014/main" id="{F6B55F90-71E1-4D2C-B4D8-09FD99D6132D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6" name="CaixaDeTexto 575">
          <a:extLst>
            <a:ext uri="{FF2B5EF4-FFF2-40B4-BE49-F238E27FC236}">
              <a16:creationId xmlns:a16="http://schemas.microsoft.com/office/drawing/2014/main" id="{3CE48659-7CD1-4133-96BD-C94F3DF09957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7" name="CaixaDeTexto 576">
          <a:extLst>
            <a:ext uri="{FF2B5EF4-FFF2-40B4-BE49-F238E27FC236}">
              <a16:creationId xmlns:a16="http://schemas.microsoft.com/office/drawing/2014/main" id="{8AC2129A-B7D0-4523-940E-3F7E7323B938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90</xdr:row>
      <xdr:rowOff>0</xdr:rowOff>
    </xdr:from>
    <xdr:ext cx="184731" cy="264560"/>
    <xdr:sp macro="" textlink="">
      <xdr:nvSpPr>
        <xdr:cNvPr id="578" name="CaixaDeTexto 577">
          <a:extLst>
            <a:ext uri="{FF2B5EF4-FFF2-40B4-BE49-F238E27FC236}">
              <a16:creationId xmlns:a16="http://schemas.microsoft.com/office/drawing/2014/main" id="{118BFDD8-09C8-4BE5-AEEA-5B2C18621EF1}"/>
            </a:ext>
          </a:extLst>
        </xdr:cNvPr>
        <xdr:cNvSpPr txBox="1"/>
      </xdr:nvSpPr>
      <xdr:spPr>
        <a:xfrm>
          <a:off x="12695731" y="261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79" name="CaixaDeTexto 578">
          <a:extLst>
            <a:ext uri="{FF2B5EF4-FFF2-40B4-BE49-F238E27FC236}">
              <a16:creationId xmlns:a16="http://schemas.microsoft.com/office/drawing/2014/main" id="{BD1CB347-9184-4E62-B119-81C2ADE07491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0" name="CaixaDeTexto 579">
          <a:extLst>
            <a:ext uri="{FF2B5EF4-FFF2-40B4-BE49-F238E27FC236}">
              <a16:creationId xmlns:a16="http://schemas.microsoft.com/office/drawing/2014/main" id="{70E755AE-F4EE-4EED-8F98-BAA4FDB52BA8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1" name="CaixaDeTexto 580">
          <a:extLst>
            <a:ext uri="{FF2B5EF4-FFF2-40B4-BE49-F238E27FC236}">
              <a16:creationId xmlns:a16="http://schemas.microsoft.com/office/drawing/2014/main" id="{8E1491F0-1711-444D-84FA-C95390DB110C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2" name="CaixaDeTexto 581">
          <a:extLst>
            <a:ext uri="{FF2B5EF4-FFF2-40B4-BE49-F238E27FC236}">
              <a16:creationId xmlns:a16="http://schemas.microsoft.com/office/drawing/2014/main" id="{1AE2F838-9DE6-4675-AA65-5434B2ADF3A7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3" name="CaixaDeTexto 582">
          <a:extLst>
            <a:ext uri="{FF2B5EF4-FFF2-40B4-BE49-F238E27FC236}">
              <a16:creationId xmlns:a16="http://schemas.microsoft.com/office/drawing/2014/main" id="{5987345A-ACDA-412A-97EE-E782B7810341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4" name="CaixaDeTexto 583">
          <a:extLst>
            <a:ext uri="{FF2B5EF4-FFF2-40B4-BE49-F238E27FC236}">
              <a16:creationId xmlns:a16="http://schemas.microsoft.com/office/drawing/2014/main" id="{481569A9-1CE0-47BF-BAFC-2CA7ACF4B74A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5" name="CaixaDeTexto 584">
          <a:extLst>
            <a:ext uri="{FF2B5EF4-FFF2-40B4-BE49-F238E27FC236}">
              <a16:creationId xmlns:a16="http://schemas.microsoft.com/office/drawing/2014/main" id="{E2C282CE-DD87-487F-A477-CC0D702C46DE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6" name="CaixaDeTexto 585">
          <a:extLst>
            <a:ext uri="{FF2B5EF4-FFF2-40B4-BE49-F238E27FC236}">
              <a16:creationId xmlns:a16="http://schemas.microsoft.com/office/drawing/2014/main" id="{33C652F4-4957-4E04-A507-F84F51F029B0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7" name="CaixaDeTexto 586">
          <a:extLst>
            <a:ext uri="{FF2B5EF4-FFF2-40B4-BE49-F238E27FC236}">
              <a16:creationId xmlns:a16="http://schemas.microsoft.com/office/drawing/2014/main" id="{42B582CD-D20D-46F9-A8BB-F990B2BD79DA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8" name="CaixaDeTexto 587">
          <a:extLst>
            <a:ext uri="{FF2B5EF4-FFF2-40B4-BE49-F238E27FC236}">
              <a16:creationId xmlns:a16="http://schemas.microsoft.com/office/drawing/2014/main" id="{54E94869-D394-4784-9B0C-AB1D66F8DF91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89" name="CaixaDeTexto 588">
          <a:extLst>
            <a:ext uri="{FF2B5EF4-FFF2-40B4-BE49-F238E27FC236}">
              <a16:creationId xmlns:a16="http://schemas.microsoft.com/office/drawing/2014/main" id="{A3D14EC2-458A-47CE-BF4A-B68E185C5271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0" name="CaixaDeTexto 589">
          <a:extLst>
            <a:ext uri="{FF2B5EF4-FFF2-40B4-BE49-F238E27FC236}">
              <a16:creationId xmlns:a16="http://schemas.microsoft.com/office/drawing/2014/main" id="{64DF9DA7-CDB0-4B65-96CB-FD1372AF6885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1" name="CaixaDeTexto 590">
          <a:extLst>
            <a:ext uri="{FF2B5EF4-FFF2-40B4-BE49-F238E27FC236}">
              <a16:creationId xmlns:a16="http://schemas.microsoft.com/office/drawing/2014/main" id="{E6CCDDDA-D965-48AD-BC18-F05FCB170ED6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2" name="CaixaDeTexto 591">
          <a:extLst>
            <a:ext uri="{FF2B5EF4-FFF2-40B4-BE49-F238E27FC236}">
              <a16:creationId xmlns:a16="http://schemas.microsoft.com/office/drawing/2014/main" id="{13AA3F0E-4ECD-4EB8-9E58-E44DDD4070AA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3" name="CaixaDeTexto 592">
          <a:extLst>
            <a:ext uri="{FF2B5EF4-FFF2-40B4-BE49-F238E27FC236}">
              <a16:creationId xmlns:a16="http://schemas.microsoft.com/office/drawing/2014/main" id="{FDD86866-CE98-4A8D-98DC-5DF6E27F3A99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4" name="CaixaDeTexto 593">
          <a:extLst>
            <a:ext uri="{FF2B5EF4-FFF2-40B4-BE49-F238E27FC236}">
              <a16:creationId xmlns:a16="http://schemas.microsoft.com/office/drawing/2014/main" id="{142E6C89-F313-48F3-83F3-6A7DDC8BD6E4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5" name="CaixaDeTexto 594">
          <a:extLst>
            <a:ext uri="{FF2B5EF4-FFF2-40B4-BE49-F238E27FC236}">
              <a16:creationId xmlns:a16="http://schemas.microsoft.com/office/drawing/2014/main" id="{3AF4E73D-7340-457F-B648-CD16D3C3BD18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6" name="CaixaDeTexto 595">
          <a:extLst>
            <a:ext uri="{FF2B5EF4-FFF2-40B4-BE49-F238E27FC236}">
              <a16:creationId xmlns:a16="http://schemas.microsoft.com/office/drawing/2014/main" id="{2FAEC4ED-FB91-4396-8256-4F93FC4645A0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7" name="CaixaDeTexto 596">
          <a:extLst>
            <a:ext uri="{FF2B5EF4-FFF2-40B4-BE49-F238E27FC236}">
              <a16:creationId xmlns:a16="http://schemas.microsoft.com/office/drawing/2014/main" id="{3C0C049D-8945-4E2B-B8C7-B8F83AF55ADE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8" name="CaixaDeTexto 597">
          <a:extLst>
            <a:ext uri="{FF2B5EF4-FFF2-40B4-BE49-F238E27FC236}">
              <a16:creationId xmlns:a16="http://schemas.microsoft.com/office/drawing/2014/main" id="{A9C8988B-152A-412A-95DE-9F2808D8644D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599" name="CaixaDeTexto 598">
          <a:extLst>
            <a:ext uri="{FF2B5EF4-FFF2-40B4-BE49-F238E27FC236}">
              <a16:creationId xmlns:a16="http://schemas.microsoft.com/office/drawing/2014/main" id="{BF67CB73-A1EF-4FD7-B231-467691338352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0" name="CaixaDeTexto 599">
          <a:extLst>
            <a:ext uri="{FF2B5EF4-FFF2-40B4-BE49-F238E27FC236}">
              <a16:creationId xmlns:a16="http://schemas.microsoft.com/office/drawing/2014/main" id="{F9EFAB34-AF69-4153-935D-91D1125D4A43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1" name="CaixaDeTexto 600">
          <a:extLst>
            <a:ext uri="{FF2B5EF4-FFF2-40B4-BE49-F238E27FC236}">
              <a16:creationId xmlns:a16="http://schemas.microsoft.com/office/drawing/2014/main" id="{9679C8C1-E6BF-4B82-B9EB-A1C2958622B5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2" name="CaixaDeTexto 601">
          <a:extLst>
            <a:ext uri="{FF2B5EF4-FFF2-40B4-BE49-F238E27FC236}">
              <a16:creationId xmlns:a16="http://schemas.microsoft.com/office/drawing/2014/main" id="{93844953-A7AD-4133-974B-FA5416C9D135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3" name="CaixaDeTexto 602">
          <a:extLst>
            <a:ext uri="{FF2B5EF4-FFF2-40B4-BE49-F238E27FC236}">
              <a16:creationId xmlns:a16="http://schemas.microsoft.com/office/drawing/2014/main" id="{1989D7EC-56F4-4DF7-AFD6-A1E0429D4B1F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4" name="CaixaDeTexto 603">
          <a:extLst>
            <a:ext uri="{FF2B5EF4-FFF2-40B4-BE49-F238E27FC236}">
              <a16:creationId xmlns:a16="http://schemas.microsoft.com/office/drawing/2014/main" id="{C458AA08-02C8-4153-A96E-E27CC332DA0A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5" name="CaixaDeTexto 604">
          <a:extLst>
            <a:ext uri="{FF2B5EF4-FFF2-40B4-BE49-F238E27FC236}">
              <a16:creationId xmlns:a16="http://schemas.microsoft.com/office/drawing/2014/main" id="{7A58EF50-3AC7-4A23-87E1-28F5966F7BE0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6" name="CaixaDeTexto 605">
          <a:extLst>
            <a:ext uri="{FF2B5EF4-FFF2-40B4-BE49-F238E27FC236}">
              <a16:creationId xmlns:a16="http://schemas.microsoft.com/office/drawing/2014/main" id="{4571EA03-104A-4A23-BE74-E521D4FC4043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7" name="CaixaDeTexto 606">
          <a:extLst>
            <a:ext uri="{FF2B5EF4-FFF2-40B4-BE49-F238E27FC236}">
              <a16:creationId xmlns:a16="http://schemas.microsoft.com/office/drawing/2014/main" id="{7BF232DB-768A-4B5C-B8EA-F67C949D8E1A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8" name="CaixaDeTexto 607">
          <a:extLst>
            <a:ext uri="{FF2B5EF4-FFF2-40B4-BE49-F238E27FC236}">
              <a16:creationId xmlns:a16="http://schemas.microsoft.com/office/drawing/2014/main" id="{A7980166-C47F-4400-B801-D647681CF9BC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09" name="CaixaDeTexto 608">
          <a:extLst>
            <a:ext uri="{FF2B5EF4-FFF2-40B4-BE49-F238E27FC236}">
              <a16:creationId xmlns:a16="http://schemas.microsoft.com/office/drawing/2014/main" id="{5E3F7F61-B20B-420B-971E-163D4A9818C2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10" name="CaixaDeTexto 609">
          <a:extLst>
            <a:ext uri="{FF2B5EF4-FFF2-40B4-BE49-F238E27FC236}">
              <a16:creationId xmlns:a16="http://schemas.microsoft.com/office/drawing/2014/main" id="{352B6E0A-3F7C-4264-A55B-97BC82A7A089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91</xdr:row>
      <xdr:rowOff>0</xdr:rowOff>
    </xdr:from>
    <xdr:ext cx="184731" cy="264560"/>
    <xdr:sp macro="" textlink="">
      <xdr:nvSpPr>
        <xdr:cNvPr id="611" name="CaixaDeTexto 610">
          <a:extLst>
            <a:ext uri="{FF2B5EF4-FFF2-40B4-BE49-F238E27FC236}">
              <a16:creationId xmlns:a16="http://schemas.microsoft.com/office/drawing/2014/main" id="{8A0A577D-2611-490F-BF6B-0CB21B9395FE}"/>
            </a:ext>
          </a:extLst>
        </xdr:cNvPr>
        <xdr:cNvSpPr txBox="1"/>
      </xdr:nvSpPr>
      <xdr:spPr>
        <a:xfrm>
          <a:off x="12695731" y="2803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2" name="CaixaDeTexto 611">
          <a:extLst>
            <a:ext uri="{FF2B5EF4-FFF2-40B4-BE49-F238E27FC236}">
              <a16:creationId xmlns:a16="http://schemas.microsoft.com/office/drawing/2014/main" id="{0712F8DF-713B-4E72-817E-3318B1031D81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3" name="CaixaDeTexto 612">
          <a:extLst>
            <a:ext uri="{FF2B5EF4-FFF2-40B4-BE49-F238E27FC236}">
              <a16:creationId xmlns:a16="http://schemas.microsoft.com/office/drawing/2014/main" id="{25F009BE-9F02-4DB1-B7AD-9BFD86E22F7B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4" name="CaixaDeTexto 613">
          <a:extLst>
            <a:ext uri="{FF2B5EF4-FFF2-40B4-BE49-F238E27FC236}">
              <a16:creationId xmlns:a16="http://schemas.microsoft.com/office/drawing/2014/main" id="{5C2A6396-BD2F-454E-B614-D8DE019457CB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5" name="CaixaDeTexto 614">
          <a:extLst>
            <a:ext uri="{FF2B5EF4-FFF2-40B4-BE49-F238E27FC236}">
              <a16:creationId xmlns:a16="http://schemas.microsoft.com/office/drawing/2014/main" id="{67D2026E-E644-4724-A927-F1F249689A0D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6" name="CaixaDeTexto 615">
          <a:extLst>
            <a:ext uri="{FF2B5EF4-FFF2-40B4-BE49-F238E27FC236}">
              <a16:creationId xmlns:a16="http://schemas.microsoft.com/office/drawing/2014/main" id="{F50C2BF5-7E8B-4AF2-81D7-B11EAC529C7A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7" name="CaixaDeTexto 616">
          <a:extLst>
            <a:ext uri="{FF2B5EF4-FFF2-40B4-BE49-F238E27FC236}">
              <a16:creationId xmlns:a16="http://schemas.microsoft.com/office/drawing/2014/main" id="{1FF81EC3-D161-4920-8250-F69C2481C298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8" name="CaixaDeTexto 617">
          <a:extLst>
            <a:ext uri="{FF2B5EF4-FFF2-40B4-BE49-F238E27FC236}">
              <a16:creationId xmlns:a16="http://schemas.microsoft.com/office/drawing/2014/main" id="{438BED01-DC87-4FC2-AD12-2541DB35F2E8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19" name="CaixaDeTexto 618">
          <a:extLst>
            <a:ext uri="{FF2B5EF4-FFF2-40B4-BE49-F238E27FC236}">
              <a16:creationId xmlns:a16="http://schemas.microsoft.com/office/drawing/2014/main" id="{E9ED4825-4CA2-43AE-A5E6-2512FE22884F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0" name="CaixaDeTexto 619">
          <a:extLst>
            <a:ext uri="{FF2B5EF4-FFF2-40B4-BE49-F238E27FC236}">
              <a16:creationId xmlns:a16="http://schemas.microsoft.com/office/drawing/2014/main" id="{E28B59BE-F3D4-4D17-88CD-DE92E000DBFD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1" name="CaixaDeTexto 620">
          <a:extLst>
            <a:ext uri="{FF2B5EF4-FFF2-40B4-BE49-F238E27FC236}">
              <a16:creationId xmlns:a16="http://schemas.microsoft.com/office/drawing/2014/main" id="{94F676C3-25E6-4455-8075-2A3507521178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2" name="CaixaDeTexto 621">
          <a:extLst>
            <a:ext uri="{FF2B5EF4-FFF2-40B4-BE49-F238E27FC236}">
              <a16:creationId xmlns:a16="http://schemas.microsoft.com/office/drawing/2014/main" id="{F9A2D4A6-19F6-428A-AB71-3879BD11DE33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3" name="CaixaDeTexto 622">
          <a:extLst>
            <a:ext uri="{FF2B5EF4-FFF2-40B4-BE49-F238E27FC236}">
              <a16:creationId xmlns:a16="http://schemas.microsoft.com/office/drawing/2014/main" id="{596AF81F-1EE1-45EA-A81A-806BD863FE23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4" name="CaixaDeTexto 623">
          <a:extLst>
            <a:ext uri="{FF2B5EF4-FFF2-40B4-BE49-F238E27FC236}">
              <a16:creationId xmlns:a16="http://schemas.microsoft.com/office/drawing/2014/main" id="{52C4BC45-CE94-4044-8309-E1B837906396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5" name="CaixaDeTexto 624">
          <a:extLst>
            <a:ext uri="{FF2B5EF4-FFF2-40B4-BE49-F238E27FC236}">
              <a16:creationId xmlns:a16="http://schemas.microsoft.com/office/drawing/2014/main" id="{72130513-EA2F-415F-9EB2-4BB251611FD3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6" name="CaixaDeTexto 625">
          <a:extLst>
            <a:ext uri="{FF2B5EF4-FFF2-40B4-BE49-F238E27FC236}">
              <a16:creationId xmlns:a16="http://schemas.microsoft.com/office/drawing/2014/main" id="{602865C5-73A6-4651-B600-4C612C85022B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7" name="CaixaDeTexto 626">
          <a:extLst>
            <a:ext uri="{FF2B5EF4-FFF2-40B4-BE49-F238E27FC236}">
              <a16:creationId xmlns:a16="http://schemas.microsoft.com/office/drawing/2014/main" id="{B907E75D-6833-4F1F-BBE9-A75E680D0373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8" name="CaixaDeTexto 627">
          <a:extLst>
            <a:ext uri="{FF2B5EF4-FFF2-40B4-BE49-F238E27FC236}">
              <a16:creationId xmlns:a16="http://schemas.microsoft.com/office/drawing/2014/main" id="{AF3BFCAD-CBA9-4385-A172-FEFC337A34AD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29" name="CaixaDeTexto 628">
          <a:extLst>
            <a:ext uri="{FF2B5EF4-FFF2-40B4-BE49-F238E27FC236}">
              <a16:creationId xmlns:a16="http://schemas.microsoft.com/office/drawing/2014/main" id="{F772FF52-3470-4DE5-A794-CEBBDFC4911B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0" name="CaixaDeTexto 629">
          <a:extLst>
            <a:ext uri="{FF2B5EF4-FFF2-40B4-BE49-F238E27FC236}">
              <a16:creationId xmlns:a16="http://schemas.microsoft.com/office/drawing/2014/main" id="{328FB4EF-CE77-4099-843D-822688803D66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1" name="CaixaDeTexto 630">
          <a:extLst>
            <a:ext uri="{FF2B5EF4-FFF2-40B4-BE49-F238E27FC236}">
              <a16:creationId xmlns:a16="http://schemas.microsoft.com/office/drawing/2014/main" id="{57A5EA22-4F7F-47F9-B399-DECE4CE9BABA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2" name="CaixaDeTexto 631">
          <a:extLst>
            <a:ext uri="{FF2B5EF4-FFF2-40B4-BE49-F238E27FC236}">
              <a16:creationId xmlns:a16="http://schemas.microsoft.com/office/drawing/2014/main" id="{DBA2A377-69D9-485D-8B80-65832D5AC9DE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3" name="CaixaDeTexto 632">
          <a:extLst>
            <a:ext uri="{FF2B5EF4-FFF2-40B4-BE49-F238E27FC236}">
              <a16:creationId xmlns:a16="http://schemas.microsoft.com/office/drawing/2014/main" id="{84819DE3-B9DD-4662-B9EA-64F4F83BDF25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4" name="CaixaDeTexto 633">
          <a:extLst>
            <a:ext uri="{FF2B5EF4-FFF2-40B4-BE49-F238E27FC236}">
              <a16:creationId xmlns:a16="http://schemas.microsoft.com/office/drawing/2014/main" id="{F9829070-F0BC-49DD-847D-A9EE98E3E13A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5" name="CaixaDeTexto 634">
          <a:extLst>
            <a:ext uri="{FF2B5EF4-FFF2-40B4-BE49-F238E27FC236}">
              <a16:creationId xmlns:a16="http://schemas.microsoft.com/office/drawing/2014/main" id="{568265FF-537C-41CF-B43D-AADD48EFD6E8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6" name="CaixaDeTexto 635">
          <a:extLst>
            <a:ext uri="{FF2B5EF4-FFF2-40B4-BE49-F238E27FC236}">
              <a16:creationId xmlns:a16="http://schemas.microsoft.com/office/drawing/2014/main" id="{40178220-63CD-4203-88B7-BAE33AD283A8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7" name="CaixaDeTexto 636">
          <a:extLst>
            <a:ext uri="{FF2B5EF4-FFF2-40B4-BE49-F238E27FC236}">
              <a16:creationId xmlns:a16="http://schemas.microsoft.com/office/drawing/2014/main" id="{72EAE093-6C63-4246-81F8-78F99461404D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8" name="CaixaDeTexto 637">
          <a:extLst>
            <a:ext uri="{FF2B5EF4-FFF2-40B4-BE49-F238E27FC236}">
              <a16:creationId xmlns:a16="http://schemas.microsoft.com/office/drawing/2014/main" id="{B0591AFF-DB4D-480E-8333-B9E61B85D8FE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39" name="CaixaDeTexto 638">
          <a:extLst>
            <a:ext uri="{FF2B5EF4-FFF2-40B4-BE49-F238E27FC236}">
              <a16:creationId xmlns:a16="http://schemas.microsoft.com/office/drawing/2014/main" id="{910F9044-5D2C-474D-B005-445B833936B8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40" name="CaixaDeTexto 639">
          <a:extLst>
            <a:ext uri="{FF2B5EF4-FFF2-40B4-BE49-F238E27FC236}">
              <a16:creationId xmlns:a16="http://schemas.microsoft.com/office/drawing/2014/main" id="{153A53B3-4708-4DF6-8AD8-1B05B942E6C2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41" name="CaixaDeTexto 640">
          <a:extLst>
            <a:ext uri="{FF2B5EF4-FFF2-40B4-BE49-F238E27FC236}">
              <a16:creationId xmlns:a16="http://schemas.microsoft.com/office/drawing/2014/main" id="{75721FEE-94E9-49C5-BACF-1F530E6B2C82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42" name="CaixaDeTexto 641">
          <a:extLst>
            <a:ext uri="{FF2B5EF4-FFF2-40B4-BE49-F238E27FC236}">
              <a16:creationId xmlns:a16="http://schemas.microsoft.com/office/drawing/2014/main" id="{830BE308-B894-4FB3-BF3A-B14F84A3AD13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43" name="CaixaDeTexto 642">
          <a:extLst>
            <a:ext uri="{FF2B5EF4-FFF2-40B4-BE49-F238E27FC236}">
              <a16:creationId xmlns:a16="http://schemas.microsoft.com/office/drawing/2014/main" id="{DC189400-552F-4469-8D86-E64E4D22A8A5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119</xdr:row>
      <xdr:rowOff>0</xdr:rowOff>
    </xdr:from>
    <xdr:ext cx="184731" cy="264560"/>
    <xdr:sp macro="" textlink="">
      <xdr:nvSpPr>
        <xdr:cNvPr id="644" name="CaixaDeTexto 643">
          <a:extLst>
            <a:ext uri="{FF2B5EF4-FFF2-40B4-BE49-F238E27FC236}">
              <a16:creationId xmlns:a16="http://schemas.microsoft.com/office/drawing/2014/main" id="{C46B317B-72B2-4558-9DF8-7EE1B364261B}"/>
            </a:ext>
          </a:extLst>
        </xdr:cNvPr>
        <xdr:cNvSpPr txBox="1"/>
      </xdr:nvSpPr>
      <xdr:spPr>
        <a:xfrm>
          <a:off x="12695731" y="11511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45" name="CaixaDeTexto 644">
          <a:extLst>
            <a:ext uri="{FF2B5EF4-FFF2-40B4-BE49-F238E27FC236}">
              <a16:creationId xmlns:a16="http://schemas.microsoft.com/office/drawing/2014/main" id="{8AFDF344-5424-4DBE-A0A6-FC319D4137C3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46" name="CaixaDeTexto 645">
          <a:extLst>
            <a:ext uri="{FF2B5EF4-FFF2-40B4-BE49-F238E27FC236}">
              <a16:creationId xmlns:a16="http://schemas.microsoft.com/office/drawing/2014/main" id="{A96E7D7C-A39A-4A8C-8CDC-FFFC98C85450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47" name="CaixaDeTexto 646">
          <a:extLst>
            <a:ext uri="{FF2B5EF4-FFF2-40B4-BE49-F238E27FC236}">
              <a16:creationId xmlns:a16="http://schemas.microsoft.com/office/drawing/2014/main" id="{7786F169-3C84-4DB2-BAA9-99E659C89754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48" name="CaixaDeTexto 647">
          <a:extLst>
            <a:ext uri="{FF2B5EF4-FFF2-40B4-BE49-F238E27FC236}">
              <a16:creationId xmlns:a16="http://schemas.microsoft.com/office/drawing/2014/main" id="{FCADDC4C-5D54-4B18-8938-AB7C32CD14EE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49" name="CaixaDeTexto 648">
          <a:extLst>
            <a:ext uri="{FF2B5EF4-FFF2-40B4-BE49-F238E27FC236}">
              <a16:creationId xmlns:a16="http://schemas.microsoft.com/office/drawing/2014/main" id="{94616716-E223-4314-AEF6-DBB306EA2DAB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0" name="CaixaDeTexto 649">
          <a:extLst>
            <a:ext uri="{FF2B5EF4-FFF2-40B4-BE49-F238E27FC236}">
              <a16:creationId xmlns:a16="http://schemas.microsoft.com/office/drawing/2014/main" id="{22DF1ECF-914C-40C4-84E5-6111569CBED1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1" name="CaixaDeTexto 650">
          <a:extLst>
            <a:ext uri="{FF2B5EF4-FFF2-40B4-BE49-F238E27FC236}">
              <a16:creationId xmlns:a16="http://schemas.microsoft.com/office/drawing/2014/main" id="{34CD27FD-92A0-4982-AA18-29652CFEF8CE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2" name="CaixaDeTexto 651">
          <a:extLst>
            <a:ext uri="{FF2B5EF4-FFF2-40B4-BE49-F238E27FC236}">
              <a16:creationId xmlns:a16="http://schemas.microsoft.com/office/drawing/2014/main" id="{AD07B2BC-5E54-4CB9-B5F6-8BBF754F2274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3" name="CaixaDeTexto 652">
          <a:extLst>
            <a:ext uri="{FF2B5EF4-FFF2-40B4-BE49-F238E27FC236}">
              <a16:creationId xmlns:a16="http://schemas.microsoft.com/office/drawing/2014/main" id="{D788280F-0C8C-4C6C-BBEF-B211912C4689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4" name="CaixaDeTexto 653">
          <a:extLst>
            <a:ext uri="{FF2B5EF4-FFF2-40B4-BE49-F238E27FC236}">
              <a16:creationId xmlns:a16="http://schemas.microsoft.com/office/drawing/2014/main" id="{336E652A-00BA-498F-A3A7-17C75C253F69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5" name="CaixaDeTexto 654">
          <a:extLst>
            <a:ext uri="{FF2B5EF4-FFF2-40B4-BE49-F238E27FC236}">
              <a16:creationId xmlns:a16="http://schemas.microsoft.com/office/drawing/2014/main" id="{86118C84-8E01-41EB-B071-2F951EA725D3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6" name="CaixaDeTexto 655">
          <a:extLst>
            <a:ext uri="{FF2B5EF4-FFF2-40B4-BE49-F238E27FC236}">
              <a16:creationId xmlns:a16="http://schemas.microsoft.com/office/drawing/2014/main" id="{9E2F93CA-18A1-49EC-8E88-89B8824B78AA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7" name="CaixaDeTexto 656">
          <a:extLst>
            <a:ext uri="{FF2B5EF4-FFF2-40B4-BE49-F238E27FC236}">
              <a16:creationId xmlns:a16="http://schemas.microsoft.com/office/drawing/2014/main" id="{794F8FD8-CBA4-4C3C-A44B-D733B9C1A4E3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8" name="CaixaDeTexto 657">
          <a:extLst>
            <a:ext uri="{FF2B5EF4-FFF2-40B4-BE49-F238E27FC236}">
              <a16:creationId xmlns:a16="http://schemas.microsoft.com/office/drawing/2014/main" id="{E289DB6D-2607-47CA-86C5-BDDBD7DD5004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59" name="CaixaDeTexto 658">
          <a:extLst>
            <a:ext uri="{FF2B5EF4-FFF2-40B4-BE49-F238E27FC236}">
              <a16:creationId xmlns:a16="http://schemas.microsoft.com/office/drawing/2014/main" id="{800293CE-49BB-4100-B7C3-D7DD0A07ED45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0" name="CaixaDeTexto 659">
          <a:extLst>
            <a:ext uri="{FF2B5EF4-FFF2-40B4-BE49-F238E27FC236}">
              <a16:creationId xmlns:a16="http://schemas.microsoft.com/office/drawing/2014/main" id="{9657B423-4192-4A9F-87E6-EE19F835C343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1" name="CaixaDeTexto 660">
          <a:extLst>
            <a:ext uri="{FF2B5EF4-FFF2-40B4-BE49-F238E27FC236}">
              <a16:creationId xmlns:a16="http://schemas.microsoft.com/office/drawing/2014/main" id="{85936C7C-6C35-419E-8D38-613ECB047CA2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2" name="CaixaDeTexto 661">
          <a:extLst>
            <a:ext uri="{FF2B5EF4-FFF2-40B4-BE49-F238E27FC236}">
              <a16:creationId xmlns:a16="http://schemas.microsoft.com/office/drawing/2014/main" id="{B0BE4815-759A-444B-BF1B-820AD2BB04B6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3" name="CaixaDeTexto 662">
          <a:extLst>
            <a:ext uri="{FF2B5EF4-FFF2-40B4-BE49-F238E27FC236}">
              <a16:creationId xmlns:a16="http://schemas.microsoft.com/office/drawing/2014/main" id="{8B91E3EF-AEBC-4E17-9CB3-3C73C3036F91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4" name="CaixaDeTexto 663">
          <a:extLst>
            <a:ext uri="{FF2B5EF4-FFF2-40B4-BE49-F238E27FC236}">
              <a16:creationId xmlns:a16="http://schemas.microsoft.com/office/drawing/2014/main" id="{B26E8B5C-356C-414D-A5A6-54C0ACA09B22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5" name="CaixaDeTexto 664">
          <a:extLst>
            <a:ext uri="{FF2B5EF4-FFF2-40B4-BE49-F238E27FC236}">
              <a16:creationId xmlns:a16="http://schemas.microsoft.com/office/drawing/2014/main" id="{06DC9241-5952-4D70-BB28-61D067451B55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6" name="CaixaDeTexto 665">
          <a:extLst>
            <a:ext uri="{FF2B5EF4-FFF2-40B4-BE49-F238E27FC236}">
              <a16:creationId xmlns:a16="http://schemas.microsoft.com/office/drawing/2014/main" id="{0F6FED3A-2265-4FEE-82B3-A1CC56743AC8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7" name="CaixaDeTexto 666">
          <a:extLst>
            <a:ext uri="{FF2B5EF4-FFF2-40B4-BE49-F238E27FC236}">
              <a16:creationId xmlns:a16="http://schemas.microsoft.com/office/drawing/2014/main" id="{FA46C014-A87F-419A-A65C-63EA062897EE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8" name="CaixaDeTexto 667">
          <a:extLst>
            <a:ext uri="{FF2B5EF4-FFF2-40B4-BE49-F238E27FC236}">
              <a16:creationId xmlns:a16="http://schemas.microsoft.com/office/drawing/2014/main" id="{18F9AF68-9569-490F-828E-4710B2E821F8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69" name="CaixaDeTexto 668">
          <a:extLst>
            <a:ext uri="{FF2B5EF4-FFF2-40B4-BE49-F238E27FC236}">
              <a16:creationId xmlns:a16="http://schemas.microsoft.com/office/drawing/2014/main" id="{F4C57981-CFF1-47E3-BD21-29C14A63AF56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0" name="CaixaDeTexto 669">
          <a:extLst>
            <a:ext uri="{FF2B5EF4-FFF2-40B4-BE49-F238E27FC236}">
              <a16:creationId xmlns:a16="http://schemas.microsoft.com/office/drawing/2014/main" id="{85AC6DDD-C89C-4F35-A1C5-BFB45A792EB0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1" name="CaixaDeTexto 670">
          <a:extLst>
            <a:ext uri="{FF2B5EF4-FFF2-40B4-BE49-F238E27FC236}">
              <a16:creationId xmlns:a16="http://schemas.microsoft.com/office/drawing/2014/main" id="{750947A3-A2B2-4622-AC00-24EA8A70999A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2" name="CaixaDeTexto 671">
          <a:extLst>
            <a:ext uri="{FF2B5EF4-FFF2-40B4-BE49-F238E27FC236}">
              <a16:creationId xmlns:a16="http://schemas.microsoft.com/office/drawing/2014/main" id="{8DAF3532-22C6-4E9F-BDF8-BFFC42388891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3" name="CaixaDeTexto 672">
          <a:extLst>
            <a:ext uri="{FF2B5EF4-FFF2-40B4-BE49-F238E27FC236}">
              <a16:creationId xmlns:a16="http://schemas.microsoft.com/office/drawing/2014/main" id="{C11C8A27-75D7-41B9-9436-D0E302C435C2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4" name="CaixaDeTexto 673">
          <a:extLst>
            <a:ext uri="{FF2B5EF4-FFF2-40B4-BE49-F238E27FC236}">
              <a16:creationId xmlns:a16="http://schemas.microsoft.com/office/drawing/2014/main" id="{A04AE2AA-7986-43E5-BFFF-D8ADA4239EA0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5" name="CaixaDeTexto 674">
          <a:extLst>
            <a:ext uri="{FF2B5EF4-FFF2-40B4-BE49-F238E27FC236}">
              <a16:creationId xmlns:a16="http://schemas.microsoft.com/office/drawing/2014/main" id="{203ABD21-1C1F-4215-A6E6-32C9C69BD2A0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6" name="CaixaDeTexto 675">
          <a:extLst>
            <a:ext uri="{FF2B5EF4-FFF2-40B4-BE49-F238E27FC236}">
              <a16:creationId xmlns:a16="http://schemas.microsoft.com/office/drawing/2014/main" id="{846C8E27-47E9-4A2F-966A-9B5F73D36A79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148</xdr:row>
      <xdr:rowOff>0</xdr:rowOff>
    </xdr:from>
    <xdr:ext cx="184731" cy="264560"/>
    <xdr:sp macro="" textlink="">
      <xdr:nvSpPr>
        <xdr:cNvPr id="677" name="CaixaDeTexto 676">
          <a:extLst>
            <a:ext uri="{FF2B5EF4-FFF2-40B4-BE49-F238E27FC236}">
              <a16:creationId xmlns:a16="http://schemas.microsoft.com/office/drawing/2014/main" id="{057A15B2-46D1-446A-B1DC-54F4D2D98A38}"/>
            </a:ext>
          </a:extLst>
        </xdr:cNvPr>
        <xdr:cNvSpPr txBox="1"/>
      </xdr:nvSpPr>
      <xdr:spPr>
        <a:xfrm>
          <a:off x="12695731" y="182199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78" name="CaixaDeTexto 677">
          <a:extLst>
            <a:ext uri="{FF2B5EF4-FFF2-40B4-BE49-F238E27FC236}">
              <a16:creationId xmlns:a16="http://schemas.microsoft.com/office/drawing/2014/main" id="{BB1E1417-0AEA-485F-A0B0-C29D1FEF464F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79" name="CaixaDeTexto 678">
          <a:extLst>
            <a:ext uri="{FF2B5EF4-FFF2-40B4-BE49-F238E27FC236}">
              <a16:creationId xmlns:a16="http://schemas.microsoft.com/office/drawing/2014/main" id="{B7C7F9FB-1ED3-4D4E-8FDC-9FF9984519A6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0" name="CaixaDeTexto 679">
          <a:extLst>
            <a:ext uri="{FF2B5EF4-FFF2-40B4-BE49-F238E27FC236}">
              <a16:creationId xmlns:a16="http://schemas.microsoft.com/office/drawing/2014/main" id="{21D8CD70-A0B0-458D-B27F-0FDA39CEF0DF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1" name="CaixaDeTexto 680">
          <a:extLst>
            <a:ext uri="{FF2B5EF4-FFF2-40B4-BE49-F238E27FC236}">
              <a16:creationId xmlns:a16="http://schemas.microsoft.com/office/drawing/2014/main" id="{4FD68CA7-4FE3-42EC-A49C-14B5403EFD6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2" name="CaixaDeTexto 681">
          <a:extLst>
            <a:ext uri="{FF2B5EF4-FFF2-40B4-BE49-F238E27FC236}">
              <a16:creationId xmlns:a16="http://schemas.microsoft.com/office/drawing/2014/main" id="{F1C151F5-9AD2-41F7-A6DF-D8A62F8D97A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3" name="CaixaDeTexto 682">
          <a:extLst>
            <a:ext uri="{FF2B5EF4-FFF2-40B4-BE49-F238E27FC236}">
              <a16:creationId xmlns:a16="http://schemas.microsoft.com/office/drawing/2014/main" id="{1D582B8F-AD7A-416A-8F0B-28D49B83B43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4" name="CaixaDeTexto 683">
          <a:extLst>
            <a:ext uri="{FF2B5EF4-FFF2-40B4-BE49-F238E27FC236}">
              <a16:creationId xmlns:a16="http://schemas.microsoft.com/office/drawing/2014/main" id="{59AC40B2-70EB-403A-B905-D368182F11F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5" name="CaixaDeTexto 684">
          <a:extLst>
            <a:ext uri="{FF2B5EF4-FFF2-40B4-BE49-F238E27FC236}">
              <a16:creationId xmlns:a16="http://schemas.microsoft.com/office/drawing/2014/main" id="{7B9D07D7-73F3-46E1-94D9-F990813C68E0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6" name="CaixaDeTexto 685">
          <a:extLst>
            <a:ext uri="{FF2B5EF4-FFF2-40B4-BE49-F238E27FC236}">
              <a16:creationId xmlns:a16="http://schemas.microsoft.com/office/drawing/2014/main" id="{10338B09-61F3-4674-9BD0-B580A753FC19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7" name="CaixaDeTexto 686">
          <a:extLst>
            <a:ext uri="{FF2B5EF4-FFF2-40B4-BE49-F238E27FC236}">
              <a16:creationId xmlns:a16="http://schemas.microsoft.com/office/drawing/2014/main" id="{CF9564D5-A4AF-4979-A8A5-58DCB4DBCF97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8" name="CaixaDeTexto 687">
          <a:extLst>
            <a:ext uri="{FF2B5EF4-FFF2-40B4-BE49-F238E27FC236}">
              <a16:creationId xmlns:a16="http://schemas.microsoft.com/office/drawing/2014/main" id="{A45633B2-3E6C-4082-BAB8-32E95793CB44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89" name="CaixaDeTexto 688">
          <a:extLst>
            <a:ext uri="{FF2B5EF4-FFF2-40B4-BE49-F238E27FC236}">
              <a16:creationId xmlns:a16="http://schemas.microsoft.com/office/drawing/2014/main" id="{F9E8100D-80F5-4732-8405-3BFEDEBE8E0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0" name="CaixaDeTexto 689">
          <a:extLst>
            <a:ext uri="{FF2B5EF4-FFF2-40B4-BE49-F238E27FC236}">
              <a16:creationId xmlns:a16="http://schemas.microsoft.com/office/drawing/2014/main" id="{DD292A1A-B799-4F6E-B44C-0B048774FFA0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1" name="CaixaDeTexto 690">
          <a:extLst>
            <a:ext uri="{FF2B5EF4-FFF2-40B4-BE49-F238E27FC236}">
              <a16:creationId xmlns:a16="http://schemas.microsoft.com/office/drawing/2014/main" id="{F397FE57-9AA7-44A6-94DD-EEF0E7516D1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2" name="CaixaDeTexto 691">
          <a:extLst>
            <a:ext uri="{FF2B5EF4-FFF2-40B4-BE49-F238E27FC236}">
              <a16:creationId xmlns:a16="http://schemas.microsoft.com/office/drawing/2014/main" id="{AC81B1D9-2888-422B-BEAE-723ABC73428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3" name="CaixaDeTexto 692">
          <a:extLst>
            <a:ext uri="{FF2B5EF4-FFF2-40B4-BE49-F238E27FC236}">
              <a16:creationId xmlns:a16="http://schemas.microsoft.com/office/drawing/2014/main" id="{AAAC3407-5479-43DD-8668-9DB99D03CEF8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4" name="CaixaDeTexto 693">
          <a:extLst>
            <a:ext uri="{FF2B5EF4-FFF2-40B4-BE49-F238E27FC236}">
              <a16:creationId xmlns:a16="http://schemas.microsoft.com/office/drawing/2014/main" id="{5590569F-64D4-48D9-9F12-5B5B6D964303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5" name="CaixaDeTexto 694">
          <a:extLst>
            <a:ext uri="{FF2B5EF4-FFF2-40B4-BE49-F238E27FC236}">
              <a16:creationId xmlns:a16="http://schemas.microsoft.com/office/drawing/2014/main" id="{D28197FA-A924-45E7-A132-61B84B51422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6" name="CaixaDeTexto 695">
          <a:extLst>
            <a:ext uri="{FF2B5EF4-FFF2-40B4-BE49-F238E27FC236}">
              <a16:creationId xmlns:a16="http://schemas.microsoft.com/office/drawing/2014/main" id="{0DDBF8B9-F7A2-4047-9EE8-EC817CF30B9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7" name="CaixaDeTexto 696">
          <a:extLst>
            <a:ext uri="{FF2B5EF4-FFF2-40B4-BE49-F238E27FC236}">
              <a16:creationId xmlns:a16="http://schemas.microsoft.com/office/drawing/2014/main" id="{DEF37346-9BD8-4E54-B242-0E827B59A47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8" name="CaixaDeTexto 697">
          <a:extLst>
            <a:ext uri="{FF2B5EF4-FFF2-40B4-BE49-F238E27FC236}">
              <a16:creationId xmlns:a16="http://schemas.microsoft.com/office/drawing/2014/main" id="{A237FFFB-C38F-4BFC-8765-84A83C74D93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699" name="CaixaDeTexto 698">
          <a:extLst>
            <a:ext uri="{FF2B5EF4-FFF2-40B4-BE49-F238E27FC236}">
              <a16:creationId xmlns:a16="http://schemas.microsoft.com/office/drawing/2014/main" id="{7710AEA5-3341-4F7A-991A-09EAED7E8498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0" name="CaixaDeTexto 699">
          <a:extLst>
            <a:ext uri="{FF2B5EF4-FFF2-40B4-BE49-F238E27FC236}">
              <a16:creationId xmlns:a16="http://schemas.microsoft.com/office/drawing/2014/main" id="{DA681B74-4CD9-4EBA-9981-23A8D7BA2008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1" name="CaixaDeTexto 700">
          <a:extLst>
            <a:ext uri="{FF2B5EF4-FFF2-40B4-BE49-F238E27FC236}">
              <a16:creationId xmlns:a16="http://schemas.microsoft.com/office/drawing/2014/main" id="{ECAC2E2E-7309-42CB-9A3A-68DD1607D9E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2" name="CaixaDeTexto 701">
          <a:extLst>
            <a:ext uri="{FF2B5EF4-FFF2-40B4-BE49-F238E27FC236}">
              <a16:creationId xmlns:a16="http://schemas.microsoft.com/office/drawing/2014/main" id="{96C46195-2F3E-4DA0-A9FC-50349A2662F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3" name="CaixaDeTexto 702">
          <a:extLst>
            <a:ext uri="{FF2B5EF4-FFF2-40B4-BE49-F238E27FC236}">
              <a16:creationId xmlns:a16="http://schemas.microsoft.com/office/drawing/2014/main" id="{B7BAB350-440F-4DEA-84BB-6738193C526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4" name="CaixaDeTexto 703">
          <a:extLst>
            <a:ext uri="{FF2B5EF4-FFF2-40B4-BE49-F238E27FC236}">
              <a16:creationId xmlns:a16="http://schemas.microsoft.com/office/drawing/2014/main" id="{2A8A1674-3938-46C7-8EB2-1D288FD39405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5" name="CaixaDeTexto 704">
          <a:extLst>
            <a:ext uri="{FF2B5EF4-FFF2-40B4-BE49-F238E27FC236}">
              <a16:creationId xmlns:a16="http://schemas.microsoft.com/office/drawing/2014/main" id="{22191DE7-0897-4F19-82D8-A513F8C3340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6" name="CaixaDeTexto 705">
          <a:extLst>
            <a:ext uri="{FF2B5EF4-FFF2-40B4-BE49-F238E27FC236}">
              <a16:creationId xmlns:a16="http://schemas.microsoft.com/office/drawing/2014/main" id="{2E169013-DC73-46DC-A4C3-1377DA3176E5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7" name="CaixaDeTexto 706">
          <a:extLst>
            <a:ext uri="{FF2B5EF4-FFF2-40B4-BE49-F238E27FC236}">
              <a16:creationId xmlns:a16="http://schemas.microsoft.com/office/drawing/2014/main" id="{50275EB0-EF1F-4FFD-B1BD-CEFF17F1679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8" name="CaixaDeTexto 707">
          <a:extLst>
            <a:ext uri="{FF2B5EF4-FFF2-40B4-BE49-F238E27FC236}">
              <a16:creationId xmlns:a16="http://schemas.microsoft.com/office/drawing/2014/main" id="{C8F53381-E28B-4DC2-BC9A-CA222CF9970E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09" name="CaixaDeTexto 708">
          <a:extLst>
            <a:ext uri="{FF2B5EF4-FFF2-40B4-BE49-F238E27FC236}">
              <a16:creationId xmlns:a16="http://schemas.microsoft.com/office/drawing/2014/main" id="{084E2D84-003F-472D-A00B-BAE25244CCDD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118</xdr:row>
      <xdr:rowOff>0</xdr:rowOff>
    </xdr:from>
    <xdr:ext cx="184731" cy="264560"/>
    <xdr:sp macro="" textlink="">
      <xdr:nvSpPr>
        <xdr:cNvPr id="710" name="CaixaDeTexto 709">
          <a:extLst>
            <a:ext uri="{FF2B5EF4-FFF2-40B4-BE49-F238E27FC236}">
              <a16:creationId xmlns:a16="http://schemas.microsoft.com/office/drawing/2014/main" id="{1B3568ED-2578-468E-B771-4D03C4D7B26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1" name="CaixaDeTexto 710">
          <a:extLst>
            <a:ext uri="{FF2B5EF4-FFF2-40B4-BE49-F238E27FC236}">
              <a16:creationId xmlns:a16="http://schemas.microsoft.com/office/drawing/2014/main" id="{32761BB2-E843-4B3C-BC02-83520540145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2" name="CaixaDeTexto 711">
          <a:extLst>
            <a:ext uri="{FF2B5EF4-FFF2-40B4-BE49-F238E27FC236}">
              <a16:creationId xmlns:a16="http://schemas.microsoft.com/office/drawing/2014/main" id="{783D9040-21E7-4835-A82B-5F0554517CF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3" name="CaixaDeTexto 712">
          <a:extLst>
            <a:ext uri="{FF2B5EF4-FFF2-40B4-BE49-F238E27FC236}">
              <a16:creationId xmlns:a16="http://schemas.microsoft.com/office/drawing/2014/main" id="{2FF97C0C-7E8D-41C1-BF2E-9EF7FC90C3F0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4" name="CaixaDeTexto 713">
          <a:extLst>
            <a:ext uri="{FF2B5EF4-FFF2-40B4-BE49-F238E27FC236}">
              <a16:creationId xmlns:a16="http://schemas.microsoft.com/office/drawing/2014/main" id="{93AF6F58-5219-41AB-9A73-9BAC1A1C2BBD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5" name="CaixaDeTexto 714">
          <a:extLst>
            <a:ext uri="{FF2B5EF4-FFF2-40B4-BE49-F238E27FC236}">
              <a16:creationId xmlns:a16="http://schemas.microsoft.com/office/drawing/2014/main" id="{9CD2EE14-CB1D-4557-B210-592017CB026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6" name="CaixaDeTexto 715">
          <a:extLst>
            <a:ext uri="{FF2B5EF4-FFF2-40B4-BE49-F238E27FC236}">
              <a16:creationId xmlns:a16="http://schemas.microsoft.com/office/drawing/2014/main" id="{54C7F764-6033-4864-90CE-D516CF96B3F6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7" name="CaixaDeTexto 716">
          <a:extLst>
            <a:ext uri="{FF2B5EF4-FFF2-40B4-BE49-F238E27FC236}">
              <a16:creationId xmlns:a16="http://schemas.microsoft.com/office/drawing/2014/main" id="{79671E6D-82A9-4D20-8BBC-A3CCBC27FCF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8" name="CaixaDeTexto 717">
          <a:extLst>
            <a:ext uri="{FF2B5EF4-FFF2-40B4-BE49-F238E27FC236}">
              <a16:creationId xmlns:a16="http://schemas.microsoft.com/office/drawing/2014/main" id="{F09AA2E7-9682-4702-8A81-345225DAF7D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19" name="CaixaDeTexto 718">
          <a:extLst>
            <a:ext uri="{FF2B5EF4-FFF2-40B4-BE49-F238E27FC236}">
              <a16:creationId xmlns:a16="http://schemas.microsoft.com/office/drawing/2014/main" id="{8207B70F-AD57-4D6B-98C2-958033E827E3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0" name="CaixaDeTexto 719">
          <a:extLst>
            <a:ext uri="{FF2B5EF4-FFF2-40B4-BE49-F238E27FC236}">
              <a16:creationId xmlns:a16="http://schemas.microsoft.com/office/drawing/2014/main" id="{F93AB888-752A-4967-AD9B-074CB7672B8F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1" name="CaixaDeTexto 720">
          <a:extLst>
            <a:ext uri="{FF2B5EF4-FFF2-40B4-BE49-F238E27FC236}">
              <a16:creationId xmlns:a16="http://schemas.microsoft.com/office/drawing/2014/main" id="{F0E09E44-590F-4DB8-BD97-25FF9A51FCCE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2" name="CaixaDeTexto 721">
          <a:extLst>
            <a:ext uri="{FF2B5EF4-FFF2-40B4-BE49-F238E27FC236}">
              <a16:creationId xmlns:a16="http://schemas.microsoft.com/office/drawing/2014/main" id="{7742A8D6-3049-4892-8B43-7A31CED412CF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3" name="CaixaDeTexto 722">
          <a:extLst>
            <a:ext uri="{FF2B5EF4-FFF2-40B4-BE49-F238E27FC236}">
              <a16:creationId xmlns:a16="http://schemas.microsoft.com/office/drawing/2014/main" id="{D0BF9CBB-DA09-4ED7-A040-0CB088B01B43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4" name="CaixaDeTexto 723">
          <a:extLst>
            <a:ext uri="{FF2B5EF4-FFF2-40B4-BE49-F238E27FC236}">
              <a16:creationId xmlns:a16="http://schemas.microsoft.com/office/drawing/2014/main" id="{C86E7A78-9634-4C26-9502-D6DFF1FBB108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5" name="CaixaDeTexto 724">
          <a:extLst>
            <a:ext uri="{FF2B5EF4-FFF2-40B4-BE49-F238E27FC236}">
              <a16:creationId xmlns:a16="http://schemas.microsoft.com/office/drawing/2014/main" id="{0DEBD965-A73A-451E-B724-051D07DAD2C6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6" name="CaixaDeTexto 725">
          <a:extLst>
            <a:ext uri="{FF2B5EF4-FFF2-40B4-BE49-F238E27FC236}">
              <a16:creationId xmlns:a16="http://schemas.microsoft.com/office/drawing/2014/main" id="{D28B3AF0-F8AD-4319-B83B-4603CDCBBC3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7" name="CaixaDeTexto 726">
          <a:extLst>
            <a:ext uri="{FF2B5EF4-FFF2-40B4-BE49-F238E27FC236}">
              <a16:creationId xmlns:a16="http://schemas.microsoft.com/office/drawing/2014/main" id="{A5B57CD3-66D0-4762-811A-4896C720F7E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8" name="CaixaDeTexto 727">
          <a:extLst>
            <a:ext uri="{FF2B5EF4-FFF2-40B4-BE49-F238E27FC236}">
              <a16:creationId xmlns:a16="http://schemas.microsoft.com/office/drawing/2014/main" id="{9DEBB92C-CCB0-48CC-82A8-51F5E26D26A4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29" name="CaixaDeTexto 728">
          <a:extLst>
            <a:ext uri="{FF2B5EF4-FFF2-40B4-BE49-F238E27FC236}">
              <a16:creationId xmlns:a16="http://schemas.microsoft.com/office/drawing/2014/main" id="{F6E65A85-F398-4781-B825-D3DBC5437F80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0" name="CaixaDeTexto 729">
          <a:extLst>
            <a:ext uri="{FF2B5EF4-FFF2-40B4-BE49-F238E27FC236}">
              <a16:creationId xmlns:a16="http://schemas.microsoft.com/office/drawing/2014/main" id="{EB78D8ED-EDE9-488E-8C69-A80AA95331B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1" name="CaixaDeTexto 730">
          <a:extLst>
            <a:ext uri="{FF2B5EF4-FFF2-40B4-BE49-F238E27FC236}">
              <a16:creationId xmlns:a16="http://schemas.microsoft.com/office/drawing/2014/main" id="{FD050948-7B58-4AE0-B5D0-AAC2A3398FE7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2" name="CaixaDeTexto 731">
          <a:extLst>
            <a:ext uri="{FF2B5EF4-FFF2-40B4-BE49-F238E27FC236}">
              <a16:creationId xmlns:a16="http://schemas.microsoft.com/office/drawing/2014/main" id="{A3F24890-1CF1-459B-8CA2-934309054F1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3" name="CaixaDeTexto 732">
          <a:extLst>
            <a:ext uri="{FF2B5EF4-FFF2-40B4-BE49-F238E27FC236}">
              <a16:creationId xmlns:a16="http://schemas.microsoft.com/office/drawing/2014/main" id="{B98DC974-E280-4563-B475-75CFDF90724F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4" name="CaixaDeTexto 733">
          <a:extLst>
            <a:ext uri="{FF2B5EF4-FFF2-40B4-BE49-F238E27FC236}">
              <a16:creationId xmlns:a16="http://schemas.microsoft.com/office/drawing/2014/main" id="{4EC1609E-3112-45F6-A34D-14E5ACC5B917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5" name="CaixaDeTexto 734">
          <a:extLst>
            <a:ext uri="{FF2B5EF4-FFF2-40B4-BE49-F238E27FC236}">
              <a16:creationId xmlns:a16="http://schemas.microsoft.com/office/drawing/2014/main" id="{2FA55409-B785-4991-A2E0-CF72BFFD875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6" name="CaixaDeTexto 735">
          <a:extLst>
            <a:ext uri="{FF2B5EF4-FFF2-40B4-BE49-F238E27FC236}">
              <a16:creationId xmlns:a16="http://schemas.microsoft.com/office/drawing/2014/main" id="{EDD99935-7CD3-48D5-9E1A-E42783833D7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7" name="CaixaDeTexto 736">
          <a:extLst>
            <a:ext uri="{FF2B5EF4-FFF2-40B4-BE49-F238E27FC236}">
              <a16:creationId xmlns:a16="http://schemas.microsoft.com/office/drawing/2014/main" id="{34627423-5593-44A1-87EA-5B15772CF0C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8" name="CaixaDeTexto 737">
          <a:extLst>
            <a:ext uri="{FF2B5EF4-FFF2-40B4-BE49-F238E27FC236}">
              <a16:creationId xmlns:a16="http://schemas.microsoft.com/office/drawing/2014/main" id="{3E161C3A-42C5-45BF-9A03-14E2AEED6103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39" name="CaixaDeTexto 738">
          <a:extLst>
            <a:ext uri="{FF2B5EF4-FFF2-40B4-BE49-F238E27FC236}">
              <a16:creationId xmlns:a16="http://schemas.microsoft.com/office/drawing/2014/main" id="{A249ED87-9FCE-4381-BE99-3CA9FF7E792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40" name="CaixaDeTexto 739">
          <a:extLst>
            <a:ext uri="{FF2B5EF4-FFF2-40B4-BE49-F238E27FC236}">
              <a16:creationId xmlns:a16="http://schemas.microsoft.com/office/drawing/2014/main" id="{4D73D853-5389-47F8-B33E-BFE85B9E05F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41" name="CaixaDeTexto 740">
          <a:extLst>
            <a:ext uri="{FF2B5EF4-FFF2-40B4-BE49-F238E27FC236}">
              <a16:creationId xmlns:a16="http://schemas.microsoft.com/office/drawing/2014/main" id="{2C7FEC06-D7B5-4EC9-AADE-8D64F61FBADE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42" name="CaixaDeTexto 741">
          <a:extLst>
            <a:ext uri="{FF2B5EF4-FFF2-40B4-BE49-F238E27FC236}">
              <a16:creationId xmlns:a16="http://schemas.microsoft.com/office/drawing/2014/main" id="{67CA3BAE-7A68-4BC3-B393-E77C579BB7D9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0</xdr:colOff>
      <xdr:row>129</xdr:row>
      <xdr:rowOff>0</xdr:rowOff>
    </xdr:from>
    <xdr:ext cx="184731" cy="264560"/>
    <xdr:sp macro="" textlink="">
      <xdr:nvSpPr>
        <xdr:cNvPr id="743" name="CaixaDeTexto 742">
          <a:extLst>
            <a:ext uri="{FF2B5EF4-FFF2-40B4-BE49-F238E27FC236}">
              <a16:creationId xmlns:a16="http://schemas.microsoft.com/office/drawing/2014/main" id="{0697BBC0-CB55-431B-AFBF-38F79BB49329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44" name="CaixaDeTexto 743">
          <a:extLst>
            <a:ext uri="{FF2B5EF4-FFF2-40B4-BE49-F238E27FC236}">
              <a16:creationId xmlns:a16="http://schemas.microsoft.com/office/drawing/2014/main" id="{5E259F0B-271E-433B-B67C-FE04167D45E0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45" name="CaixaDeTexto 744">
          <a:extLst>
            <a:ext uri="{FF2B5EF4-FFF2-40B4-BE49-F238E27FC236}">
              <a16:creationId xmlns:a16="http://schemas.microsoft.com/office/drawing/2014/main" id="{35E40180-E20D-4F1B-8430-F9F764A58955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46" name="CaixaDeTexto 745">
          <a:extLst>
            <a:ext uri="{FF2B5EF4-FFF2-40B4-BE49-F238E27FC236}">
              <a16:creationId xmlns:a16="http://schemas.microsoft.com/office/drawing/2014/main" id="{F968D607-384C-4BEA-9A09-C81E922AD10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47" name="CaixaDeTexto 746">
          <a:extLst>
            <a:ext uri="{FF2B5EF4-FFF2-40B4-BE49-F238E27FC236}">
              <a16:creationId xmlns:a16="http://schemas.microsoft.com/office/drawing/2014/main" id="{031391E6-ACFB-44B7-A17C-D8554FB94454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48" name="CaixaDeTexto 747">
          <a:extLst>
            <a:ext uri="{FF2B5EF4-FFF2-40B4-BE49-F238E27FC236}">
              <a16:creationId xmlns:a16="http://schemas.microsoft.com/office/drawing/2014/main" id="{2E9F25B8-C505-4492-B4CD-9ED38E73A03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49" name="CaixaDeTexto 748">
          <a:extLst>
            <a:ext uri="{FF2B5EF4-FFF2-40B4-BE49-F238E27FC236}">
              <a16:creationId xmlns:a16="http://schemas.microsoft.com/office/drawing/2014/main" id="{597699BF-5D33-4EA3-8B0C-0D80D99AD87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0" name="CaixaDeTexto 749">
          <a:extLst>
            <a:ext uri="{FF2B5EF4-FFF2-40B4-BE49-F238E27FC236}">
              <a16:creationId xmlns:a16="http://schemas.microsoft.com/office/drawing/2014/main" id="{70E69C0F-5B5B-4D84-9E9D-A268C4C0770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1" name="CaixaDeTexto 750">
          <a:extLst>
            <a:ext uri="{FF2B5EF4-FFF2-40B4-BE49-F238E27FC236}">
              <a16:creationId xmlns:a16="http://schemas.microsoft.com/office/drawing/2014/main" id="{13386B8D-455E-467D-A411-8C6DC4812C2D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2" name="CaixaDeTexto 751">
          <a:extLst>
            <a:ext uri="{FF2B5EF4-FFF2-40B4-BE49-F238E27FC236}">
              <a16:creationId xmlns:a16="http://schemas.microsoft.com/office/drawing/2014/main" id="{F6E43AFB-851E-4D2A-BBDF-443D5D8636D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3" name="CaixaDeTexto 752">
          <a:extLst>
            <a:ext uri="{FF2B5EF4-FFF2-40B4-BE49-F238E27FC236}">
              <a16:creationId xmlns:a16="http://schemas.microsoft.com/office/drawing/2014/main" id="{98A5F755-CDCE-42D8-BA37-7F0920941053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4" name="CaixaDeTexto 753">
          <a:extLst>
            <a:ext uri="{FF2B5EF4-FFF2-40B4-BE49-F238E27FC236}">
              <a16:creationId xmlns:a16="http://schemas.microsoft.com/office/drawing/2014/main" id="{65A874B8-814E-4B2F-A6F6-6F9E0477260D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5" name="CaixaDeTexto 754">
          <a:extLst>
            <a:ext uri="{FF2B5EF4-FFF2-40B4-BE49-F238E27FC236}">
              <a16:creationId xmlns:a16="http://schemas.microsoft.com/office/drawing/2014/main" id="{22A1A2CB-8486-4ACA-AAA4-7F9CC88B86D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6" name="CaixaDeTexto 755">
          <a:extLst>
            <a:ext uri="{FF2B5EF4-FFF2-40B4-BE49-F238E27FC236}">
              <a16:creationId xmlns:a16="http://schemas.microsoft.com/office/drawing/2014/main" id="{331FFC77-347B-4BB9-B4A8-FDB5DBF6C280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7" name="CaixaDeTexto 756">
          <a:extLst>
            <a:ext uri="{FF2B5EF4-FFF2-40B4-BE49-F238E27FC236}">
              <a16:creationId xmlns:a16="http://schemas.microsoft.com/office/drawing/2014/main" id="{B11B1E01-A647-4C77-95EA-06F065FB8D2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8" name="CaixaDeTexto 757">
          <a:extLst>
            <a:ext uri="{FF2B5EF4-FFF2-40B4-BE49-F238E27FC236}">
              <a16:creationId xmlns:a16="http://schemas.microsoft.com/office/drawing/2014/main" id="{AA267274-6EBA-4EEC-B24E-EEFCE39E60B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59" name="CaixaDeTexto 758">
          <a:extLst>
            <a:ext uri="{FF2B5EF4-FFF2-40B4-BE49-F238E27FC236}">
              <a16:creationId xmlns:a16="http://schemas.microsoft.com/office/drawing/2014/main" id="{C4CB73B0-C288-42FE-981B-927CE68D805E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0" name="CaixaDeTexto 759">
          <a:extLst>
            <a:ext uri="{FF2B5EF4-FFF2-40B4-BE49-F238E27FC236}">
              <a16:creationId xmlns:a16="http://schemas.microsoft.com/office/drawing/2014/main" id="{2DDB9675-47C2-4556-A318-01F6C1542288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1" name="CaixaDeTexto 760">
          <a:extLst>
            <a:ext uri="{FF2B5EF4-FFF2-40B4-BE49-F238E27FC236}">
              <a16:creationId xmlns:a16="http://schemas.microsoft.com/office/drawing/2014/main" id="{EE69C119-935E-4B03-8806-D42F79FF6A7E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2" name="CaixaDeTexto 761">
          <a:extLst>
            <a:ext uri="{FF2B5EF4-FFF2-40B4-BE49-F238E27FC236}">
              <a16:creationId xmlns:a16="http://schemas.microsoft.com/office/drawing/2014/main" id="{2B45CC79-B912-4C4C-9311-FF4BEE3519C2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3" name="CaixaDeTexto 762">
          <a:extLst>
            <a:ext uri="{FF2B5EF4-FFF2-40B4-BE49-F238E27FC236}">
              <a16:creationId xmlns:a16="http://schemas.microsoft.com/office/drawing/2014/main" id="{2B317020-3396-4B0B-8FBC-9FEA71796EFA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4" name="CaixaDeTexto 763">
          <a:extLst>
            <a:ext uri="{FF2B5EF4-FFF2-40B4-BE49-F238E27FC236}">
              <a16:creationId xmlns:a16="http://schemas.microsoft.com/office/drawing/2014/main" id="{61D7A168-4827-43CE-A21D-AD33CFC8B943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5" name="CaixaDeTexto 764">
          <a:extLst>
            <a:ext uri="{FF2B5EF4-FFF2-40B4-BE49-F238E27FC236}">
              <a16:creationId xmlns:a16="http://schemas.microsoft.com/office/drawing/2014/main" id="{E0051CC3-36B3-4EDD-BD50-28B98249D867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6" name="CaixaDeTexto 765">
          <a:extLst>
            <a:ext uri="{FF2B5EF4-FFF2-40B4-BE49-F238E27FC236}">
              <a16:creationId xmlns:a16="http://schemas.microsoft.com/office/drawing/2014/main" id="{E159F350-7FB9-4C20-9252-B2D050169907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7" name="CaixaDeTexto 766">
          <a:extLst>
            <a:ext uri="{FF2B5EF4-FFF2-40B4-BE49-F238E27FC236}">
              <a16:creationId xmlns:a16="http://schemas.microsoft.com/office/drawing/2014/main" id="{F1CF8EE5-4484-43A4-81F6-9EBDA88F6A55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8" name="CaixaDeTexto 767">
          <a:extLst>
            <a:ext uri="{FF2B5EF4-FFF2-40B4-BE49-F238E27FC236}">
              <a16:creationId xmlns:a16="http://schemas.microsoft.com/office/drawing/2014/main" id="{D54AB6D4-9E25-406C-92A8-CA21FA4464FE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69" name="CaixaDeTexto 768">
          <a:extLst>
            <a:ext uri="{FF2B5EF4-FFF2-40B4-BE49-F238E27FC236}">
              <a16:creationId xmlns:a16="http://schemas.microsoft.com/office/drawing/2014/main" id="{04419941-879A-4EAC-8B9E-4AD12529A3E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0" name="CaixaDeTexto 769">
          <a:extLst>
            <a:ext uri="{FF2B5EF4-FFF2-40B4-BE49-F238E27FC236}">
              <a16:creationId xmlns:a16="http://schemas.microsoft.com/office/drawing/2014/main" id="{8AC26325-0087-4A94-BFBA-F30FE1E2EB79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1" name="CaixaDeTexto 770">
          <a:extLst>
            <a:ext uri="{FF2B5EF4-FFF2-40B4-BE49-F238E27FC236}">
              <a16:creationId xmlns:a16="http://schemas.microsoft.com/office/drawing/2014/main" id="{0F535EB6-8EFE-4740-B098-2400056AC4FB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2" name="CaixaDeTexto 771">
          <a:extLst>
            <a:ext uri="{FF2B5EF4-FFF2-40B4-BE49-F238E27FC236}">
              <a16:creationId xmlns:a16="http://schemas.microsoft.com/office/drawing/2014/main" id="{5BCA81BD-CFD3-4E60-9E86-C74FF46E4D77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3" name="CaixaDeTexto 772">
          <a:extLst>
            <a:ext uri="{FF2B5EF4-FFF2-40B4-BE49-F238E27FC236}">
              <a16:creationId xmlns:a16="http://schemas.microsoft.com/office/drawing/2014/main" id="{C135E2B0-ED64-46D2-8BBF-096EB31ECC61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4" name="CaixaDeTexto 773">
          <a:extLst>
            <a:ext uri="{FF2B5EF4-FFF2-40B4-BE49-F238E27FC236}">
              <a16:creationId xmlns:a16="http://schemas.microsoft.com/office/drawing/2014/main" id="{EFE620F5-E6FB-4E15-80B3-D7744BBC68A9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5" name="CaixaDeTexto 774">
          <a:extLst>
            <a:ext uri="{FF2B5EF4-FFF2-40B4-BE49-F238E27FC236}">
              <a16:creationId xmlns:a16="http://schemas.microsoft.com/office/drawing/2014/main" id="{CFF20498-6D96-44AA-BF7E-44CEBC321EEF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104</xdr:row>
      <xdr:rowOff>0</xdr:rowOff>
    </xdr:from>
    <xdr:ext cx="184731" cy="264560"/>
    <xdr:sp macro="" textlink="">
      <xdr:nvSpPr>
        <xdr:cNvPr id="776" name="CaixaDeTexto 775">
          <a:extLst>
            <a:ext uri="{FF2B5EF4-FFF2-40B4-BE49-F238E27FC236}">
              <a16:creationId xmlns:a16="http://schemas.microsoft.com/office/drawing/2014/main" id="{520D73A4-719B-4B34-85CA-E8A6FC11243C}"/>
            </a:ext>
          </a:extLst>
        </xdr:cNvPr>
        <xdr:cNvSpPr txBox="1"/>
      </xdr:nvSpPr>
      <xdr:spPr>
        <a:xfrm>
          <a:off x="4191000" y="2752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77" name="CaixaDeTexto 776">
          <a:extLst>
            <a:ext uri="{FF2B5EF4-FFF2-40B4-BE49-F238E27FC236}">
              <a16:creationId xmlns:a16="http://schemas.microsoft.com/office/drawing/2014/main" id="{83ABB363-B6A8-48EA-9EB1-BD187D30DFE7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78" name="CaixaDeTexto 777">
          <a:extLst>
            <a:ext uri="{FF2B5EF4-FFF2-40B4-BE49-F238E27FC236}">
              <a16:creationId xmlns:a16="http://schemas.microsoft.com/office/drawing/2014/main" id="{40DCF710-E00C-401E-8834-5235270C9F55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79" name="CaixaDeTexto 778">
          <a:extLst>
            <a:ext uri="{FF2B5EF4-FFF2-40B4-BE49-F238E27FC236}">
              <a16:creationId xmlns:a16="http://schemas.microsoft.com/office/drawing/2014/main" id="{D2F7120C-B097-44C2-BD9C-5190C316A39C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0" name="CaixaDeTexto 779">
          <a:extLst>
            <a:ext uri="{FF2B5EF4-FFF2-40B4-BE49-F238E27FC236}">
              <a16:creationId xmlns:a16="http://schemas.microsoft.com/office/drawing/2014/main" id="{5A5C1FF3-4173-48F7-A937-C346A43E344A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1" name="CaixaDeTexto 780">
          <a:extLst>
            <a:ext uri="{FF2B5EF4-FFF2-40B4-BE49-F238E27FC236}">
              <a16:creationId xmlns:a16="http://schemas.microsoft.com/office/drawing/2014/main" id="{91506A39-F778-417C-8F6A-53DC204DBF46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2" name="CaixaDeTexto 781">
          <a:extLst>
            <a:ext uri="{FF2B5EF4-FFF2-40B4-BE49-F238E27FC236}">
              <a16:creationId xmlns:a16="http://schemas.microsoft.com/office/drawing/2014/main" id="{89CD4338-9FFD-4C20-9FAF-446386CBA231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3" name="CaixaDeTexto 782">
          <a:extLst>
            <a:ext uri="{FF2B5EF4-FFF2-40B4-BE49-F238E27FC236}">
              <a16:creationId xmlns:a16="http://schemas.microsoft.com/office/drawing/2014/main" id="{19B0865A-916E-484F-B69D-C1C9E0BCF1E6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4" name="CaixaDeTexto 783">
          <a:extLst>
            <a:ext uri="{FF2B5EF4-FFF2-40B4-BE49-F238E27FC236}">
              <a16:creationId xmlns:a16="http://schemas.microsoft.com/office/drawing/2014/main" id="{7A51FF96-85C4-469C-AA7D-DBFB3A828BE5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5" name="CaixaDeTexto 784">
          <a:extLst>
            <a:ext uri="{FF2B5EF4-FFF2-40B4-BE49-F238E27FC236}">
              <a16:creationId xmlns:a16="http://schemas.microsoft.com/office/drawing/2014/main" id="{53A03C4C-4485-4ABB-8B7F-683296CFB1D0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6" name="CaixaDeTexto 785">
          <a:extLst>
            <a:ext uri="{FF2B5EF4-FFF2-40B4-BE49-F238E27FC236}">
              <a16:creationId xmlns:a16="http://schemas.microsoft.com/office/drawing/2014/main" id="{C8518BFB-2E81-4524-86BF-5ED9E395D00B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7" name="CaixaDeTexto 786">
          <a:extLst>
            <a:ext uri="{FF2B5EF4-FFF2-40B4-BE49-F238E27FC236}">
              <a16:creationId xmlns:a16="http://schemas.microsoft.com/office/drawing/2014/main" id="{7E4C2118-4C57-41DF-A406-EE41E7A366C8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8" name="CaixaDeTexto 787">
          <a:extLst>
            <a:ext uri="{FF2B5EF4-FFF2-40B4-BE49-F238E27FC236}">
              <a16:creationId xmlns:a16="http://schemas.microsoft.com/office/drawing/2014/main" id="{0077E7D7-B722-4F20-A3F1-2FE97A0B0C48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89" name="CaixaDeTexto 788">
          <a:extLst>
            <a:ext uri="{FF2B5EF4-FFF2-40B4-BE49-F238E27FC236}">
              <a16:creationId xmlns:a16="http://schemas.microsoft.com/office/drawing/2014/main" id="{37D3B400-C7EB-4386-971A-942DC84F402F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0" name="CaixaDeTexto 789">
          <a:extLst>
            <a:ext uri="{FF2B5EF4-FFF2-40B4-BE49-F238E27FC236}">
              <a16:creationId xmlns:a16="http://schemas.microsoft.com/office/drawing/2014/main" id="{63A5E03C-AE58-42DE-A1BE-614D262D1149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1" name="CaixaDeTexto 790">
          <a:extLst>
            <a:ext uri="{FF2B5EF4-FFF2-40B4-BE49-F238E27FC236}">
              <a16:creationId xmlns:a16="http://schemas.microsoft.com/office/drawing/2014/main" id="{538FB01B-B026-444A-B810-1C817771DA1A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2" name="CaixaDeTexto 791">
          <a:extLst>
            <a:ext uri="{FF2B5EF4-FFF2-40B4-BE49-F238E27FC236}">
              <a16:creationId xmlns:a16="http://schemas.microsoft.com/office/drawing/2014/main" id="{7DC44620-7CCF-498C-8E2D-C5F8C93319B6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3" name="CaixaDeTexto 792">
          <a:extLst>
            <a:ext uri="{FF2B5EF4-FFF2-40B4-BE49-F238E27FC236}">
              <a16:creationId xmlns:a16="http://schemas.microsoft.com/office/drawing/2014/main" id="{679CAB33-C8DE-4C96-9EB9-3FD81EBD3A48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4" name="CaixaDeTexto 793">
          <a:extLst>
            <a:ext uri="{FF2B5EF4-FFF2-40B4-BE49-F238E27FC236}">
              <a16:creationId xmlns:a16="http://schemas.microsoft.com/office/drawing/2014/main" id="{3A8A4FBB-3B4A-4E7A-8273-7A242630ED18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5" name="CaixaDeTexto 794">
          <a:extLst>
            <a:ext uri="{FF2B5EF4-FFF2-40B4-BE49-F238E27FC236}">
              <a16:creationId xmlns:a16="http://schemas.microsoft.com/office/drawing/2014/main" id="{6901C80F-CDF7-40E9-89E4-4A6D17CD65DB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6" name="CaixaDeTexto 795">
          <a:extLst>
            <a:ext uri="{FF2B5EF4-FFF2-40B4-BE49-F238E27FC236}">
              <a16:creationId xmlns:a16="http://schemas.microsoft.com/office/drawing/2014/main" id="{4C99EA89-B05A-4878-9D5B-891D97BE81CD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7" name="CaixaDeTexto 796">
          <a:extLst>
            <a:ext uri="{FF2B5EF4-FFF2-40B4-BE49-F238E27FC236}">
              <a16:creationId xmlns:a16="http://schemas.microsoft.com/office/drawing/2014/main" id="{4686DD5B-713E-4231-A494-EBE7B620D94D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8" name="CaixaDeTexto 797">
          <a:extLst>
            <a:ext uri="{FF2B5EF4-FFF2-40B4-BE49-F238E27FC236}">
              <a16:creationId xmlns:a16="http://schemas.microsoft.com/office/drawing/2014/main" id="{8AD12486-34CA-49BE-A1A5-A2D8AF08F884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799" name="CaixaDeTexto 798">
          <a:extLst>
            <a:ext uri="{FF2B5EF4-FFF2-40B4-BE49-F238E27FC236}">
              <a16:creationId xmlns:a16="http://schemas.microsoft.com/office/drawing/2014/main" id="{44C9E91B-D1E5-4405-8BAA-260C8FA2DD30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0" name="CaixaDeTexto 799">
          <a:extLst>
            <a:ext uri="{FF2B5EF4-FFF2-40B4-BE49-F238E27FC236}">
              <a16:creationId xmlns:a16="http://schemas.microsoft.com/office/drawing/2014/main" id="{7BA86659-C0D9-446F-9226-C3988470E5C9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1" name="CaixaDeTexto 800">
          <a:extLst>
            <a:ext uri="{FF2B5EF4-FFF2-40B4-BE49-F238E27FC236}">
              <a16:creationId xmlns:a16="http://schemas.microsoft.com/office/drawing/2014/main" id="{66CE442D-8854-4463-87AE-1911092888AB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2" name="CaixaDeTexto 801">
          <a:extLst>
            <a:ext uri="{FF2B5EF4-FFF2-40B4-BE49-F238E27FC236}">
              <a16:creationId xmlns:a16="http://schemas.microsoft.com/office/drawing/2014/main" id="{55E44A49-6EBE-4938-AD0B-13E919550960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3" name="CaixaDeTexto 802">
          <a:extLst>
            <a:ext uri="{FF2B5EF4-FFF2-40B4-BE49-F238E27FC236}">
              <a16:creationId xmlns:a16="http://schemas.microsoft.com/office/drawing/2014/main" id="{C4500815-874E-41C3-B3D2-05E85C5832B5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4" name="CaixaDeTexto 803">
          <a:extLst>
            <a:ext uri="{FF2B5EF4-FFF2-40B4-BE49-F238E27FC236}">
              <a16:creationId xmlns:a16="http://schemas.microsoft.com/office/drawing/2014/main" id="{A64A5D62-114D-4DF9-A80F-5C97A81D7653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5" name="CaixaDeTexto 804">
          <a:extLst>
            <a:ext uri="{FF2B5EF4-FFF2-40B4-BE49-F238E27FC236}">
              <a16:creationId xmlns:a16="http://schemas.microsoft.com/office/drawing/2014/main" id="{6983AFBA-DE52-4AE7-969F-124CE38468FA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6" name="CaixaDeTexto 805">
          <a:extLst>
            <a:ext uri="{FF2B5EF4-FFF2-40B4-BE49-F238E27FC236}">
              <a16:creationId xmlns:a16="http://schemas.microsoft.com/office/drawing/2014/main" id="{FD3DF0C6-32EA-4276-9DC8-55E6F3C3D200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7" name="CaixaDeTexto 806">
          <a:extLst>
            <a:ext uri="{FF2B5EF4-FFF2-40B4-BE49-F238E27FC236}">
              <a16:creationId xmlns:a16="http://schemas.microsoft.com/office/drawing/2014/main" id="{D2DA9952-60A4-4206-A7D6-B60014315849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8" name="CaixaDeTexto 807">
          <a:extLst>
            <a:ext uri="{FF2B5EF4-FFF2-40B4-BE49-F238E27FC236}">
              <a16:creationId xmlns:a16="http://schemas.microsoft.com/office/drawing/2014/main" id="{3CBE27BC-E446-4DB7-B7BD-F9292521B0FE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117</xdr:row>
      <xdr:rowOff>0</xdr:rowOff>
    </xdr:from>
    <xdr:ext cx="184731" cy="264560"/>
    <xdr:sp macro="" textlink="">
      <xdr:nvSpPr>
        <xdr:cNvPr id="809" name="CaixaDeTexto 808">
          <a:extLst>
            <a:ext uri="{FF2B5EF4-FFF2-40B4-BE49-F238E27FC236}">
              <a16:creationId xmlns:a16="http://schemas.microsoft.com/office/drawing/2014/main" id="{07428A80-E0B6-4AB4-8251-2E7C403B976D}"/>
            </a:ext>
          </a:extLst>
        </xdr:cNvPr>
        <xdr:cNvSpPr txBox="1"/>
      </xdr:nvSpPr>
      <xdr:spPr>
        <a:xfrm>
          <a:off x="4191000" y="315957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0" name="CaixaDeTexto 809">
          <a:extLst>
            <a:ext uri="{FF2B5EF4-FFF2-40B4-BE49-F238E27FC236}">
              <a16:creationId xmlns:a16="http://schemas.microsoft.com/office/drawing/2014/main" id="{A8730991-6C0E-4AC7-8656-CCA2C2003464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1" name="CaixaDeTexto 810">
          <a:extLst>
            <a:ext uri="{FF2B5EF4-FFF2-40B4-BE49-F238E27FC236}">
              <a16:creationId xmlns:a16="http://schemas.microsoft.com/office/drawing/2014/main" id="{A7FE2933-F502-4FE7-B699-439E1C69563A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2" name="CaixaDeTexto 811">
          <a:extLst>
            <a:ext uri="{FF2B5EF4-FFF2-40B4-BE49-F238E27FC236}">
              <a16:creationId xmlns:a16="http://schemas.microsoft.com/office/drawing/2014/main" id="{9AB42363-6770-4745-B5E1-D58993231D11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3" name="CaixaDeTexto 812">
          <a:extLst>
            <a:ext uri="{FF2B5EF4-FFF2-40B4-BE49-F238E27FC236}">
              <a16:creationId xmlns:a16="http://schemas.microsoft.com/office/drawing/2014/main" id="{CD274FB4-8DF2-4818-A777-100EE194AC38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4" name="CaixaDeTexto 813">
          <a:extLst>
            <a:ext uri="{FF2B5EF4-FFF2-40B4-BE49-F238E27FC236}">
              <a16:creationId xmlns:a16="http://schemas.microsoft.com/office/drawing/2014/main" id="{02C86F48-EA63-4FA8-B4EE-5C51F716D65E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5" name="CaixaDeTexto 814">
          <a:extLst>
            <a:ext uri="{FF2B5EF4-FFF2-40B4-BE49-F238E27FC236}">
              <a16:creationId xmlns:a16="http://schemas.microsoft.com/office/drawing/2014/main" id="{EDF993BF-720B-435B-B30E-D2FF99D509E5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6" name="CaixaDeTexto 815">
          <a:extLst>
            <a:ext uri="{FF2B5EF4-FFF2-40B4-BE49-F238E27FC236}">
              <a16:creationId xmlns:a16="http://schemas.microsoft.com/office/drawing/2014/main" id="{A060DF69-4574-4524-A6E1-897476190AF9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7" name="CaixaDeTexto 816">
          <a:extLst>
            <a:ext uri="{FF2B5EF4-FFF2-40B4-BE49-F238E27FC236}">
              <a16:creationId xmlns:a16="http://schemas.microsoft.com/office/drawing/2014/main" id="{B0E9296C-0322-4228-A173-19E3ACACB862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8" name="CaixaDeTexto 817">
          <a:extLst>
            <a:ext uri="{FF2B5EF4-FFF2-40B4-BE49-F238E27FC236}">
              <a16:creationId xmlns:a16="http://schemas.microsoft.com/office/drawing/2014/main" id="{24BA4CAF-293B-4FA6-9A38-208432C55869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19" name="CaixaDeTexto 818">
          <a:extLst>
            <a:ext uri="{FF2B5EF4-FFF2-40B4-BE49-F238E27FC236}">
              <a16:creationId xmlns:a16="http://schemas.microsoft.com/office/drawing/2014/main" id="{B43068E1-97C2-4E65-B09F-83B00FE851C3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0" name="CaixaDeTexto 819">
          <a:extLst>
            <a:ext uri="{FF2B5EF4-FFF2-40B4-BE49-F238E27FC236}">
              <a16:creationId xmlns:a16="http://schemas.microsoft.com/office/drawing/2014/main" id="{60B9D6D8-4589-41E3-9BBB-F9EE146C8F64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1" name="CaixaDeTexto 820">
          <a:extLst>
            <a:ext uri="{FF2B5EF4-FFF2-40B4-BE49-F238E27FC236}">
              <a16:creationId xmlns:a16="http://schemas.microsoft.com/office/drawing/2014/main" id="{407B903B-E639-4D24-AB87-B1E5D54D412B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2" name="CaixaDeTexto 821">
          <a:extLst>
            <a:ext uri="{FF2B5EF4-FFF2-40B4-BE49-F238E27FC236}">
              <a16:creationId xmlns:a16="http://schemas.microsoft.com/office/drawing/2014/main" id="{789590D4-138D-42EF-81FF-5B147E428D1C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3" name="CaixaDeTexto 822">
          <a:extLst>
            <a:ext uri="{FF2B5EF4-FFF2-40B4-BE49-F238E27FC236}">
              <a16:creationId xmlns:a16="http://schemas.microsoft.com/office/drawing/2014/main" id="{5EAA6235-88E4-45D5-8561-93398167F3CC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4" name="CaixaDeTexto 823">
          <a:extLst>
            <a:ext uri="{FF2B5EF4-FFF2-40B4-BE49-F238E27FC236}">
              <a16:creationId xmlns:a16="http://schemas.microsoft.com/office/drawing/2014/main" id="{50CC8295-37D6-4ED4-B25A-CF2A3F640BEE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5" name="CaixaDeTexto 824">
          <a:extLst>
            <a:ext uri="{FF2B5EF4-FFF2-40B4-BE49-F238E27FC236}">
              <a16:creationId xmlns:a16="http://schemas.microsoft.com/office/drawing/2014/main" id="{9C14BF56-28AD-4E18-A981-F1652EC977D1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6" name="CaixaDeTexto 825">
          <a:extLst>
            <a:ext uri="{FF2B5EF4-FFF2-40B4-BE49-F238E27FC236}">
              <a16:creationId xmlns:a16="http://schemas.microsoft.com/office/drawing/2014/main" id="{D1DBD55A-8E52-4F28-AFD0-E798AD405330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7" name="CaixaDeTexto 826">
          <a:extLst>
            <a:ext uri="{FF2B5EF4-FFF2-40B4-BE49-F238E27FC236}">
              <a16:creationId xmlns:a16="http://schemas.microsoft.com/office/drawing/2014/main" id="{58F2C36E-2882-48EA-BBC9-3F5F15836743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8" name="CaixaDeTexto 827">
          <a:extLst>
            <a:ext uri="{FF2B5EF4-FFF2-40B4-BE49-F238E27FC236}">
              <a16:creationId xmlns:a16="http://schemas.microsoft.com/office/drawing/2014/main" id="{1714FAD7-A0F9-4040-B06F-AEF45B39D969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29" name="CaixaDeTexto 828">
          <a:extLst>
            <a:ext uri="{FF2B5EF4-FFF2-40B4-BE49-F238E27FC236}">
              <a16:creationId xmlns:a16="http://schemas.microsoft.com/office/drawing/2014/main" id="{B852A98B-4A19-47D9-99C8-99F5E3885217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0" name="CaixaDeTexto 829">
          <a:extLst>
            <a:ext uri="{FF2B5EF4-FFF2-40B4-BE49-F238E27FC236}">
              <a16:creationId xmlns:a16="http://schemas.microsoft.com/office/drawing/2014/main" id="{B9E7F09D-6584-423E-B4A1-E3E7641276CE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1" name="CaixaDeTexto 830">
          <a:extLst>
            <a:ext uri="{FF2B5EF4-FFF2-40B4-BE49-F238E27FC236}">
              <a16:creationId xmlns:a16="http://schemas.microsoft.com/office/drawing/2014/main" id="{305DB1C7-CF1C-4E97-BB85-418C413BDC99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2" name="CaixaDeTexto 831">
          <a:extLst>
            <a:ext uri="{FF2B5EF4-FFF2-40B4-BE49-F238E27FC236}">
              <a16:creationId xmlns:a16="http://schemas.microsoft.com/office/drawing/2014/main" id="{D6B669F1-0290-4E7C-A090-1B230B69DBA8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3" name="CaixaDeTexto 832">
          <a:extLst>
            <a:ext uri="{FF2B5EF4-FFF2-40B4-BE49-F238E27FC236}">
              <a16:creationId xmlns:a16="http://schemas.microsoft.com/office/drawing/2014/main" id="{8886259C-CDAD-4A86-B4B9-58F9F1712DD3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4" name="CaixaDeTexto 833">
          <a:extLst>
            <a:ext uri="{FF2B5EF4-FFF2-40B4-BE49-F238E27FC236}">
              <a16:creationId xmlns:a16="http://schemas.microsoft.com/office/drawing/2014/main" id="{E2F13489-00AC-4ED7-8016-B6C6CF1F7BCF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5" name="CaixaDeTexto 834">
          <a:extLst>
            <a:ext uri="{FF2B5EF4-FFF2-40B4-BE49-F238E27FC236}">
              <a16:creationId xmlns:a16="http://schemas.microsoft.com/office/drawing/2014/main" id="{481AACCF-1CD3-454B-B8D6-D914AF3F6F09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6" name="CaixaDeTexto 835">
          <a:extLst>
            <a:ext uri="{FF2B5EF4-FFF2-40B4-BE49-F238E27FC236}">
              <a16:creationId xmlns:a16="http://schemas.microsoft.com/office/drawing/2014/main" id="{AAF421B6-9CE3-4CA8-80E3-64C23DD0F942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7" name="CaixaDeTexto 836">
          <a:extLst>
            <a:ext uri="{FF2B5EF4-FFF2-40B4-BE49-F238E27FC236}">
              <a16:creationId xmlns:a16="http://schemas.microsoft.com/office/drawing/2014/main" id="{17412C51-7DF4-4322-8E2E-6DC14AA47888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8" name="CaixaDeTexto 837">
          <a:extLst>
            <a:ext uri="{FF2B5EF4-FFF2-40B4-BE49-F238E27FC236}">
              <a16:creationId xmlns:a16="http://schemas.microsoft.com/office/drawing/2014/main" id="{E4441AC8-BC4A-4BE4-94C0-DC1B232F8842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39" name="CaixaDeTexto 838">
          <a:extLst>
            <a:ext uri="{FF2B5EF4-FFF2-40B4-BE49-F238E27FC236}">
              <a16:creationId xmlns:a16="http://schemas.microsoft.com/office/drawing/2014/main" id="{90B77C81-4355-4D4C-B387-625251AA62B8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40" name="CaixaDeTexto 839">
          <a:extLst>
            <a:ext uri="{FF2B5EF4-FFF2-40B4-BE49-F238E27FC236}">
              <a16:creationId xmlns:a16="http://schemas.microsoft.com/office/drawing/2014/main" id="{7A478553-9C42-4266-B7C4-17C075DE93DB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41" name="CaixaDeTexto 840">
          <a:extLst>
            <a:ext uri="{FF2B5EF4-FFF2-40B4-BE49-F238E27FC236}">
              <a16:creationId xmlns:a16="http://schemas.microsoft.com/office/drawing/2014/main" id="{87D791C0-7442-4B0A-976F-CD452DAB6E37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8</xdr:col>
      <xdr:colOff>0</xdr:colOff>
      <xdr:row>128</xdr:row>
      <xdr:rowOff>0</xdr:rowOff>
    </xdr:from>
    <xdr:ext cx="184731" cy="264560"/>
    <xdr:sp macro="" textlink="">
      <xdr:nvSpPr>
        <xdr:cNvPr id="842" name="CaixaDeTexto 841">
          <a:extLst>
            <a:ext uri="{FF2B5EF4-FFF2-40B4-BE49-F238E27FC236}">
              <a16:creationId xmlns:a16="http://schemas.microsoft.com/office/drawing/2014/main" id="{AEAD1A37-7C56-4A90-94E0-BB2A1C26BE49}"/>
            </a:ext>
          </a:extLst>
        </xdr:cNvPr>
        <xdr:cNvSpPr txBox="1"/>
      </xdr:nvSpPr>
      <xdr:spPr>
        <a:xfrm>
          <a:off x="4191000" y="35038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3" name="CaixaDeTexto 842">
          <a:extLst>
            <a:ext uri="{FF2B5EF4-FFF2-40B4-BE49-F238E27FC236}">
              <a16:creationId xmlns:a16="http://schemas.microsoft.com/office/drawing/2014/main" id="{9CD9C02A-B7AB-4FBF-BB5C-4025C7F43231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4" name="CaixaDeTexto 843">
          <a:extLst>
            <a:ext uri="{FF2B5EF4-FFF2-40B4-BE49-F238E27FC236}">
              <a16:creationId xmlns:a16="http://schemas.microsoft.com/office/drawing/2014/main" id="{5788DC52-B90F-469D-B3E2-B86775DAF1E3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5" name="CaixaDeTexto 844">
          <a:extLst>
            <a:ext uri="{FF2B5EF4-FFF2-40B4-BE49-F238E27FC236}">
              <a16:creationId xmlns:a16="http://schemas.microsoft.com/office/drawing/2014/main" id="{155B1410-3F26-4F11-B17F-2B15BDB36E88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6" name="CaixaDeTexto 845">
          <a:extLst>
            <a:ext uri="{FF2B5EF4-FFF2-40B4-BE49-F238E27FC236}">
              <a16:creationId xmlns:a16="http://schemas.microsoft.com/office/drawing/2014/main" id="{9E276BEB-7668-4315-B39A-E6E977299E56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7" name="CaixaDeTexto 846">
          <a:extLst>
            <a:ext uri="{FF2B5EF4-FFF2-40B4-BE49-F238E27FC236}">
              <a16:creationId xmlns:a16="http://schemas.microsoft.com/office/drawing/2014/main" id="{3D5CA9DA-1E60-4920-AB36-75A21D55835C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8" name="CaixaDeTexto 847">
          <a:extLst>
            <a:ext uri="{FF2B5EF4-FFF2-40B4-BE49-F238E27FC236}">
              <a16:creationId xmlns:a16="http://schemas.microsoft.com/office/drawing/2014/main" id="{F0A520B3-C98A-4EFB-9D98-C58472DA6C5E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49" name="CaixaDeTexto 848">
          <a:extLst>
            <a:ext uri="{FF2B5EF4-FFF2-40B4-BE49-F238E27FC236}">
              <a16:creationId xmlns:a16="http://schemas.microsoft.com/office/drawing/2014/main" id="{1258C767-599B-4DF5-9103-93A0954F0F94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0" name="CaixaDeTexto 849">
          <a:extLst>
            <a:ext uri="{FF2B5EF4-FFF2-40B4-BE49-F238E27FC236}">
              <a16:creationId xmlns:a16="http://schemas.microsoft.com/office/drawing/2014/main" id="{D36D05B0-F7F3-4DAE-9720-256891E5960F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1" name="CaixaDeTexto 850">
          <a:extLst>
            <a:ext uri="{FF2B5EF4-FFF2-40B4-BE49-F238E27FC236}">
              <a16:creationId xmlns:a16="http://schemas.microsoft.com/office/drawing/2014/main" id="{1320B789-F9F1-4944-AF3B-51895A8ED522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2" name="CaixaDeTexto 851">
          <a:extLst>
            <a:ext uri="{FF2B5EF4-FFF2-40B4-BE49-F238E27FC236}">
              <a16:creationId xmlns:a16="http://schemas.microsoft.com/office/drawing/2014/main" id="{C858A86A-29A0-40D0-AD95-F386E7E42ABE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3" name="CaixaDeTexto 852">
          <a:extLst>
            <a:ext uri="{FF2B5EF4-FFF2-40B4-BE49-F238E27FC236}">
              <a16:creationId xmlns:a16="http://schemas.microsoft.com/office/drawing/2014/main" id="{74F444CF-1D5D-4371-BD65-7D75EFB74237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4" name="CaixaDeTexto 853">
          <a:extLst>
            <a:ext uri="{FF2B5EF4-FFF2-40B4-BE49-F238E27FC236}">
              <a16:creationId xmlns:a16="http://schemas.microsoft.com/office/drawing/2014/main" id="{5E27A3E4-3AE9-4915-A7FA-00F4BD54E4FC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5" name="CaixaDeTexto 854">
          <a:extLst>
            <a:ext uri="{FF2B5EF4-FFF2-40B4-BE49-F238E27FC236}">
              <a16:creationId xmlns:a16="http://schemas.microsoft.com/office/drawing/2014/main" id="{E8E13855-852B-4461-9D6B-D94975AC4DA3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6" name="CaixaDeTexto 855">
          <a:extLst>
            <a:ext uri="{FF2B5EF4-FFF2-40B4-BE49-F238E27FC236}">
              <a16:creationId xmlns:a16="http://schemas.microsoft.com/office/drawing/2014/main" id="{968B798B-FDC1-4E59-A9F0-CBB990B921DC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7" name="CaixaDeTexto 856">
          <a:extLst>
            <a:ext uri="{FF2B5EF4-FFF2-40B4-BE49-F238E27FC236}">
              <a16:creationId xmlns:a16="http://schemas.microsoft.com/office/drawing/2014/main" id="{D5C87465-6AD1-4B8F-AEBB-E4E6699DAC85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8" name="CaixaDeTexto 857">
          <a:extLst>
            <a:ext uri="{FF2B5EF4-FFF2-40B4-BE49-F238E27FC236}">
              <a16:creationId xmlns:a16="http://schemas.microsoft.com/office/drawing/2014/main" id="{B5918CB6-263F-46D2-8774-8E99C4CC8922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59" name="CaixaDeTexto 858">
          <a:extLst>
            <a:ext uri="{FF2B5EF4-FFF2-40B4-BE49-F238E27FC236}">
              <a16:creationId xmlns:a16="http://schemas.microsoft.com/office/drawing/2014/main" id="{0E202F19-755E-44BE-A4FD-5BF2396AC7AF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0" name="CaixaDeTexto 859">
          <a:extLst>
            <a:ext uri="{FF2B5EF4-FFF2-40B4-BE49-F238E27FC236}">
              <a16:creationId xmlns:a16="http://schemas.microsoft.com/office/drawing/2014/main" id="{4556BD84-44C3-42CB-AA35-D69223546800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1" name="CaixaDeTexto 860">
          <a:extLst>
            <a:ext uri="{FF2B5EF4-FFF2-40B4-BE49-F238E27FC236}">
              <a16:creationId xmlns:a16="http://schemas.microsoft.com/office/drawing/2014/main" id="{0CEE2161-066A-42A0-9465-B73278CF566D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2" name="CaixaDeTexto 861">
          <a:extLst>
            <a:ext uri="{FF2B5EF4-FFF2-40B4-BE49-F238E27FC236}">
              <a16:creationId xmlns:a16="http://schemas.microsoft.com/office/drawing/2014/main" id="{06CD1018-81A6-4D8E-A69C-35687A8F5DBE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3" name="CaixaDeTexto 862">
          <a:extLst>
            <a:ext uri="{FF2B5EF4-FFF2-40B4-BE49-F238E27FC236}">
              <a16:creationId xmlns:a16="http://schemas.microsoft.com/office/drawing/2014/main" id="{84FF5E3A-E083-4EA2-9926-C63D69EADD44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4" name="CaixaDeTexto 863">
          <a:extLst>
            <a:ext uri="{FF2B5EF4-FFF2-40B4-BE49-F238E27FC236}">
              <a16:creationId xmlns:a16="http://schemas.microsoft.com/office/drawing/2014/main" id="{6D15CAA7-B8C5-4EBC-815F-336DCA1597A7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5" name="CaixaDeTexto 864">
          <a:extLst>
            <a:ext uri="{FF2B5EF4-FFF2-40B4-BE49-F238E27FC236}">
              <a16:creationId xmlns:a16="http://schemas.microsoft.com/office/drawing/2014/main" id="{F059C032-B657-4E56-B118-1654289E2CDF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6" name="CaixaDeTexto 865">
          <a:extLst>
            <a:ext uri="{FF2B5EF4-FFF2-40B4-BE49-F238E27FC236}">
              <a16:creationId xmlns:a16="http://schemas.microsoft.com/office/drawing/2014/main" id="{8986FB54-FEA8-48D5-9109-646E3251A3C2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7" name="CaixaDeTexto 866">
          <a:extLst>
            <a:ext uri="{FF2B5EF4-FFF2-40B4-BE49-F238E27FC236}">
              <a16:creationId xmlns:a16="http://schemas.microsoft.com/office/drawing/2014/main" id="{77B3141B-0FB4-40AB-9A3C-A5306A2AF4BE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8" name="CaixaDeTexto 867">
          <a:extLst>
            <a:ext uri="{FF2B5EF4-FFF2-40B4-BE49-F238E27FC236}">
              <a16:creationId xmlns:a16="http://schemas.microsoft.com/office/drawing/2014/main" id="{14C9F235-33CE-4528-B2F4-00C021F09793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69" name="CaixaDeTexto 868">
          <a:extLst>
            <a:ext uri="{FF2B5EF4-FFF2-40B4-BE49-F238E27FC236}">
              <a16:creationId xmlns:a16="http://schemas.microsoft.com/office/drawing/2014/main" id="{794460FD-B8C4-4266-A370-DF09EA4EE7AE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70" name="CaixaDeTexto 869">
          <a:extLst>
            <a:ext uri="{FF2B5EF4-FFF2-40B4-BE49-F238E27FC236}">
              <a16:creationId xmlns:a16="http://schemas.microsoft.com/office/drawing/2014/main" id="{6DB584C3-BED9-4664-8B39-39F89BF43F8C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71" name="CaixaDeTexto 870">
          <a:extLst>
            <a:ext uri="{FF2B5EF4-FFF2-40B4-BE49-F238E27FC236}">
              <a16:creationId xmlns:a16="http://schemas.microsoft.com/office/drawing/2014/main" id="{B4CF5D5E-6501-49AA-BA72-E0B8E2FF610A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72" name="CaixaDeTexto 871">
          <a:extLst>
            <a:ext uri="{FF2B5EF4-FFF2-40B4-BE49-F238E27FC236}">
              <a16:creationId xmlns:a16="http://schemas.microsoft.com/office/drawing/2014/main" id="{45EFB92D-0971-4D04-B353-028EBBE6A450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73" name="CaixaDeTexto 872">
          <a:extLst>
            <a:ext uri="{FF2B5EF4-FFF2-40B4-BE49-F238E27FC236}">
              <a16:creationId xmlns:a16="http://schemas.microsoft.com/office/drawing/2014/main" id="{766457B4-DF38-4A38-8F46-134692E84845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74" name="CaixaDeTexto 873">
          <a:extLst>
            <a:ext uri="{FF2B5EF4-FFF2-40B4-BE49-F238E27FC236}">
              <a16:creationId xmlns:a16="http://schemas.microsoft.com/office/drawing/2014/main" id="{95C23E46-4924-4A4B-9D6A-EDDFF49A0089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133</xdr:row>
      <xdr:rowOff>0</xdr:rowOff>
    </xdr:from>
    <xdr:ext cx="184731" cy="264560"/>
    <xdr:sp macro="" textlink="">
      <xdr:nvSpPr>
        <xdr:cNvPr id="875" name="CaixaDeTexto 874">
          <a:extLst>
            <a:ext uri="{FF2B5EF4-FFF2-40B4-BE49-F238E27FC236}">
              <a16:creationId xmlns:a16="http://schemas.microsoft.com/office/drawing/2014/main" id="{F56E1F1C-E080-4C75-B64D-F6D22E28CA77}"/>
            </a:ext>
          </a:extLst>
        </xdr:cNvPr>
        <xdr:cNvSpPr txBox="1"/>
      </xdr:nvSpPr>
      <xdr:spPr>
        <a:xfrm>
          <a:off x="12695731" y="400458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76" name="CaixaDeTexto 875">
          <a:extLst>
            <a:ext uri="{FF2B5EF4-FFF2-40B4-BE49-F238E27FC236}">
              <a16:creationId xmlns:a16="http://schemas.microsoft.com/office/drawing/2014/main" id="{7840485F-56EF-48F3-8A02-451FDF013DB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77" name="CaixaDeTexto 876">
          <a:extLst>
            <a:ext uri="{FF2B5EF4-FFF2-40B4-BE49-F238E27FC236}">
              <a16:creationId xmlns:a16="http://schemas.microsoft.com/office/drawing/2014/main" id="{04D8CE0B-A911-45E0-84DB-0D21D4C7644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78" name="CaixaDeTexto 877">
          <a:extLst>
            <a:ext uri="{FF2B5EF4-FFF2-40B4-BE49-F238E27FC236}">
              <a16:creationId xmlns:a16="http://schemas.microsoft.com/office/drawing/2014/main" id="{E5C24964-7FBA-4A4A-9CCB-A37F977347A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79" name="CaixaDeTexto 878">
          <a:extLst>
            <a:ext uri="{FF2B5EF4-FFF2-40B4-BE49-F238E27FC236}">
              <a16:creationId xmlns:a16="http://schemas.microsoft.com/office/drawing/2014/main" id="{F132CA5C-1B7D-4D84-B2B9-7BFD76E7CFC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0" name="CaixaDeTexto 879">
          <a:extLst>
            <a:ext uri="{FF2B5EF4-FFF2-40B4-BE49-F238E27FC236}">
              <a16:creationId xmlns:a16="http://schemas.microsoft.com/office/drawing/2014/main" id="{DCC31750-96D7-4A63-8D38-36E865E61BE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1" name="CaixaDeTexto 880">
          <a:extLst>
            <a:ext uri="{FF2B5EF4-FFF2-40B4-BE49-F238E27FC236}">
              <a16:creationId xmlns:a16="http://schemas.microsoft.com/office/drawing/2014/main" id="{F13EDE81-3066-459F-A600-7A230571DFA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2" name="CaixaDeTexto 881">
          <a:extLst>
            <a:ext uri="{FF2B5EF4-FFF2-40B4-BE49-F238E27FC236}">
              <a16:creationId xmlns:a16="http://schemas.microsoft.com/office/drawing/2014/main" id="{E3F16676-2B41-4F51-B3ED-8FD9362CF33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3" name="CaixaDeTexto 882">
          <a:extLst>
            <a:ext uri="{FF2B5EF4-FFF2-40B4-BE49-F238E27FC236}">
              <a16:creationId xmlns:a16="http://schemas.microsoft.com/office/drawing/2014/main" id="{EB865A7D-A716-4AFD-808F-A2DA8E1D9E7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4" name="CaixaDeTexto 883">
          <a:extLst>
            <a:ext uri="{FF2B5EF4-FFF2-40B4-BE49-F238E27FC236}">
              <a16:creationId xmlns:a16="http://schemas.microsoft.com/office/drawing/2014/main" id="{60EDC51E-2623-461F-AEE5-E0EB64AF5D9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5" name="CaixaDeTexto 884">
          <a:extLst>
            <a:ext uri="{FF2B5EF4-FFF2-40B4-BE49-F238E27FC236}">
              <a16:creationId xmlns:a16="http://schemas.microsoft.com/office/drawing/2014/main" id="{4C984A29-6E83-46A8-A748-D997FFD271E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6" name="CaixaDeTexto 885">
          <a:extLst>
            <a:ext uri="{FF2B5EF4-FFF2-40B4-BE49-F238E27FC236}">
              <a16:creationId xmlns:a16="http://schemas.microsoft.com/office/drawing/2014/main" id="{9DB08C54-1C1D-4E0F-A442-B3FDBAD7960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7" name="CaixaDeTexto 886">
          <a:extLst>
            <a:ext uri="{FF2B5EF4-FFF2-40B4-BE49-F238E27FC236}">
              <a16:creationId xmlns:a16="http://schemas.microsoft.com/office/drawing/2014/main" id="{1ED4B51D-CB6B-4EBB-94DB-84F20C851B0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8" name="CaixaDeTexto 887">
          <a:extLst>
            <a:ext uri="{FF2B5EF4-FFF2-40B4-BE49-F238E27FC236}">
              <a16:creationId xmlns:a16="http://schemas.microsoft.com/office/drawing/2014/main" id="{D9BA50DD-57BD-453A-942A-43AA36E1FD4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89" name="CaixaDeTexto 888">
          <a:extLst>
            <a:ext uri="{FF2B5EF4-FFF2-40B4-BE49-F238E27FC236}">
              <a16:creationId xmlns:a16="http://schemas.microsoft.com/office/drawing/2014/main" id="{DE3DA079-84DE-46A1-8BE9-03FAA97F62F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0" name="CaixaDeTexto 889">
          <a:extLst>
            <a:ext uri="{FF2B5EF4-FFF2-40B4-BE49-F238E27FC236}">
              <a16:creationId xmlns:a16="http://schemas.microsoft.com/office/drawing/2014/main" id="{C9D2E77A-0AA2-4B76-B624-CEFD483AC01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1" name="CaixaDeTexto 890">
          <a:extLst>
            <a:ext uri="{FF2B5EF4-FFF2-40B4-BE49-F238E27FC236}">
              <a16:creationId xmlns:a16="http://schemas.microsoft.com/office/drawing/2014/main" id="{65117ADF-9D18-4EE4-BB8F-69F22A5856D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2" name="CaixaDeTexto 891">
          <a:extLst>
            <a:ext uri="{FF2B5EF4-FFF2-40B4-BE49-F238E27FC236}">
              <a16:creationId xmlns:a16="http://schemas.microsoft.com/office/drawing/2014/main" id="{74B61D1A-AF9E-4C17-B5A7-B4286A5E908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3" name="CaixaDeTexto 892">
          <a:extLst>
            <a:ext uri="{FF2B5EF4-FFF2-40B4-BE49-F238E27FC236}">
              <a16:creationId xmlns:a16="http://schemas.microsoft.com/office/drawing/2014/main" id="{9DD9A627-C316-47B4-8D79-3CCDAFE9A97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4" name="CaixaDeTexto 893">
          <a:extLst>
            <a:ext uri="{FF2B5EF4-FFF2-40B4-BE49-F238E27FC236}">
              <a16:creationId xmlns:a16="http://schemas.microsoft.com/office/drawing/2014/main" id="{57CFFC43-1D69-4BF7-98FA-574CB18E140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5" name="CaixaDeTexto 894">
          <a:extLst>
            <a:ext uri="{FF2B5EF4-FFF2-40B4-BE49-F238E27FC236}">
              <a16:creationId xmlns:a16="http://schemas.microsoft.com/office/drawing/2014/main" id="{6FBAAA85-C509-4167-BA2C-E4F17101530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6" name="CaixaDeTexto 895">
          <a:extLst>
            <a:ext uri="{FF2B5EF4-FFF2-40B4-BE49-F238E27FC236}">
              <a16:creationId xmlns:a16="http://schemas.microsoft.com/office/drawing/2014/main" id="{57C84A94-76EF-46A6-830D-CFF8D7C1DB9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7" name="CaixaDeTexto 896">
          <a:extLst>
            <a:ext uri="{FF2B5EF4-FFF2-40B4-BE49-F238E27FC236}">
              <a16:creationId xmlns:a16="http://schemas.microsoft.com/office/drawing/2014/main" id="{515E700C-BAB6-4B73-AAFD-8F564916D3C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8" name="CaixaDeTexto 897">
          <a:extLst>
            <a:ext uri="{FF2B5EF4-FFF2-40B4-BE49-F238E27FC236}">
              <a16:creationId xmlns:a16="http://schemas.microsoft.com/office/drawing/2014/main" id="{F470577E-48E4-4F25-9251-818B5C08D34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899" name="CaixaDeTexto 898">
          <a:extLst>
            <a:ext uri="{FF2B5EF4-FFF2-40B4-BE49-F238E27FC236}">
              <a16:creationId xmlns:a16="http://schemas.microsoft.com/office/drawing/2014/main" id="{69DB95BE-480A-45E2-BEB1-D5106790A0C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0" name="CaixaDeTexto 899">
          <a:extLst>
            <a:ext uri="{FF2B5EF4-FFF2-40B4-BE49-F238E27FC236}">
              <a16:creationId xmlns:a16="http://schemas.microsoft.com/office/drawing/2014/main" id="{5604A9C9-36FD-4288-B38F-A0D70BEA290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1" name="CaixaDeTexto 900">
          <a:extLst>
            <a:ext uri="{FF2B5EF4-FFF2-40B4-BE49-F238E27FC236}">
              <a16:creationId xmlns:a16="http://schemas.microsoft.com/office/drawing/2014/main" id="{7EE417E7-46D0-464D-9466-7EAC0E22D0F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2" name="CaixaDeTexto 901">
          <a:extLst>
            <a:ext uri="{FF2B5EF4-FFF2-40B4-BE49-F238E27FC236}">
              <a16:creationId xmlns:a16="http://schemas.microsoft.com/office/drawing/2014/main" id="{E5AB2897-CE6E-418F-9359-1A486595494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3" name="CaixaDeTexto 902">
          <a:extLst>
            <a:ext uri="{FF2B5EF4-FFF2-40B4-BE49-F238E27FC236}">
              <a16:creationId xmlns:a16="http://schemas.microsoft.com/office/drawing/2014/main" id="{F94578D1-5957-4B25-BFC1-B77FED9A165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4" name="CaixaDeTexto 903">
          <a:extLst>
            <a:ext uri="{FF2B5EF4-FFF2-40B4-BE49-F238E27FC236}">
              <a16:creationId xmlns:a16="http://schemas.microsoft.com/office/drawing/2014/main" id="{EC35CF7A-32FF-42AA-9262-9030B79D478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5" name="CaixaDeTexto 904">
          <a:extLst>
            <a:ext uri="{FF2B5EF4-FFF2-40B4-BE49-F238E27FC236}">
              <a16:creationId xmlns:a16="http://schemas.microsoft.com/office/drawing/2014/main" id="{996D4649-317F-4C0B-BBE2-1FB66157271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6" name="CaixaDeTexto 905">
          <a:extLst>
            <a:ext uri="{FF2B5EF4-FFF2-40B4-BE49-F238E27FC236}">
              <a16:creationId xmlns:a16="http://schemas.microsoft.com/office/drawing/2014/main" id="{5F0C76FA-8E97-4AFF-901C-5293AF6976B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7" name="CaixaDeTexto 906">
          <a:extLst>
            <a:ext uri="{FF2B5EF4-FFF2-40B4-BE49-F238E27FC236}">
              <a16:creationId xmlns:a16="http://schemas.microsoft.com/office/drawing/2014/main" id="{BD422FA1-2F79-40BA-BA31-C6618F4B379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134</xdr:row>
      <xdr:rowOff>0</xdr:rowOff>
    </xdr:from>
    <xdr:ext cx="184731" cy="264560"/>
    <xdr:sp macro="" textlink="">
      <xdr:nvSpPr>
        <xdr:cNvPr id="908" name="CaixaDeTexto 907">
          <a:extLst>
            <a:ext uri="{FF2B5EF4-FFF2-40B4-BE49-F238E27FC236}">
              <a16:creationId xmlns:a16="http://schemas.microsoft.com/office/drawing/2014/main" id="{4CAFED04-7D9B-4FE4-8662-BB28F03FE77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09" name="CaixaDeTexto 908">
          <a:extLst>
            <a:ext uri="{FF2B5EF4-FFF2-40B4-BE49-F238E27FC236}">
              <a16:creationId xmlns:a16="http://schemas.microsoft.com/office/drawing/2014/main" id="{E1F0150E-1F6B-4B69-B742-77A54333965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0" name="CaixaDeTexto 909">
          <a:extLst>
            <a:ext uri="{FF2B5EF4-FFF2-40B4-BE49-F238E27FC236}">
              <a16:creationId xmlns:a16="http://schemas.microsoft.com/office/drawing/2014/main" id="{42A2E4EA-C601-4ED2-AAFB-7093610855A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1" name="CaixaDeTexto 910">
          <a:extLst>
            <a:ext uri="{FF2B5EF4-FFF2-40B4-BE49-F238E27FC236}">
              <a16:creationId xmlns:a16="http://schemas.microsoft.com/office/drawing/2014/main" id="{6779AB70-FC3A-4388-8840-048A929B549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2" name="CaixaDeTexto 911">
          <a:extLst>
            <a:ext uri="{FF2B5EF4-FFF2-40B4-BE49-F238E27FC236}">
              <a16:creationId xmlns:a16="http://schemas.microsoft.com/office/drawing/2014/main" id="{DDA1F5BC-56DC-4CAB-BB4A-10E787F2F0A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3" name="CaixaDeTexto 912">
          <a:extLst>
            <a:ext uri="{FF2B5EF4-FFF2-40B4-BE49-F238E27FC236}">
              <a16:creationId xmlns:a16="http://schemas.microsoft.com/office/drawing/2014/main" id="{32449E1C-BC36-4C9D-9A2F-B8774540058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4" name="CaixaDeTexto 913">
          <a:extLst>
            <a:ext uri="{FF2B5EF4-FFF2-40B4-BE49-F238E27FC236}">
              <a16:creationId xmlns:a16="http://schemas.microsoft.com/office/drawing/2014/main" id="{5D4603F5-476A-472C-B8F5-7EB8FE6D0FE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5" name="CaixaDeTexto 914">
          <a:extLst>
            <a:ext uri="{FF2B5EF4-FFF2-40B4-BE49-F238E27FC236}">
              <a16:creationId xmlns:a16="http://schemas.microsoft.com/office/drawing/2014/main" id="{CCFA8A09-9C54-446F-8641-DC1B3FCBD12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6" name="CaixaDeTexto 915">
          <a:extLst>
            <a:ext uri="{FF2B5EF4-FFF2-40B4-BE49-F238E27FC236}">
              <a16:creationId xmlns:a16="http://schemas.microsoft.com/office/drawing/2014/main" id="{7B4386FC-69D6-4B70-9781-E2151B70BFA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7" name="CaixaDeTexto 916">
          <a:extLst>
            <a:ext uri="{FF2B5EF4-FFF2-40B4-BE49-F238E27FC236}">
              <a16:creationId xmlns:a16="http://schemas.microsoft.com/office/drawing/2014/main" id="{465E84FD-D83A-4B2C-8CC8-ACF36A57AAF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8" name="CaixaDeTexto 917">
          <a:extLst>
            <a:ext uri="{FF2B5EF4-FFF2-40B4-BE49-F238E27FC236}">
              <a16:creationId xmlns:a16="http://schemas.microsoft.com/office/drawing/2014/main" id="{229841CF-DE5F-4705-A657-B5B6F4EF3B1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19" name="CaixaDeTexto 918">
          <a:extLst>
            <a:ext uri="{FF2B5EF4-FFF2-40B4-BE49-F238E27FC236}">
              <a16:creationId xmlns:a16="http://schemas.microsoft.com/office/drawing/2014/main" id="{D60F7F1F-5139-4879-8BEE-80B1BD5B8AB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0" name="CaixaDeTexto 919">
          <a:extLst>
            <a:ext uri="{FF2B5EF4-FFF2-40B4-BE49-F238E27FC236}">
              <a16:creationId xmlns:a16="http://schemas.microsoft.com/office/drawing/2014/main" id="{155FEA53-8D0F-4377-8939-33CE76444A0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1" name="CaixaDeTexto 920">
          <a:extLst>
            <a:ext uri="{FF2B5EF4-FFF2-40B4-BE49-F238E27FC236}">
              <a16:creationId xmlns:a16="http://schemas.microsoft.com/office/drawing/2014/main" id="{950AD1B1-1393-45C8-9B57-54F84B1A656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2" name="CaixaDeTexto 921">
          <a:extLst>
            <a:ext uri="{FF2B5EF4-FFF2-40B4-BE49-F238E27FC236}">
              <a16:creationId xmlns:a16="http://schemas.microsoft.com/office/drawing/2014/main" id="{54508C85-84B3-4ECD-B6A1-968DDEAA0DB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3" name="CaixaDeTexto 922">
          <a:extLst>
            <a:ext uri="{FF2B5EF4-FFF2-40B4-BE49-F238E27FC236}">
              <a16:creationId xmlns:a16="http://schemas.microsoft.com/office/drawing/2014/main" id="{805C6110-707D-46B2-9AA9-9AAF2359B32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4" name="CaixaDeTexto 923">
          <a:extLst>
            <a:ext uri="{FF2B5EF4-FFF2-40B4-BE49-F238E27FC236}">
              <a16:creationId xmlns:a16="http://schemas.microsoft.com/office/drawing/2014/main" id="{325BC9AC-8ECF-41B4-ADB4-E1A01899335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5" name="CaixaDeTexto 924">
          <a:extLst>
            <a:ext uri="{FF2B5EF4-FFF2-40B4-BE49-F238E27FC236}">
              <a16:creationId xmlns:a16="http://schemas.microsoft.com/office/drawing/2014/main" id="{6D095CF8-CC6C-450D-9E98-2B4968A64B3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6" name="CaixaDeTexto 925">
          <a:extLst>
            <a:ext uri="{FF2B5EF4-FFF2-40B4-BE49-F238E27FC236}">
              <a16:creationId xmlns:a16="http://schemas.microsoft.com/office/drawing/2014/main" id="{78E7D74D-EDC9-41E3-A42F-4592BEA9C1D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7" name="CaixaDeTexto 926">
          <a:extLst>
            <a:ext uri="{FF2B5EF4-FFF2-40B4-BE49-F238E27FC236}">
              <a16:creationId xmlns:a16="http://schemas.microsoft.com/office/drawing/2014/main" id="{EDE5F901-99EA-4331-8FFA-4946EDAAC04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8" name="CaixaDeTexto 927">
          <a:extLst>
            <a:ext uri="{FF2B5EF4-FFF2-40B4-BE49-F238E27FC236}">
              <a16:creationId xmlns:a16="http://schemas.microsoft.com/office/drawing/2014/main" id="{B46176F0-C1EF-4E8A-AB83-65B88CAC56C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29" name="CaixaDeTexto 928">
          <a:extLst>
            <a:ext uri="{FF2B5EF4-FFF2-40B4-BE49-F238E27FC236}">
              <a16:creationId xmlns:a16="http://schemas.microsoft.com/office/drawing/2014/main" id="{A25F66E3-52AF-4F40-A4F6-E37FE957F7F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0" name="CaixaDeTexto 929">
          <a:extLst>
            <a:ext uri="{FF2B5EF4-FFF2-40B4-BE49-F238E27FC236}">
              <a16:creationId xmlns:a16="http://schemas.microsoft.com/office/drawing/2014/main" id="{BF0C9019-2C7B-4171-AF90-43F9780CA60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1" name="CaixaDeTexto 930">
          <a:extLst>
            <a:ext uri="{FF2B5EF4-FFF2-40B4-BE49-F238E27FC236}">
              <a16:creationId xmlns:a16="http://schemas.microsoft.com/office/drawing/2014/main" id="{F310C453-5181-431D-9FC1-277E1AA037D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2" name="CaixaDeTexto 931">
          <a:extLst>
            <a:ext uri="{FF2B5EF4-FFF2-40B4-BE49-F238E27FC236}">
              <a16:creationId xmlns:a16="http://schemas.microsoft.com/office/drawing/2014/main" id="{F3C3C952-15E5-426B-8B5C-7BD03CC1DEC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3" name="CaixaDeTexto 932">
          <a:extLst>
            <a:ext uri="{FF2B5EF4-FFF2-40B4-BE49-F238E27FC236}">
              <a16:creationId xmlns:a16="http://schemas.microsoft.com/office/drawing/2014/main" id="{526CAF56-F9E5-46AA-BECA-02F217C6559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4" name="CaixaDeTexto 933">
          <a:extLst>
            <a:ext uri="{FF2B5EF4-FFF2-40B4-BE49-F238E27FC236}">
              <a16:creationId xmlns:a16="http://schemas.microsoft.com/office/drawing/2014/main" id="{9A947AF9-6CC0-44CA-BD2E-7E721E864A7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5" name="CaixaDeTexto 934">
          <a:extLst>
            <a:ext uri="{FF2B5EF4-FFF2-40B4-BE49-F238E27FC236}">
              <a16:creationId xmlns:a16="http://schemas.microsoft.com/office/drawing/2014/main" id="{0E3362AC-BF5D-4773-BC7E-16F1DA664AF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6" name="CaixaDeTexto 935">
          <a:extLst>
            <a:ext uri="{FF2B5EF4-FFF2-40B4-BE49-F238E27FC236}">
              <a16:creationId xmlns:a16="http://schemas.microsoft.com/office/drawing/2014/main" id="{4E34210A-C958-42C4-93A4-F8E38A26E76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7" name="CaixaDeTexto 936">
          <a:extLst>
            <a:ext uri="{FF2B5EF4-FFF2-40B4-BE49-F238E27FC236}">
              <a16:creationId xmlns:a16="http://schemas.microsoft.com/office/drawing/2014/main" id="{ECC5B291-2623-48B8-816F-5A61FB75DC9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8" name="CaixaDeTexto 937">
          <a:extLst>
            <a:ext uri="{FF2B5EF4-FFF2-40B4-BE49-F238E27FC236}">
              <a16:creationId xmlns:a16="http://schemas.microsoft.com/office/drawing/2014/main" id="{A56E2151-3B9E-4ECA-B772-0899FD29276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39" name="CaixaDeTexto 938">
          <a:extLst>
            <a:ext uri="{FF2B5EF4-FFF2-40B4-BE49-F238E27FC236}">
              <a16:creationId xmlns:a16="http://schemas.microsoft.com/office/drawing/2014/main" id="{A2F2D11E-7CEB-4317-8D97-15AB48EB1CF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40" name="CaixaDeTexto 939">
          <a:extLst>
            <a:ext uri="{FF2B5EF4-FFF2-40B4-BE49-F238E27FC236}">
              <a16:creationId xmlns:a16="http://schemas.microsoft.com/office/drawing/2014/main" id="{2477F9AA-2471-49AB-BD69-35C9D5F1084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135</xdr:row>
      <xdr:rowOff>0</xdr:rowOff>
    </xdr:from>
    <xdr:ext cx="184731" cy="264560"/>
    <xdr:sp macro="" textlink="">
      <xdr:nvSpPr>
        <xdr:cNvPr id="941" name="CaixaDeTexto 940">
          <a:extLst>
            <a:ext uri="{FF2B5EF4-FFF2-40B4-BE49-F238E27FC236}">
              <a16:creationId xmlns:a16="http://schemas.microsoft.com/office/drawing/2014/main" id="{02E8E883-9D7A-4B98-93A4-972DCDB0159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2" name="CaixaDeTexto 941">
          <a:extLst>
            <a:ext uri="{FF2B5EF4-FFF2-40B4-BE49-F238E27FC236}">
              <a16:creationId xmlns:a16="http://schemas.microsoft.com/office/drawing/2014/main" id="{044A1990-44C0-4C98-8915-8D1FA67825E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3" name="CaixaDeTexto 942">
          <a:extLst>
            <a:ext uri="{FF2B5EF4-FFF2-40B4-BE49-F238E27FC236}">
              <a16:creationId xmlns:a16="http://schemas.microsoft.com/office/drawing/2014/main" id="{922A0532-19D6-4497-AA09-B2A4FF496FC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4" name="CaixaDeTexto 943">
          <a:extLst>
            <a:ext uri="{FF2B5EF4-FFF2-40B4-BE49-F238E27FC236}">
              <a16:creationId xmlns:a16="http://schemas.microsoft.com/office/drawing/2014/main" id="{E82F4DC1-CF7A-48F9-8555-58A75BF43BD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5" name="CaixaDeTexto 944">
          <a:extLst>
            <a:ext uri="{FF2B5EF4-FFF2-40B4-BE49-F238E27FC236}">
              <a16:creationId xmlns:a16="http://schemas.microsoft.com/office/drawing/2014/main" id="{0BE9EB32-3569-4991-8ADC-542901041B0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6" name="CaixaDeTexto 945">
          <a:extLst>
            <a:ext uri="{FF2B5EF4-FFF2-40B4-BE49-F238E27FC236}">
              <a16:creationId xmlns:a16="http://schemas.microsoft.com/office/drawing/2014/main" id="{F1F15E15-F972-4738-A781-6BE346B15A7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7" name="CaixaDeTexto 946">
          <a:extLst>
            <a:ext uri="{FF2B5EF4-FFF2-40B4-BE49-F238E27FC236}">
              <a16:creationId xmlns:a16="http://schemas.microsoft.com/office/drawing/2014/main" id="{758F7B08-ADA8-44F6-98DB-E19AF3FBE12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8" name="CaixaDeTexto 947">
          <a:extLst>
            <a:ext uri="{FF2B5EF4-FFF2-40B4-BE49-F238E27FC236}">
              <a16:creationId xmlns:a16="http://schemas.microsoft.com/office/drawing/2014/main" id="{E9043AE1-2760-41CD-8917-AEF76C09D39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49" name="CaixaDeTexto 948">
          <a:extLst>
            <a:ext uri="{FF2B5EF4-FFF2-40B4-BE49-F238E27FC236}">
              <a16:creationId xmlns:a16="http://schemas.microsoft.com/office/drawing/2014/main" id="{A9A2442D-E232-4EFF-A5A1-2CD96BEA131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0" name="CaixaDeTexto 949">
          <a:extLst>
            <a:ext uri="{FF2B5EF4-FFF2-40B4-BE49-F238E27FC236}">
              <a16:creationId xmlns:a16="http://schemas.microsoft.com/office/drawing/2014/main" id="{898762DA-3ACE-493B-8C08-940905FC492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1" name="CaixaDeTexto 950">
          <a:extLst>
            <a:ext uri="{FF2B5EF4-FFF2-40B4-BE49-F238E27FC236}">
              <a16:creationId xmlns:a16="http://schemas.microsoft.com/office/drawing/2014/main" id="{0AC9E69E-968B-4955-846A-61C9A04D1E3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2" name="CaixaDeTexto 951">
          <a:extLst>
            <a:ext uri="{FF2B5EF4-FFF2-40B4-BE49-F238E27FC236}">
              <a16:creationId xmlns:a16="http://schemas.microsoft.com/office/drawing/2014/main" id="{0A0A935A-6EEF-4A1C-A557-07FB0FFDC4F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3" name="CaixaDeTexto 952">
          <a:extLst>
            <a:ext uri="{FF2B5EF4-FFF2-40B4-BE49-F238E27FC236}">
              <a16:creationId xmlns:a16="http://schemas.microsoft.com/office/drawing/2014/main" id="{6DF22E64-0DB7-474E-AC93-57671E2C5FD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4" name="CaixaDeTexto 953">
          <a:extLst>
            <a:ext uri="{FF2B5EF4-FFF2-40B4-BE49-F238E27FC236}">
              <a16:creationId xmlns:a16="http://schemas.microsoft.com/office/drawing/2014/main" id="{04FB2333-2737-46B9-9BE4-8E96B097715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5" name="CaixaDeTexto 954">
          <a:extLst>
            <a:ext uri="{FF2B5EF4-FFF2-40B4-BE49-F238E27FC236}">
              <a16:creationId xmlns:a16="http://schemas.microsoft.com/office/drawing/2014/main" id="{C5D51C15-0C78-4690-AA53-D84342E5F04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6" name="CaixaDeTexto 955">
          <a:extLst>
            <a:ext uri="{FF2B5EF4-FFF2-40B4-BE49-F238E27FC236}">
              <a16:creationId xmlns:a16="http://schemas.microsoft.com/office/drawing/2014/main" id="{10EFDF05-FEA5-4F76-81A7-A1C877B8944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7" name="CaixaDeTexto 956">
          <a:extLst>
            <a:ext uri="{FF2B5EF4-FFF2-40B4-BE49-F238E27FC236}">
              <a16:creationId xmlns:a16="http://schemas.microsoft.com/office/drawing/2014/main" id="{F8ABC4F7-A90A-4A08-8408-38F8541369B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8" name="CaixaDeTexto 957">
          <a:extLst>
            <a:ext uri="{FF2B5EF4-FFF2-40B4-BE49-F238E27FC236}">
              <a16:creationId xmlns:a16="http://schemas.microsoft.com/office/drawing/2014/main" id="{D8499820-507F-412D-80FF-A536BB21D2E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59" name="CaixaDeTexto 958">
          <a:extLst>
            <a:ext uri="{FF2B5EF4-FFF2-40B4-BE49-F238E27FC236}">
              <a16:creationId xmlns:a16="http://schemas.microsoft.com/office/drawing/2014/main" id="{529D0B60-FD83-4A4E-8D93-E186C5020C4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0" name="CaixaDeTexto 959">
          <a:extLst>
            <a:ext uri="{FF2B5EF4-FFF2-40B4-BE49-F238E27FC236}">
              <a16:creationId xmlns:a16="http://schemas.microsoft.com/office/drawing/2014/main" id="{2994FF0A-25DF-42A9-8F44-EFB1D7E276B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1" name="CaixaDeTexto 960">
          <a:extLst>
            <a:ext uri="{FF2B5EF4-FFF2-40B4-BE49-F238E27FC236}">
              <a16:creationId xmlns:a16="http://schemas.microsoft.com/office/drawing/2014/main" id="{2A4298F0-A585-46EA-9B06-75A4DF158E2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2" name="CaixaDeTexto 961">
          <a:extLst>
            <a:ext uri="{FF2B5EF4-FFF2-40B4-BE49-F238E27FC236}">
              <a16:creationId xmlns:a16="http://schemas.microsoft.com/office/drawing/2014/main" id="{7F184500-9EFF-436F-8AAC-F6DB02FFD69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3" name="CaixaDeTexto 962">
          <a:extLst>
            <a:ext uri="{FF2B5EF4-FFF2-40B4-BE49-F238E27FC236}">
              <a16:creationId xmlns:a16="http://schemas.microsoft.com/office/drawing/2014/main" id="{5938D614-9670-4E04-B6AA-CCDBA56BFD8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4" name="CaixaDeTexto 963">
          <a:extLst>
            <a:ext uri="{FF2B5EF4-FFF2-40B4-BE49-F238E27FC236}">
              <a16:creationId xmlns:a16="http://schemas.microsoft.com/office/drawing/2014/main" id="{21394B06-44DE-4BA9-ADCD-1B0395C1D4A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5" name="CaixaDeTexto 964">
          <a:extLst>
            <a:ext uri="{FF2B5EF4-FFF2-40B4-BE49-F238E27FC236}">
              <a16:creationId xmlns:a16="http://schemas.microsoft.com/office/drawing/2014/main" id="{78C99E1D-7590-4252-9DB7-6CA5C27307E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6" name="CaixaDeTexto 965">
          <a:extLst>
            <a:ext uri="{FF2B5EF4-FFF2-40B4-BE49-F238E27FC236}">
              <a16:creationId xmlns:a16="http://schemas.microsoft.com/office/drawing/2014/main" id="{472137D8-3E73-4150-8F95-A9DC7548504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7" name="CaixaDeTexto 966">
          <a:extLst>
            <a:ext uri="{FF2B5EF4-FFF2-40B4-BE49-F238E27FC236}">
              <a16:creationId xmlns:a16="http://schemas.microsoft.com/office/drawing/2014/main" id="{F6CC746A-08FD-46AF-A3DF-6DD7DD11131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8" name="CaixaDeTexto 967">
          <a:extLst>
            <a:ext uri="{FF2B5EF4-FFF2-40B4-BE49-F238E27FC236}">
              <a16:creationId xmlns:a16="http://schemas.microsoft.com/office/drawing/2014/main" id="{E21066BC-7749-42FD-A800-9E14D06FD67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69" name="CaixaDeTexto 968">
          <a:extLst>
            <a:ext uri="{FF2B5EF4-FFF2-40B4-BE49-F238E27FC236}">
              <a16:creationId xmlns:a16="http://schemas.microsoft.com/office/drawing/2014/main" id="{80E5BB3D-C7C7-4B54-966F-AAA71353F7E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70" name="CaixaDeTexto 969">
          <a:extLst>
            <a:ext uri="{FF2B5EF4-FFF2-40B4-BE49-F238E27FC236}">
              <a16:creationId xmlns:a16="http://schemas.microsoft.com/office/drawing/2014/main" id="{9C2BD8DE-C8C8-4431-938E-D26E81594AA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71" name="CaixaDeTexto 970">
          <a:extLst>
            <a:ext uri="{FF2B5EF4-FFF2-40B4-BE49-F238E27FC236}">
              <a16:creationId xmlns:a16="http://schemas.microsoft.com/office/drawing/2014/main" id="{2FC1414F-F72A-4538-BD57-04C79C432E0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72" name="CaixaDeTexto 971">
          <a:extLst>
            <a:ext uri="{FF2B5EF4-FFF2-40B4-BE49-F238E27FC236}">
              <a16:creationId xmlns:a16="http://schemas.microsoft.com/office/drawing/2014/main" id="{63782A6B-2514-477F-AE7F-3B5800D668B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73" name="CaixaDeTexto 972">
          <a:extLst>
            <a:ext uri="{FF2B5EF4-FFF2-40B4-BE49-F238E27FC236}">
              <a16:creationId xmlns:a16="http://schemas.microsoft.com/office/drawing/2014/main" id="{B6301DD8-0FE2-4690-9531-324092E2E7E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136</xdr:row>
      <xdr:rowOff>0</xdr:rowOff>
    </xdr:from>
    <xdr:ext cx="184731" cy="264560"/>
    <xdr:sp macro="" textlink="">
      <xdr:nvSpPr>
        <xdr:cNvPr id="974" name="CaixaDeTexto 973">
          <a:extLst>
            <a:ext uri="{FF2B5EF4-FFF2-40B4-BE49-F238E27FC236}">
              <a16:creationId xmlns:a16="http://schemas.microsoft.com/office/drawing/2014/main" id="{CBC7932D-1C42-4374-84CC-96019721B34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75" name="CaixaDeTexto 974">
          <a:extLst>
            <a:ext uri="{FF2B5EF4-FFF2-40B4-BE49-F238E27FC236}">
              <a16:creationId xmlns:a16="http://schemas.microsoft.com/office/drawing/2014/main" id="{9D226FBB-D7E0-47EA-9F50-FB13AF4E144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76" name="CaixaDeTexto 975">
          <a:extLst>
            <a:ext uri="{FF2B5EF4-FFF2-40B4-BE49-F238E27FC236}">
              <a16:creationId xmlns:a16="http://schemas.microsoft.com/office/drawing/2014/main" id="{764923CF-0C04-44F2-9AA2-1AFF3DA6E2A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77" name="CaixaDeTexto 976">
          <a:extLst>
            <a:ext uri="{FF2B5EF4-FFF2-40B4-BE49-F238E27FC236}">
              <a16:creationId xmlns:a16="http://schemas.microsoft.com/office/drawing/2014/main" id="{ED3390AF-AE3C-4B22-A50A-7535662BD42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78" name="CaixaDeTexto 977">
          <a:extLst>
            <a:ext uri="{FF2B5EF4-FFF2-40B4-BE49-F238E27FC236}">
              <a16:creationId xmlns:a16="http://schemas.microsoft.com/office/drawing/2014/main" id="{E859276B-04B2-41DD-8C5B-9B81C8799E4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79" name="CaixaDeTexto 978">
          <a:extLst>
            <a:ext uri="{FF2B5EF4-FFF2-40B4-BE49-F238E27FC236}">
              <a16:creationId xmlns:a16="http://schemas.microsoft.com/office/drawing/2014/main" id="{89368319-4E56-4DFE-BD4B-2306E14EC49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0" name="CaixaDeTexto 979">
          <a:extLst>
            <a:ext uri="{FF2B5EF4-FFF2-40B4-BE49-F238E27FC236}">
              <a16:creationId xmlns:a16="http://schemas.microsoft.com/office/drawing/2014/main" id="{46F405ED-2B73-4058-A55E-D1FB2220220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1" name="CaixaDeTexto 980">
          <a:extLst>
            <a:ext uri="{FF2B5EF4-FFF2-40B4-BE49-F238E27FC236}">
              <a16:creationId xmlns:a16="http://schemas.microsoft.com/office/drawing/2014/main" id="{44D84DAC-82F0-490E-93CB-FB5FCB876FD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2" name="CaixaDeTexto 981">
          <a:extLst>
            <a:ext uri="{FF2B5EF4-FFF2-40B4-BE49-F238E27FC236}">
              <a16:creationId xmlns:a16="http://schemas.microsoft.com/office/drawing/2014/main" id="{A844FF52-C0A4-4CD1-B01C-D3D9C10A60E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3" name="CaixaDeTexto 982">
          <a:extLst>
            <a:ext uri="{FF2B5EF4-FFF2-40B4-BE49-F238E27FC236}">
              <a16:creationId xmlns:a16="http://schemas.microsoft.com/office/drawing/2014/main" id="{CCA52293-EB06-49A0-9001-EB4040BB1F5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4" name="CaixaDeTexto 983">
          <a:extLst>
            <a:ext uri="{FF2B5EF4-FFF2-40B4-BE49-F238E27FC236}">
              <a16:creationId xmlns:a16="http://schemas.microsoft.com/office/drawing/2014/main" id="{ED7FED2A-8925-410D-8351-9C404EF3879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5" name="CaixaDeTexto 984">
          <a:extLst>
            <a:ext uri="{FF2B5EF4-FFF2-40B4-BE49-F238E27FC236}">
              <a16:creationId xmlns:a16="http://schemas.microsoft.com/office/drawing/2014/main" id="{AE85F53D-A242-42FA-8A23-2CBC4A6376D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6" name="CaixaDeTexto 985">
          <a:extLst>
            <a:ext uri="{FF2B5EF4-FFF2-40B4-BE49-F238E27FC236}">
              <a16:creationId xmlns:a16="http://schemas.microsoft.com/office/drawing/2014/main" id="{497A691E-B4BD-4196-B837-408AB141F9B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7" name="CaixaDeTexto 986">
          <a:extLst>
            <a:ext uri="{FF2B5EF4-FFF2-40B4-BE49-F238E27FC236}">
              <a16:creationId xmlns:a16="http://schemas.microsoft.com/office/drawing/2014/main" id="{0837AEBF-01FE-448A-BE43-BE2CA6DDB42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8" name="CaixaDeTexto 987">
          <a:extLst>
            <a:ext uri="{FF2B5EF4-FFF2-40B4-BE49-F238E27FC236}">
              <a16:creationId xmlns:a16="http://schemas.microsoft.com/office/drawing/2014/main" id="{39432ED7-7D6B-41ED-8917-3437A50CD1A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89" name="CaixaDeTexto 988">
          <a:extLst>
            <a:ext uri="{FF2B5EF4-FFF2-40B4-BE49-F238E27FC236}">
              <a16:creationId xmlns:a16="http://schemas.microsoft.com/office/drawing/2014/main" id="{3CD15001-59F1-42B4-8CD6-EDEEB515BB9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0" name="CaixaDeTexto 989">
          <a:extLst>
            <a:ext uri="{FF2B5EF4-FFF2-40B4-BE49-F238E27FC236}">
              <a16:creationId xmlns:a16="http://schemas.microsoft.com/office/drawing/2014/main" id="{F54D93C7-F870-4FF1-8833-39F8012BB4C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1" name="CaixaDeTexto 990">
          <a:extLst>
            <a:ext uri="{FF2B5EF4-FFF2-40B4-BE49-F238E27FC236}">
              <a16:creationId xmlns:a16="http://schemas.microsoft.com/office/drawing/2014/main" id="{8E83C667-E2BF-400E-8F50-6DA43919EA2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2" name="CaixaDeTexto 991">
          <a:extLst>
            <a:ext uri="{FF2B5EF4-FFF2-40B4-BE49-F238E27FC236}">
              <a16:creationId xmlns:a16="http://schemas.microsoft.com/office/drawing/2014/main" id="{FDBB2EF8-B782-471B-AEB5-A29B1761748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3" name="CaixaDeTexto 992">
          <a:extLst>
            <a:ext uri="{FF2B5EF4-FFF2-40B4-BE49-F238E27FC236}">
              <a16:creationId xmlns:a16="http://schemas.microsoft.com/office/drawing/2014/main" id="{3BDB185D-3849-493D-BAF2-14376BECCCB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4" name="CaixaDeTexto 993">
          <a:extLst>
            <a:ext uri="{FF2B5EF4-FFF2-40B4-BE49-F238E27FC236}">
              <a16:creationId xmlns:a16="http://schemas.microsoft.com/office/drawing/2014/main" id="{080C7EA1-F786-4F9A-8BB8-CCEDD0C6443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5" name="CaixaDeTexto 994">
          <a:extLst>
            <a:ext uri="{FF2B5EF4-FFF2-40B4-BE49-F238E27FC236}">
              <a16:creationId xmlns:a16="http://schemas.microsoft.com/office/drawing/2014/main" id="{663A8604-9089-43DE-97B5-96726253E6A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6" name="CaixaDeTexto 995">
          <a:extLst>
            <a:ext uri="{FF2B5EF4-FFF2-40B4-BE49-F238E27FC236}">
              <a16:creationId xmlns:a16="http://schemas.microsoft.com/office/drawing/2014/main" id="{E6EF1FFD-D585-477F-8C26-93DC66C5733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7" name="CaixaDeTexto 996">
          <a:extLst>
            <a:ext uri="{FF2B5EF4-FFF2-40B4-BE49-F238E27FC236}">
              <a16:creationId xmlns:a16="http://schemas.microsoft.com/office/drawing/2014/main" id="{92003F03-8D7D-418B-BC5B-D1AE6203436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8" name="CaixaDeTexto 997">
          <a:extLst>
            <a:ext uri="{FF2B5EF4-FFF2-40B4-BE49-F238E27FC236}">
              <a16:creationId xmlns:a16="http://schemas.microsoft.com/office/drawing/2014/main" id="{F959DEA5-D655-43D3-8E36-4ACAD842908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999" name="CaixaDeTexto 998">
          <a:extLst>
            <a:ext uri="{FF2B5EF4-FFF2-40B4-BE49-F238E27FC236}">
              <a16:creationId xmlns:a16="http://schemas.microsoft.com/office/drawing/2014/main" id="{1D5BCFF6-4883-479C-B0FC-B917AC71065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0" name="CaixaDeTexto 999">
          <a:extLst>
            <a:ext uri="{FF2B5EF4-FFF2-40B4-BE49-F238E27FC236}">
              <a16:creationId xmlns:a16="http://schemas.microsoft.com/office/drawing/2014/main" id="{EC400121-5391-42E4-9EC0-E84E27A2969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1" name="CaixaDeTexto 1000">
          <a:extLst>
            <a:ext uri="{FF2B5EF4-FFF2-40B4-BE49-F238E27FC236}">
              <a16:creationId xmlns:a16="http://schemas.microsoft.com/office/drawing/2014/main" id="{CA44FD99-5358-468C-9453-2BD57FC88F3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2" name="CaixaDeTexto 1001">
          <a:extLst>
            <a:ext uri="{FF2B5EF4-FFF2-40B4-BE49-F238E27FC236}">
              <a16:creationId xmlns:a16="http://schemas.microsoft.com/office/drawing/2014/main" id="{87A53D72-0BAE-4304-A9A2-387C1736EE2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3" name="CaixaDeTexto 1002">
          <a:extLst>
            <a:ext uri="{FF2B5EF4-FFF2-40B4-BE49-F238E27FC236}">
              <a16:creationId xmlns:a16="http://schemas.microsoft.com/office/drawing/2014/main" id="{A932B268-3038-4959-AFFB-6483C99CDCB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4" name="CaixaDeTexto 1003">
          <a:extLst>
            <a:ext uri="{FF2B5EF4-FFF2-40B4-BE49-F238E27FC236}">
              <a16:creationId xmlns:a16="http://schemas.microsoft.com/office/drawing/2014/main" id="{8480E4DE-BB34-443C-87C9-6A99475B44C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5" name="CaixaDeTexto 1004">
          <a:extLst>
            <a:ext uri="{FF2B5EF4-FFF2-40B4-BE49-F238E27FC236}">
              <a16:creationId xmlns:a16="http://schemas.microsoft.com/office/drawing/2014/main" id="{15238842-C32B-44BB-BAD9-7005132A865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6" name="CaixaDeTexto 1005">
          <a:extLst>
            <a:ext uri="{FF2B5EF4-FFF2-40B4-BE49-F238E27FC236}">
              <a16:creationId xmlns:a16="http://schemas.microsoft.com/office/drawing/2014/main" id="{CE4E82C4-0FA8-47A8-9C10-83F5D5AF9F4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137</xdr:row>
      <xdr:rowOff>0</xdr:rowOff>
    </xdr:from>
    <xdr:ext cx="184731" cy="264560"/>
    <xdr:sp macro="" textlink="">
      <xdr:nvSpPr>
        <xdr:cNvPr id="1007" name="CaixaDeTexto 1006">
          <a:extLst>
            <a:ext uri="{FF2B5EF4-FFF2-40B4-BE49-F238E27FC236}">
              <a16:creationId xmlns:a16="http://schemas.microsoft.com/office/drawing/2014/main" id="{49F68192-A5B8-4F97-95FD-012FC4C236C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08" name="CaixaDeTexto 1007">
          <a:extLst>
            <a:ext uri="{FF2B5EF4-FFF2-40B4-BE49-F238E27FC236}">
              <a16:creationId xmlns:a16="http://schemas.microsoft.com/office/drawing/2014/main" id="{5F1EB0BE-9361-469F-A2C2-5F6F7523BDB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09" name="CaixaDeTexto 1008">
          <a:extLst>
            <a:ext uri="{FF2B5EF4-FFF2-40B4-BE49-F238E27FC236}">
              <a16:creationId xmlns:a16="http://schemas.microsoft.com/office/drawing/2014/main" id="{9070262F-60A3-4A8F-8A7E-AEDCFC4FD5B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0" name="CaixaDeTexto 1009">
          <a:extLst>
            <a:ext uri="{FF2B5EF4-FFF2-40B4-BE49-F238E27FC236}">
              <a16:creationId xmlns:a16="http://schemas.microsoft.com/office/drawing/2014/main" id="{9B66D120-3BEA-483D-B7F2-D183C476820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1" name="CaixaDeTexto 1010">
          <a:extLst>
            <a:ext uri="{FF2B5EF4-FFF2-40B4-BE49-F238E27FC236}">
              <a16:creationId xmlns:a16="http://schemas.microsoft.com/office/drawing/2014/main" id="{EE5C889D-08EF-46A1-A8F6-E4E30F67DF0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2" name="CaixaDeTexto 1011">
          <a:extLst>
            <a:ext uri="{FF2B5EF4-FFF2-40B4-BE49-F238E27FC236}">
              <a16:creationId xmlns:a16="http://schemas.microsoft.com/office/drawing/2014/main" id="{BE89FB70-567F-4AD3-8D44-9DDD823830F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3" name="CaixaDeTexto 1012">
          <a:extLst>
            <a:ext uri="{FF2B5EF4-FFF2-40B4-BE49-F238E27FC236}">
              <a16:creationId xmlns:a16="http://schemas.microsoft.com/office/drawing/2014/main" id="{126771DD-8D85-40A7-AA37-312EB09AAB4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4" name="CaixaDeTexto 1013">
          <a:extLst>
            <a:ext uri="{FF2B5EF4-FFF2-40B4-BE49-F238E27FC236}">
              <a16:creationId xmlns:a16="http://schemas.microsoft.com/office/drawing/2014/main" id="{88BF51A8-4E5D-4544-B726-C7022F94088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5" name="CaixaDeTexto 1014">
          <a:extLst>
            <a:ext uri="{FF2B5EF4-FFF2-40B4-BE49-F238E27FC236}">
              <a16:creationId xmlns:a16="http://schemas.microsoft.com/office/drawing/2014/main" id="{D456B3AF-C745-4361-9C0A-6A7AE8D6DA8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6" name="CaixaDeTexto 1015">
          <a:extLst>
            <a:ext uri="{FF2B5EF4-FFF2-40B4-BE49-F238E27FC236}">
              <a16:creationId xmlns:a16="http://schemas.microsoft.com/office/drawing/2014/main" id="{1D6018FA-B54C-4939-8CE4-D84603A96D5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7" name="CaixaDeTexto 1016">
          <a:extLst>
            <a:ext uri="{FF2B5EF4-FFF2-40B4-BE49-F238E27FC236}">
              <a16:creationId xmlns:a16="http://schemas.microsoft.com/office/drawing/2014/main" id="{4C05D905-C748-4047-9728-469205AF74D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8" name="CaixaDeTexto 1017">
          <a:extLst>
            <a:ext uri="{FF2B5EF4-FFF2-40B4-BE49-F238E27FC236}">
              <a16:creationId xmlns:a16="http://schemas.microsoft.com/office/drawing/2014/main" id="{EB1DB3FC-E56F-4411-94DF-6A4F40498B7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19" name="CaixaDeTexto 1018">
          <a:extLst>
            <a:ext uri="{FF2B5EF4-FFF2-40B4-BE49-F238E27FC236}">
              <a16:creationId xmlns:a16="http://schemas.microsoft.com/office/drawing/2014/main" id="{35F7EFCA-A5FA-4269-A2C5-961871C8C8F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0" name="CaixaDeTexto 1019">
          <a:extLst>
            <a:ext uri="{FF2B5EF4-FFF2-40B4-BE49-F238E27FC236}">
              <a16:creationId xmlns:a16="http://schemas.microsoft.com/office/drawing/2014/main" id="{E869331F-A184-4ED3-A813-5AD190CD0936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1" name="CaixaDeTexto 1020">
          <a:extLst>
            <a:ext uri="{FF2B5EF4-FFF2-40B4-BE49-F238E27FC236}">
              <a16:creationId xmlns:a16="http://schemas.microsoft.com/office/drawing/2014/main" id="{F983C3DF-8DF2-42DE-8B2D-472C70C4919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2" name="CaixaDeTexto 1021">
          <a:extLst>
            <a:ext uri="{FF2B5EF4-FFF2-40B4-BE49-F238E27FC236}">
              <a16:creationId xmlns:a16="http://schemas.microsoft.com/office/drawing/2014/main" id="{F1DCF517-16BF-4AE8-B8BC-BA5FC83DD4B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3" name="CaixaDeTexto 1022">
          <a:extLst>
            <a:ext uri="{FF2B5EF4-FFF2-40B4-BE49-F238E27FC236}">
              <a16:creationId xmlns:a16="http://schemas.microsoft.com/office/drawing/2014/main" id="{AA23002C-BC31-4F4E-8EBB-7495767A4F4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4" name="CaixaDeTexto 1023">
          <a:extLst>
            <a:ext uri="{FF2B5EF4-FFF2-40B4-BE49-F238E27FC236}">
              <a16:creationId xmlns:a16="http://schemas.microsoft.com/office/drawing/2014/main" id="{4ACE697D-5AF4-45C3-89E1-FE203DDE777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5" name="CaixaDeTexto 1024">
          <a:extLst>
            <a:ext uri="{FF2B5EF4-FFF2-40B4-BE49-F238E27FC236}">
              <a16:creationId xmlns:a16="http://schemas.microsoft.com/office/drawing/2014/main" id="{2AE4B522-E151-4E1E-B904-3C377712367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6" name="CaixaDeTexto 1025">
          <a:extLst>
            <a:ext uri="{FF2B5EF4-FFF2-40B4-BE49-F238E27FC236}">
              <a16:creationId xmlns:a16="http://schemas.microsoft.com/office/drawing/2014/main" id="{6921E309-5D35-4DE1-88A0-B697EB63606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7" name="CaixaDeTexto 1026">
          <a:extLst>
            <a:ext uri="{FF2B5EF4-FFF2-40B4-BE49-F238E27FC236}">
              <a16:creationId xmlns:a16="http://schemas.microsoft.com/office/drawing/2014/main" id="{1CA45E29-5116-4401-BE12-B5FC54A11AE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8" name="CaixaDeTexto 1027">
          <a:extLst>
            <a:ext uri="{FF2B5EF4-FFF2-40B4-BE49-F238E27FC236}">
              <a16:creationId xmlns:a16="http://schemas.microsoft.com/office/drawing/2014/main" id="{8D6BC2DF-8EEB-49EE-B8D3-861AC4998FA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29" name="CaixaDeTexto 1028">
          <a:extLst>
            <a:ext uri="{FF2B5EF4-FFF2-40B4-BE49-F238E27FC236}">
              <a16:creationId xmlns:a16="http://schemas.microsoft.com/office/drawing/2014/main" id="{BF7D90A2-34B4-4663-A4EE-565DC37C0B7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0" name="CaixaDeTexto 1029">
          <a:extLst>
            <a:ext uri="{FF2B5EF4-FFF2-40B4-BE49-F238E27FC236}">
              <a16:creationId xmlns:a16="http://schemas.microsoft.com/office/drawing/2014/main" id="{5284EC0E-E974-4A8A-B70B-1B961C733FE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1" name="CaixaDeTexto 1030">
          <a:extLst>
            <a:ext uri="{FF2B5EF4-FFF2-40B4-BE49-F238E27FC236}">
              <a16:creationId xmlns:a16="http://schemas.microsoft.com/office/drawing/2014/main" id="{B92BA8C3-B871-4ED2-A938-69622765A4F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2" name="CaixaDeTexto 1031">
          <a:extLst>
            <a:ext uri="{FF2B5EF4-FFF2-40B4-BE49-F238E27FC236}">
              <a16:creationId xmlns:a16="http://schemas.microsoft.com/office/drawing/2014/main" id="{2F8E60CC-BE7B-4355-8993-2301D4DBACD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3" name="CaixaDeTexto 1032">
          <a:extLst>
            <a:ext uri="{FF2B5EF4-FFF2-40B4-BE49-F238E27FC236}">
              <a16:creationId xmlns:a16="http://schemas.microsoft.com/office/drawing/2014/main" id="{74A3AFB7-9347-4EEA-93A3-2CA62D527BF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4" name="CaixaDeTexto 1033">
          <a:extLst>
            <a:ext uri="{FF2B5EF4-FFF2-40B4-BE49-F238E27FC236}">
              <a16:creationId xmlns:a16="http://schemas.microsoft.com/office/drawing/2014/main" id="{F0E91EE5-63BF-4786-B049-7F0E8182A3A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5" name="CaixaDeTexto 1034">
          <a:extLst>
            <a:ext uri="{FF2B5EF4-FFF2-40B4-BE49-F238E27FC236}">
              <a16:creationId xmlns:a16="http://schemas.microsoft.com/office/drawing/2014/main" id="{D2DDF80A-92C0-46CD-86F1-258D33FC427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6" name="CaixaDeTexto 1035">
          <a:extLst>
            <a:ext uri="{FF2B5EF4-FFF2-40B4-BE49-F238E27FC236}">
              <a16:creationId xmlns:a16="http://schemas.microsoft.com/office/drawing/2014/main" id="{95F79A79-AC3A-4C95-ACC3-05666CF84BD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7" name="CaixaDeTexto 1036">
          <a:extLst>
            <a:ext uri="{FF2B5EF4-FFF2-40B4-BE49-F238E27FC236}">
              <a16:creationId xmlns:a16="http://schemas.microsoft.com/office/drawing/2014/main" id="{0D88C2E2-AFB8-4EE2-8959-4F71C2D1FC1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8" name="CaixaDeTexto 1037">
          <a:extLst>
            <a:ext uri="{FF2B5EF4-FFF2-40B4-BE49-F238E27FC236}">
              <a16:creationId xmlns:a16="http://schemas.microsoft.com/office/drawing/2014/main" id="{7145D15F-6FBE-48AA-9EE3-D2C8D665274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39" name="CaixaDeTexto 1038">
          <a:extLst>
            <a:ext uri="{FF2B5EF4-FFF2-40B4-BE49-F238E27FC236}">
              <a16:creationId xmlns:a16="http://schemas.microsoft.com/office/drawing/2014/main" id="{4FA91C24-F840-4A5E-873A-5FD28ECB118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139</xdr:row>
      <xdr:rowOff>0</xdr:rowOff>
    </xdr:from>
    <xdr:ext cx="184731" cy="264560"/>
    <xdr:sp macro="" textlink="">
      <xdr:nvSpPr>
        <xdr:cNvPr id="1040" name="CaixaDeTexto 1039">
          <a:extLst>
            <a:ext uri="{FF2B5EF4-FFF2-40B4-BE49-F238E27FC236}">
              <a16:creationId xmlns:a16="http://schemas.microsoft.com/office/drawing/2014/main" id="{CB53F16C-BD3C-4DAD-B108-C708BC871DE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1" name="CaixaDeTexto 1040">
          <a:extLst>
            <a:ext uri="{FF2B5EF4-FFF2-40B4-BE49-F238E27FC236}">
              <a16:creationId xmlns:a16="http://schemas.microsoft.com/office/drawing/2014/main" id="{59F78015-FBC7-4D42-BC50-0EE90B71443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2" name="CaixaDeTexto 1041">
          <a:extLst>
            <a:ext uri="{FF2B5EF4-FFF2-40B4-BE49-F238E27FC236}">
              <a16:creationId xmlns:a16="http://schemas.microsoft.com/office/drawing/2014/main" id="{8B7B0245-2A15-4F10-8F0A-76EBAB3D727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3" name="CaixaDeTexto 1042">
          <a:extLst>
            <a:ext uri="{FF2B5EF4-FFF2-40B4-BE49-F238E27FC236}">
              <a16:creationId xmlns:a16="http://schemas.microsoft.com/office/drawing/2014/main" id="{0063C779-81E1-4A1B-A812-B34B5E4DD7D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4" name="CaixaDeTexto 1043">
          <a:extLst>
            <a:ext uri="{FF2B5EF4-FFF2-40B4-BE49-F238E27FC236}">
              <a16:creationId xmlns:a16="http://schemas.microsoft.com/office/drawing/2014/main" id="{918B1C57-1DDE-4C17-B69B-579B4153873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5" name="CaixaDeTexto 1044">
          <a:extLst>
            <a:ext uri="{FF2B5EF4-FFF2-40B4-BE49-F238E27FC236}">
              <a16:creationId xmlns:a16="http://schemas.microsoft.com/office/drawing/2014/main" id="{C058019C-266C-4EBD-9389-5B990540659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6" name="CaixaDeTexto 1045">
          <a:extLst>
            <a:ext uri="{FF2B5EF4-FFF2-40B4-BE49-F238E27FC236}">
              <a16:creationId xmlns:a16="http://schemas.microsoft.com/office/drawing/2014/main" id="{9DED494E-A38B-410B-9941-B5B70C3FB6D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7" name="CaixaDeTexto 1046">
          <a:extLst>
            <a:ext uri="{FF2B5EF4-FFF2-40B4-BE49-F238E27FC236}">
              <a16:creationId xmlns:a16="http://schemas.microsoft.com/office/drawing/2014/main" id="{135C2676-B59E-4730-B384-8DC4988AF02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8" name="CaixaDeTexto 1047">
          <a:extLst>
            <a:ext uri="{FF2B5EF4-FFF2-40B4-BE49-F238E27FC236}">
              <a16:creationId xmlns:a16="http://schemas.microsoft.com/office/drawing/2014/main" id="{E0375848-0253-47C4-973A-2FCFCE12D113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49" name="CaixaDeTexto 1048">
          <a:extLst>
            <a:ext uri="{FF2B5EF4-FFF2-40B4-BE49-F238E27FC236}">
              <a16:creationId xmlns:a16="http://schemas.microsoft.com/office/drawing/2014/main" id="{362BDAE6-61F2-4FDC-A6E2-A11D1C838C8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0" name="CaixaDeTexto 1049">
          <a:extLst>
            <a:ext uri="{FF2B5EF4-FFF2-40B4-BE49-F238E27FC236}">
              <a16:creationId xmlns:a16="http://schemas.microsoft.com/office/drawing/2014/main" id="{E7C1DAC8-1D88-44B8-BB21-1576463616F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1" name="CaixaDeTexto 1050">
          <a:extLst>
            <a:ext uri="{FF2B5EF4-FFF2-40B4-BE49-F238E27FC236}">
              <a16:creationId xmlns:a16="http://schemas.microsoft.com/office/drawing/2014/main" id="{EEAACA2A-9CFB-4D81-887A-A3BB925949B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2" name="CaixaDeTexto 1051">
          <a:extLst>
            <a:ext uri="{FF2B5EF4-FFF2-40B4-BE49-F238E27FC236}">
              <a16:creationId xmlns:a16="http://schemas.microsoft.com/office/drawing/2014/main" id="{E7BDB97E-66B1-4ACE-B243-218ED5855E5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3" name="CaixaDeTexto 1052">
          <a:extLst>
            <a:ext uri="{FF2B5EF4-FFF2-40B4-BE49-F238E27FC236}">
              <a16:creationId xmlns:a16="http://schemas.microsoft.com/office/drawing/2014/main" id="{6C71CE7D-0AD5-4B88-ACE0-D4728CFD12E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4" name="CaixaDeTexto 1053">
          <a:extLst>
            <a:ext uri="{FF2B5EF4-FFF2-40B4-BE49-F238E27FC236}">
              <a16:creationId xmlns:a16="http://schemas.microsoft.com/office/drawing/2014/main" id="{1A1E1C71-B3D7-455F-AF66-EBC5F47994B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5" name="CaixaDeTexto 1054">
          <a:extLst>
            <a:ext uri="{FF2B5EF4-FFF2-40B4-BE49-F238E27FC236}">
              <a16:creationId xmlns:a16="http://schemas.microsoft.com/office/drawing/2014/main" id="{FB297864-AABC-4A3A-AFB3-E4D9382E0AE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6" name="CaixaDeTexto 1055">
          <a:extLst>
            <a:ext uri="{FF2B5EF4-FFF2-40B4-BE49-F238E27FC236}">
              <a16:creationId xmlns:a16="http://schemas.microsoft.com/office/drawing/2014/main" id="{F6993C35-3DC8-43A3-9EEC-8184FAF6872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7" name="CaixaDeTexto 1056">
          <a:extLst>
            <a:ext uri="{FF2B5EF4-FFF2-40B4-BE49-F238E27FC236}">
              <a16:creationId xmlns:a16="http://schemas.microsoft.com/office/drawing/2014/main" id="{AE6335FE-7B11-4B25-855E-366C8329824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8" name="CaixaDeTexto 1057">
          <a:extLst>
            <a:ext uri="{FF2B5EF4-FFF2-40B4-BE49-F238E27FC236}">
              <a16:creationId xmlns:a16="http://schemas.microsoft.com/office/drawing/2014/main" id="{9EB5014F-B241-4EBF-9709-DF5916FDFAB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59" name="CaixaDeTexto 1058">
          <a:extLst>
            <a:ext uri="{FF2B5EF4-FFF2-40B4-BE49-F238E27FC236}">
              <a16:creationId xmlns:a16="http://schemas.microsoft.com/office/drawing/2014/main" id="{EB0F9843-D2FE-44D0-AA96-A8F5956CA3B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0" name="CaixaDeTexto 1059">
          <a:extLst>
            <a:ext uri="{FF2B5EF4-FFF2-40B4-BE49-F238E27FC236}">
              <a16:creationId xmlns:a16="http://schemas.microsoft.com/office/drawing/2014/main" id="{4E4F1301-916A-40A1-9FD9-01EE5C56780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1" name="CaixaDeTexto 1060">
          <a:extLst>
            <a:ext uri="{FF2B5EF4-FFF2-40B4-BE49-F238E27FC236}">
              <a16:creationId xmlns:a16="http://schemas.microsoft.com/office/drawing/2014/main" id="{A21BA02B-F42D-400B-B728-C7F3158D3D1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2" name="CaixaDeTexto 1061">
          <a:extLst>
            <a:ext uri="{FF2B5EF4-FFF2-40B4-BE49-F238E27FC236}">
              <a16:creationId xmlns:a16="http://schemas.microsoft.com/office/drawing/2014/main" id="{96BE4931-42AC-4CD0-A944-71A3EB5474D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3" name="CaixaDeTexto 1062">
          <a:extLst>
            <a:ext uri="{FF2B5EF4-FFF2-40B4-BE49-F238E27FC236}">
              <a16:creationId xmlns:a16="http://schemas.microsoft.com/office/drawing/2014/main" id="{727D0CB6-46D5-4474-980B-BB78DC6BB5F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4" name="CaixaDeTexto 1063">
          <a:extLst>
            <a:ext uri="{FF2B5EF4-FFF2-40B4-BE49-F238E27FC236}">
              <a16:creationId xmlns:a16="http://schemas.microsoft.com/office/drawing/2014/main" id="{9736D97D-8C1D-42BB-A864-E45F56CF087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5" name="CaixaDeTexto 1064">
          <a:extLst>
            <a:ext uri="{FF2B5EF4-FFF2-40B4-BE49-F238E27FC236}">
              <a16:creationId xmlns:a16="http://schemas.microsoft.com/office/drawing/2014/main" id="{F3CAB2FF-18EE-4F20-BD96-61BA5A31879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6" name="CaixaDeTexto 1065">
          <a:extLst>
            <a:ext uri="{FF2B5EF4-FFF2-40B4-BE49-F238E27FC236}">
              <a16:creationId xmlns:a16="http://schemas.microsoft.com/office/drawing/2014/main" id="{DA25DE64-77C1-4C6A-BA4A-66A7A3F74E6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7" name="CaixaDeTexto 1066">
          <a:extLst>
            <a:ext uri="{FF2B5EF4-FFF2-40B4-BE49-F238E27FC236}">
              <a16:creationId xmlns:a16="http://schemas.microsoft.com/office/drawing/2014/main" id="{CE33934F-0B76-44AE-8191-356D75648E1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8" name="CaixaDeTexto 1067">
          <a:extLst>
            <a:ext uri="{FF2B5EF4-FFF2-40B4-BE49-F238E27FC236}">
              <a16:creationId xmlns:a16="http://schemas.microsoft.com/office/drawing/2014/main" id="{CC5B10CC-9677-493F-842C-7BC96C5713F5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69" name="CaixaDeTexto 1068">
          <a:extLst>
            <a:ext uri="{FF2B5EF4-FFF2-40B4-BE49-F238E27FC236}">
              <a16:creationId xmlns:a16="http://schemas.microsoft.com/office/drawing/2014/main" id="{BA05C01C-34EF-40F8-BAFD-EEC1542F9D6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70" name="CaixaDeTexto 1069">
          <a:extLst>
            <a:ext uri="{FF2B5EF4-FFF2-40B4-BE49-F238E27FC236}">
              <a16:creationId xmlns:a16="http://schemas.microsoft.com/office/drawing/2014/main" id="{84927FF8-E52C-4CDF-8062-126F6F0D1C9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71" name="CaixaDeTexto 1070">
          <a:extLst>
            <a:ext uri="{FF2B5EF4-FFF2-40B4-BE49-F238E27FC236}">
              <a16:creationId xmlns:a16="http://schemas.microsoft.com/office/drawing/2014/main" id="{C3E024A9-D65B-4D80-8BB8-223E5DECE3DE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72" name="CaixaDeTexto 1071">
          <a:extLst>
            <a:ext uri="{FF2B5EF4-FFF2-40B4-BE49-F238E27FC236}">
              <a16:creationId xmlns:a16="http://schemas.microsoft.com/office/drawing/2014/main" id="{7E188B27-0F73-460A-A539-FEB612E7D75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140</xdr:row>
      <xdr:rowOff>0</xdr:rowOff>
    </xdr:from>
    <xdr:ext cx="184731" cy="264560"/>
    <xdr:sp macro="" textlink="">
      <xdr:nvSpPr>
        <xdr:cNvPr id="1073" name="CaixaDeTexto 1072">
          <a:extLst>
            <a:ext uri="{FF2B5EF4-FFF2-40B4-BE49-F238E27FC236}">
              <a16:creationId xmlns:a16="http://schemas.microsoft.com/office/drawing/2014/main" id="{FE130B4C-AFDA-4129-AF72-BEF2BDE9620A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74" name="CaixaDeTexto 1073">
          <a:extLst>
            <a:ext uri="{FF2B5EF4-FFF2-40B4-BE49-F238E27FC236}">
              <a16:creationId xmlns:a16="http://schemas.microsoft.com/office/drawing/2014/main" id="{C91C0350-A9EB-486F-B81C-7D960C16C4F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75" name="CaixaDeTexto 1074">
          <a:extLst>
            <a:ext uri="{FF2B5EF4-FFF2-40B4-BE49-F238E27FC236}">
              <a16:creationId xmlns:a16="http://schemas.microsoft.com/office/drawing/2014/main" id="{77C7B07C-45B9-47F4-B4C8-557792A9CAE9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76" name="CaixaDeTexto 1075">
          <a:extLst>
            <a:ext uri="{FF2B5EF4-FFF2-40B4-BE49-F238E27FC236}">
              <a16:creationId xmlns:a16="http://schemas.microsoft.com/office/drawing/2014/main" id="{17DE961C-7266-490B-B69D-C6604348FFB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77" name="CaixaDeTexto 1076">
          <a:extLst>
            <a:ext uri="{FF2B5EF4-FFF2-40B4-BE49-F238E27FC236}">
              <a16:creationId xmlns:a16="http://schemas.microsoft.com/office/drawing/2014/main" id="{11597A67-934E-41E8-99BD-7EA0AF23090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78" name="CaixaDeTexto 1077">
          <a:extLst>
            <a:ext uri="{FF2B5EF4-FFF2-40B4-BE49-F238E27FC236}">
              <a16:creationId xmlns:a16="http://schemas.microsoft.com/office/drawing/2014/main" id="{84810FD4-4622-4D04-9754-089ACCC89FB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79" name="CaixaDeTexto 1078">
          <a:extLst>
            <a:ext uri="{FF2B5EF4-FFF2-40B4-BE49-F238E27FC236}">
              <a16:creationId xmlns:a16="http://schemas.microsoft.com/office/drawing/2014/main" id="{3AED2CF9-0DAA-4DF2-A2C1-88E9D9DBFAF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0" name="CaixaDeTexto 1079">
          <a:extLst>
            <a:ext uri="{FF2B5EF4-FFF2-40B4-BE49-F238E27FC236}">
              <a16:creationId xmlns:a16="http://schemas.microsoft.com/office/drawing/2014/main" id="{4497D8D3-97D2-4E13-8FF0-62B8BD96FCD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1" name="CaixaDeTexto 1080">
          <a:extLst>
            <a:ext uri="{FF2B5EF4-FFF2-40B4-BE49-F238E27FC236}">
              <a16:creationId xmlns:a16="http://schemas.microsoft.com/office/drawing/2014/main" id="{D3D9D00F-6CE7-42B8-938A-372655E6AB5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2" name="CaixaDeTexto 1081">
          <a:extLst>
            <a:ext uri="{FF2B5EF4-FFF2-40B4-BE49-F238E27FC236}">
              <a16:creationId xmlns:a16="http://schemas.microsoft.com/office/drawing/2014/main" id="{6AB7EE25-1CE7-426A-9370-50098DA8D9D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3" name="CaixaDeTexto 1082">
          <a:extLst>
            <a:ext uri="{FF2B5EF4-FFF2-40B4-BE49-F238E27FC236}">
              <a16:creationId xmlns:a16="http://schemas.microsoft.com/office/drawing/2014/main" id="{557B5CD5-956F-40DD-A88D-13912171FB0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4" name="CaixaDeTexto 1083">
          <a:extLst>
            <a:ext uri="{FF2B5EF4-FFF2-40B4-BE49-F238E27FC236}">
              <a16:creationId xmlns:a16="http://schemas.microsoft.com/office/drawing/2014/main" id="{ABCC4888-05A7-4791-A16C-6C52AAB0CCB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5" name="CaixaDeTexto 1084">
          <a:extLst>
            <a:ext uri="{FF2B5EF4-FFF2-40B4-BE49-F238E27FC236}">
              <a16:creationId xmlns:a16="http://schemas.microsoft.com/office/drawing/2014/main" id="{61710C10-191A-4F08-97F0-21DC43D8999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6" name="CaixaDeTexto 1085">
          <a:extLst>
            <a:ext uri="{FF2B5EF4-FFF2-40B4-BE49-F238E27FC236}">
              <a16:creationId xmlns:a16="http://schemas.microsoft.com/office/drawing/2014/main" id="{34A97BC9-5851-4E29-9570-40F110604A2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7" name="CaixaDeTexto 1086">
          <a:extLst>
            <a:ext uri="{FF2B5EF4-FFF2-40B4-BE49-F238E27FC236}">
              <a16:creationId xmlns:a16="http://schemas.microsoft.com/office/drawing/2014/main" id="{D4C600B6-7DDC-48CA-878C-4B2957CFC98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8" name="CaixaDeTexto 1087">
          <a:extLst>
            <a:ext uri="{FF2B5EF4-FFF2-40B4-BE49-F238E27FC236}">
              <a16:creationId xmlns:a16="http://schemas.microsoft.com/office/drawing/2014/main" id="{C67C80ED-8BD5-465C-B8F0-A576846876C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89" name="CaixaDeTexto 1088">
          <a:extLst>
            <a:ext uri="{FF2B5EF4-FFF2-40B4-BE49-F238E27FC236}">
              <a16:creationId xmlns:a16="http://schemas.microsoft.com/office/drawing/2014/main" id="{B734C4F4-6134-42E9-BF53-DFD142EE4BB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0" name="CaixaDeTexto 1089">
          <a:extLst>
            <a:ext uri="{FF2B5EF4-FFF2-40B4-BE49-F238E27FC236}">
              <a16:creationId xmlns:a16="http://schemas.microsoft.com/office/drawing/2014/main" id="{8080356A-6E7E-4071-A767-D85A558AA1C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1" name="CaixaDeTexto 1090">
          <a:extLst>
            <a:ext uri="{FF2B5EF4-FFF2-40B4-BE49-F238E27FC236}">
              <a16:creationId xmlns:a16="http://schemas.microsoft.com/office/drawing/2014/main" id="{EBCE3740-4A16-4B9D-ACCC-A45F072E438B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2" name="CaixaDeTexto 1091">
          <a:extLst>
            <a:ext uri="{FF2B5EF4-FFF2-40B4-BE49-F238E27FC236}">
              <a16:creationId xmlns:a16="http://schemas.microsoft.com/office/drawing/2014/main" id="{71D6587B-AD4B-4C6A-A3D9-B038208D95F7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3" name="CaixaDeTexto 1092">
          <a:extLst>
            <a:ext uri="{FF2B5EF4-FFF2-40B4-BE49-F238E27FC236}">
              <a16:creationId xmlns:a16="http://schemas.microsoft.com/office/drawing/2014/main" id="{2F58D058-E3CF-44FC-AAC5-D4CCB45FD84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4" name="CaixaDeTexto 1093">
          <a:extLst>
            <a:ext uri="{FF2B5EF4-FFF2-40B4-BE49-F238E27FC236}">
              <a16:creationId xmlns:a16="http://schemas.microsoft.com/office/drawing/2014/main" id="{3A2F0763-5031-4CB6-B5A1-28633D77274D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5" name="CaixaDeTexto 1094">
          <a:extLst>
            <a:ext uri="{FF2B5EF4-FFF2-40B4-BE49-F238E27FC236}">
              <a16:creationId xmlns:a16="http://schemas.microsoft.com/office/drawing/2014/main" id="{B804ACE1-850C-495E-BFEF-E1A806C40A04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6" name="CaixaDeTexto 1095">
          <a:extLst>
            <a:ext uri="{FF2B5EF4-FFF2-40B4-BE49-F238E27FC236}">
              <a16:creationId xmlns:a16="http://schemas.microsoft.com/office/drawing/2014/main" id="{D2D3F88C-FE6A-4951-A9D0-765F80C893F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7" name="CaixaDeTexto 1096">
          <a:extLst>
            <a:ext uri="{FF2B5EF4-FFF2-40B4-BE49-F238E27FC236}">
              <a16:creationId xmlns:a16="http://schemas.microsoft.com/office/drawing/2014/main" id="{2A2D3049-9B2E-4E30-83C4-8C6BD27992BC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8" name="CaixaDeTexto 1097">
          <a:extLst>
            <a:ext uri="{FF2B5EF4-FFF2-40B4-BE49-F238E27FC236}">
              <a16:creationId xmlns:a16="http://schemas.microsoft.com/office/drawing/2014/main" id="{E897AD9F-034A-40D2-BAC7-3E2455BC849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099" name="CaixaDeTexto 1098">
          <a:extLst>
            <a:ext uri="{FF2B5EF4-FFF2-40B4-BE49-F238E27FC236}">
              <a16:creationId xmlns:a16="http://schemas.microsoft.com/office/drawing/2014/main" id="{56B7C1A2-78F1-4A44-80EA-E3B33F4F82E1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0" name="CaixaDeTexto 1099">
          <a:extLst>
            <a:ext uri="{FF2B5EF4-FFF2-40B4-BE49-F238E27FC236}">
              <a16:creationId xmlns:a16="http://schemas.microsoft.com/office/drawing/2014/main" id="{126554E2-CADD-4C27-8F0C-D10A7496764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1" name="CaixaDeTexto 1100">
          <a:extLst>
            <a:ext uri="{FF2B5EF4-FFF2-40B4-BE49-F238E27FC236}">
              <a16:creationId xmlns:a16="http://schemas.microsoft.com/office/drawing/2014/main" id="{B79BA70C-5361-4FAC-A114-C3601F22C4B8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2" name="CaixaDeTexto 1101">
          <a:extLst>
            <a:ext uri="{FF2B5EF4-FFF2-40B4-BE49-F238E27FC236}">
              <a16:creationId xmlns:a16="http://schemas.microsoft.com/office/drawing/2014/main" id="{5C25185D-BF41-40B7-91B9-C8BC1F2AA9B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3" name="CaixaDeTexto 1102">
          <a:extLst>
            <a:ext uri="{FF2B5EF4-FFF2-40B4-BE49-F238E27FC236}">
              <a16:creationId xmlns:a16="http://schemas.microsoft.com/office/drawing/2014/main" id="{08443F24-78AA-4435-B646-989F35D7F90F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4" name="CaixaDeTexto 1103">
          <a:extLst>
            <a:ext uri="{FF2B5EF4-FFF2-40B4-BE49-F238E27FC236}">
              <a16:creationId xmlns:a16="http://schemas.microsoft.com/office/drawing/2014/main" id="{56AF7FD8-1CFF-4299-8174-B2B152056D7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5" name="CaixaDeTexto 1104">
          <a:extLst>
            <a:ext uri="{FF2B5EF4-FFF2-40B4-BE49-F238E27FC236}">
              <a16:creationId xmlns:a16="http://schemas.microsoft.com/office/drawing/2014/main" id="{F252B486-1087-4327-9361-4C87EC2FD142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993588</xdr:colOff>
      <xdr:row>141</xdr:row>
      <xdr:rowOff>0</xdr:rowOff>
    </xdr:from>
    <xdr:ext cx="184731" cy="264560"/>
    <xdr:sp macro="" textlink="">
      <xdr:nvSpPr>
        <xdr:cNvPr id="1106" name="CaixaDeTexto 1105">
          <a:extLst>
            <a:ext uri="{FF2B5EF4-FFF2-40B4-BE49-F238E27FC236}">
              <a16:creationId xmlns:a16="http://schemas.microsoft.com/office/drawing/2014/main" id="{41522AE7-53D7-468E-A419-3649E69620A0}"/>
            </a:ext>
          </a:extLst>
        </xdr:cNvPr>
        <xdr:cNvSpPr txBox="1"/>
      </xdr:nvSpPr>
      <xdr:spPr>
        <a:xfrm>
          <a:off x="12695731" y="35759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414619</xdr:colOff>
      <xdr:row>154</xdr:row>
      <xdr:rowOff>96381</xdr:rowOff>
    </xdr:from>
    <xdr:ext cx="1008529" cy="350793"/>
    <xdr:pic>
      <xdr:nvPicPr>
        <xdr:cNvPr id="1107" name="Imagem 1106">
          <a:extLst>
            <a:ext uri="{FF2B5EF4-FFF2-40B4-BE49-F238E27FC236}">
              <a16:creationId xmlns:a16="http://schemas.microsoft.com/office/drawing/2014/main" id="{9FC71C55-2E30-4A72-818E-F10295364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8266" y="33669205"/>
          <a:ext cx="1008529" cy="35079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44824</xdr:rowOff>
    </xdr:from>
    <xdr:ext cx="461227" cy="465142"/>
    <xdr:pic>
      <xdr:nvPicPr>
        <xdr:cNvPr id="1109" name="Imagem 1108">
          <a:extLst>
            <a:ext uri="{FF2B5EF4-FFF2-40B4-BE49-F238E27FC236}">
              <a16:creationId xmlns:a16="http://schemas.microsoft.com/office/drawing/2014/main" id="{FA9B3B8D-521C-48F8-924C-1C4B0D338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15979589"/>
          <a:ext cx="461227" cy="465142"/>
        </a:xfrm>
        <a:prstGeom prst="rect">
          <a:avLst/>
        </a:prstGeom>
      </xdr:spPr>
    </xdr:pic>
    <xdr:clientData/>
  </xdr:oneCellAnchor>
  <xdr:oneCellAnchor>
    <xdr:from>
      <xdr:col>9</xdr:col>
      <xdr:colOff>470647</xdr:colOff>
      <xdr:row>73</xdr:row>
      <xdr:rowOff>112059</xdr:rowOff>
    </xdr:from>
    <xdr:ext cx="1008529" cy="350793"/>
    <xdr:pic>
      <xdr:nvPicPr>
        <xdr:cNvPr id="1110" name="Imagem 1109">
          <a:extLst>
            <a:ext uri="{FF2B5EF4-FFF2-40B4-BE49-F238E27FC236}">
              <a16:creationId xmlns:a16="http://schemas.microsoft.com/office/drawing/2014/main" id="{AC1401BA-B51E-4419-B67E-223D339CE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4294" y="16046824"/>
          <a:ext cx="1008529" cy="350793"/>
        </a:xfrm>
        <a:prstGeom prst="rect">
          <a:avLst/>
        </a:prstGeom>
      </xdr:spPr>
    </xdr:pic>
    <xdr:clientData/>
  </xdr:oneCellAnchor>
  <xdr:oneCellAnchor>
    <xdr:from>
      <xdr:col>1</xdr:col>
      <xdr:colOff>53298</xdr:colOff>
      <xdr:row>79</xdr:row>
      <xdr:rowOff>147104</xdr:rowOff>
    </xdr:from>
    <xdr:ext cx="2624082" cy="880635"/>
    <xdr:pic>
      <xdr:nvPicPr>
        <xdr:cNvPr id="2" name="Imagem 1">
          <a:extLst>
            <a:ext uri="{FF2B5EF4-FFF2-40B4-BE49-F238E27FC236}">
              <a16:creationId xmlns:a16="http://schemas.microsoft.com/office/drawing/2014/main" id="{F5D4DD15-9C17-4D89-B4F7-319F59A047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89" b="22025"/>
        <a:stretch/>
      </xdr:blipFill>
      <xdr:spPr>
        <a:xfrm>
          <a:off x="277416" y="472075"/>
          <a:ext cx="2624082" cy="88063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652381</xdr:colOff>
      <xdr:row>33</xdr:row>
      <xdr:rowOff>130171</xdr:rowOff>
    </xdr:from>
    <xdr:ext cx="1060378" cy="368828"/>
    <xdr:pic>
      <xdr:nvPicPr>
        <xdr:cNvPr id="2" name="Imagem 1">
          <a:extLst>
            <a:ext uri="{FF2B5EF4-FFF2-40B4-BE49-F238E27FC236}">
              <a16:creationId xmlns:a16="http://schemas.microsoft.com/office/drawing/2014/main" id="{7008DD85-1FD8-4627-9558-531A4C7A1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4201" y="7635871"/>
          <a:ext cx="1060378" cy="368828"/>
        </a:xfrm>
        <a:prstGeom prst="rect">
          <a:avLst/>
        </a:prstGeom>
      </xdr:spPr>
    </xdr:pic>
    <xdr:clientData/>
  </xdr:oneCellAnchor>
  <xdr:twoCellAnchor editAs="oneCell">
    <xdr:from>
      <xdr:col>0</xdr:col>
      <xdr:colOff>193221</xdr:colOff>
      <xdr:row>33</xdr:row>
      <xdr:rowOff>96761</xdr:rowOff>
    </xdr:from>
    <xdr:to>
      <xdr:col>1</xdr:col>
      <xdr:colOff>439238</xdr:colOff>
      <xdr:row>35</xdr:row>
      <xdr:rowOff>171375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97B0B3-BB4F-4FF8-B2A0-39C14DD37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9" t="8000" r="12326" b="7778"/>
        <a:stretch/>
      </xdr:blipFill>
      <xdr:spPr>
        <a:xfrm>
          <a:off x="193221" y="4679647"/>
          <a:ext cx="438150" cy="513852"/>
        </a:xfrm>
        <a:prstGeom prst="rect">
          <a:avLst/>
        </a:prstGeom>
      </xdr:spPr>
    </xdr:pic>
    <xdr:clientData/>
  </xdr:twoCellAnchor>
  <xdr:oneCellAnchor>
    <xdr:from>
      <xdr:col>1</xdr:col>
      <xdr:colOff>97971</xdr:colOff>
      <xdr:row>2</xdr:row>
      <xdr:rowOff>97972</xdr:rowOff>
    </xdr:from>
    <xdr:ext cx="2303016" cy="772886"/>
    <xdr:pic>
      <xdr:nvPicPr>
        <xdr:cNvPr id="4" name="Imagem 3">
          <a:extLst>
            <a:ext uri="{FF2B5EF4-FFF2-40B4-BE49-F238E27FC236}">
              <a16:creationId xmlns:a16="http://schemas.microsoft.com/office/drawing/2014/main" id="{8291006E-6654-47B1-9046-7E728D84D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89" b="22025"/>
        <a:stretch/>
      </xdr:blipFill>
      <xdr:spPr>
        <a:xfrm>
          <a:off x="293914" y="446315"/>
          <a:ext cx="2303016" cy="77288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0B-68_HgRcw5sYmV0SkVvR01HSWs\1.IMPLEMENTA&#199;&#213;ES\TEX%20CAPITAL\MS_0363\3.%20Solu&#231;&#245;es\3.%20Processo%20Assessoria\2.%20Registros%20e%20documentos\R.OP.001_Diagn&#243;stico%20Financeiro_v1.0.xlsm" TargetMode="External"/><Relationship Id="rId1" Type="http://schemas.openxmlformats.org/officeDocument/2006/relationships/externalLinkPath" Target="R.OP.001_Diagn&#243;stico%20Financeiro_v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Itens"/>
      <sheetName val="BaseSafra"/>
      <sheetName val="Cadastro"/>
      <sheetName val="Safra"/>
      <sheetName val="Crédito"/>
      <sheetName val="Planilha1"/>
      <sheetName val="Endividamento"/>
      <sheetName val="Fornecedores"/>
      <sheetName val="Passivos"/>
      <sheetName val="Ativos"/>
      <sheetName val="Overview"/>
      <sheetName val="Diagnóstico"/>
      <sheetName val="DRE"/>
      <sheetName val="RELATÓRIO"/>
      <sheetName val="BANCO"/>
    </sheetNames>
    <sheetDataSet>
      <sheetData sheetId="0"/>
      <sheetData sheetId="1">
        <row r="367">
          <cell r="E367"/>
        </row>
        <row r="389">
          <cell r="E389"/>
        </row>
        <row r="411">
          <cell r="E411"/>
        </row>
        <row r="433">
          <cell r="E433"/>
        </row>
        <row r="455">
          <cell r="E455"/>
        </row>
        <row r="477">
          <cell r="E477"/>
        </row>
        <row r="499">
          <cell r="E499"/>
        </row>
        <row r="521">
          <cell r="E521"/>
        </row>
        <row r="543">
          <cell r="E543"/>
        </row>
        <row r="565">
          <cell r="E565"/>
        </row>
        <row r="587">
          <cell r="E587"/>
        </row>
        <row r="609">
          <cell r="E609"/>
        </row>
        <row r="631">
          <cell r="E63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/4.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reativecommons.org/licenses/by-nc/4.0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reativecommons.org/licenses/by-nc/4.0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reativecommons.org/licenses/by-nc/4.0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creativecommons.org/licenses/by-nc/4.0/" TargetMode="External"/><Relationship Id="rId1" Type="http://schemas.openxmlformats.org/officeDocument/2006/relationships/hyperlink" Target="https://creativecommons.org/licenses/by-nc/4.0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creativecommons.org/licenses/by-nc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2BFD-47ED-480E-8644-3CFE8B3B621E}">
  <sheetPr>
    <tabColor theme="8" tint="0.39997558519241921"/>
    <pageSetUpPr fitToPage="1"/>
  </sheetPr>
  <dimension ref="A1:AF112"/>
  <sheetViews>
    <sheetView showGridLines="0" zoomScale="55" zoomScaleNormal="55" zoomScaleSheetLayoutView="55" workbookViewId="0">
      <selection activeCell="C14" sqref="C14:C34"/>
    </sheetView>
  </sheetViews>
  <sheetFormatPr defaultColWidth="12.88671875" defaultRowHeight="15" customHeight="1" x14ac:dyDescent="0.25"/>
  <cols>
    <col min="1" max="2" width="3.33203125" style="18" customWidth="1"/>
    <col min="3" max="3" width="10.6640625" style="18" customWidth="1"/>
    <col min="4" max="5" width="16.33203125" style="18" customWidth="1"/>
    <col min="6" max="17" width="19.109375" style="18" customWidth="1"/>
    <col min="18" max="18" width="3.109375" style="18" customWidth="1"/>
    <col min="19" max="19" width="23.109375" style="18" customWidth="1"/>
    <col min="20" max="21" width="3.33203125" style="18" customWidth="1"/>
    <col min="22" max="16384" width="12.88671875" style="18"/>
  </cols>
  <sheetData>
    <row r="1" spans="1:21" s="3" customFormat="1" ht="15" customHeight="1" x14ac:dyDescent="0.25">
      <c r="A1" s="37"/>
      <c r="B1" s="1"/>
      <c r="C1" s="25"/>
      <c r="D1" s="25"/>
      <c r="E1" s="3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9"/>
    </row>
    <row r="2" spans="1:21" s="3" customFormat="1" ht="10.5" customHeight="1" x14ac:dyDescent="0.25">
      <c r="A2" s="40"/>
      <c r="B2" s="314"/>
      <c r="C2" s="315"/>
      <c r="D2" s="315"/>
      <c r="E2" s="316"/>
      <c r="F2" s="295" t="s">
        <v>116</v>
      </c>
      <c r="G2" s="296"/>
      <c r="H2" s="296"/>
      <c r="I2" s="296"/>
      <c r="J2" s="296"/>
      <c r="K2" s="296"/>
      <c r="L2" s="296"/>
      <c r="M2" s="296"/>
      <c r="N2" s="296"/>
      <c r="O2" s="296"/>
      <c r="P2" s="297"/>
      <c r="Q2" s="282" t="s">
        <v>1</v>
      </c>
      <c r="R2" s="283"/>
      <c r="S2" s="283"/>
      <c r="T2" s="284"/>
      <c r="U2" s="36"/>
    </row>
    <row r="3" spans="1:21" s="3" customFormat="1" ht="18" customHeight="1" x14ac:dyDescent="0.25">
      <c r="A3" s="40"/>
      <c r="B3" s="317"/>
      <c r="C3" s="318"/>
      <c r="D3" s="318"/>
      <c r="E3" s="319"/>
      <c r="F3" s="298"/>
      <c r="G3" s="299"/>
      <c r="H3" s="299"/>
      <c r="I3" s="299"/>
      <c r="J3" s="299"/>
      <c r="K3" s="299"/>
      <c r="L3" s="299"/>
      <c r="M3" s="299"/>
      <c r="N3" s="299"/>
      <c r="O3" s="299"/>
      <c r="P3" s="300"/>
      <c r="Q3" s="304" t="s">
        <v>114</v>
      </c>
      <c r="R3" s="305"/>
      <c r="S3" s="305"/>
      <c r="T3" s="306"/>
      <c r="U3" s="36"/>
    </row>
    <row r="4" spans="1:21" s="3" customFormat="1" ht="10.5" customHeight="1" x14ac:dyDescent="0.25">
      <c r="A4" s="40"/>
      <c r="B4" s="317"/>
      <c r="C4" s="318"/>
      <c r="D4" s="318"/>
      <c r="E4" s="319"/>
      <c r="F4" s="298"/>
      <c r="G4" s="299"/>
      <c r="H4" s="299"/>
      <c r="I4" s="299"/>
      <c r="J4" s="299"/>
      <c r="K4" s="299"/>
      <c r="L4" s="299"/>
      <c r="M4" s="299"/>
      <c r="N4" s="299"/>
      <c r="O4" s="299"/>
      <c r="P4" s="300"/>
      <c r="Q4" s="282" t="s">
        <v>2</v>
      </c>
      <c r="R4" s="283"/>
      <c r="S4" s="283"/>
      <c r="T4" s="284"/>
      <c r="U4" s="36"/>
    </row>
    <row r="5" spans="1:21" s="3" customFormat="1" ht="18" customHeight="1" x14ac:dyDescent="0.25">
      <c r="A5" s="40"/>
      <c r="B5" s="317"/>
      <c r="C5" s="318"/>
      <c r="D5" s="318"/>
      <c r="E5" s="319"/>
      <c r="F5" s="298"/>
      <c r="G5" s="299"/>
      <c r="H5" s="299"/>
      <c r="I5" s="299"/>
      <c r="J5" s="299"/>
      <c r="K5" s="299"/>
      <c r="L5" s="299"/>
      <c r="M5" s="299"/>
      <c r="N5" s="299"/>
      <c r="O5" s="299"/>
      <c r="P5" s="300"/>
      <c r="Q5" s="304" t="s">
        <v>171</v>
      </c>
      <c r="R5" s="305"/>
      <c r="S5" s="305"/>
      <c r="T5" s="306"/>
      <c r="U5" s="36"/>
    </row>
    <row r="6" spans="1:21" s="3" customFormat="1" ht="10.5" customHeight="1" x14ac:dyDescent="0.25">
      <c r="A6" s="40"/>
      <c r="B6" s="317"/>
      <c r="C6" s="318"/>
      <c r="D6" s="318"/>
      <c r="E6" s="319"/>
      <c r="F6" s="298"/>
      <c r="G6" s="299"/>
      <c r="H6" s="299"/>
      <c r="I6" s="299"/>
      <c r="J6" s="299"/>
      <c r="K6" s="299"/>
      <c r="L6" s="299"/>
      <c r="M6" s="299"/>
      <c r="N6" s="299"/>
      <c r="O6" s="299"/>
      <c r="P6" s="300"/>
      <c r="Q6" s="282" t="s">
        <v>3</v>
      </c>
      <c r="R6" s="283"/>
      <c r="S6" s="283"/>
      <c r="T6" s="284"/>
      <c r="U6" s="36"/>
    </row>
    <row r="7" spans="1:21" s="3" customFormat="1" ht="18" customHeight="1" x14ac:dyDescent="0.25">
      <c r="A7" s="40"/>
      <c r="B7" s="317"/>
      <c r="C7" s="318"/>
      <c r="D7" s="318"/>
      <c r="E7" s="319"/>
      <c r="F7" s="298"/>
      <c r="G7" s="299"/>
      <c r="H7" s="299"/>
      <c r="I7" s="299"/>
      <c r="J7" s="299"/>
      <c r="K7" s="299"/>
      <c r="L7" s="299"/>
      <c r="M7" s="299"/>
      <c r="N7" s="299"/>
      <c r="O7" s="299"/>
      <c r="P7" s="300"/>
      <c r="Q7" s="285">
        <v>45513</v>
      </c>
      <c r="R7" s="286"/>
      <c r="S7" s="286"/>
      <c r="T7" s="287"/>
      <c r="U7" s="36"/>
    </row>
    <row r="8" spans="1:21" s="3" customFormat="1" ht="10.5" customHeight="1" x14ac:dyDescent="0.25">
      <c r="A8" s="40"/>
      <c r="B8" s="317"/>
      <c r="C8" s="318"/>
      <c r="D8" s="318"/>
      <c r="E8" s="319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300"/>
      <c r="Q8" s="282" t="s">
        <v>4</v>
      </c>
      <c r="R8" s="283"/>
      <c r="S8" s="283"/>
      <c r="T8" s="284"/>
      <c r="U8" s="36"/>
    </row>
    <row r="9" spans="1:21" s="3" customFormat="1" ht="18" customHeight="1" x14ac:dyDescent="0.25">
      <c r="A9" s="40"/>
      <c r="B9" s="320"/>
      <c r="C9" s="321"/>
      <c r="D9" s="321"/>
      <c r="E9" s="322"/>
      <c r="F9" s="301"/>
      <c r="G9" s="302"/>
      <c r="H9" s="302"/>
      <c r="I9" s="302"/>
      <c r="J9" s="302"/>
      <c r="K9" s="302"/>
      <c r="L9" s="302"/>
      <c r="M9" s="302"/>
      <c r="N9" s="302"/>
      <c r="O9" s="302"/>
      <c r="P9" s="303"/>
      <c r="Q9" s="304" t="s">
        <v>115</v>
      </c>
      <c r="R9" s="305"/>
      <c r="S9" s="305"/>
      <c r="T9" s="306"/>
      <c r="U9" s="36"/>
    </row>
    <row r="10" spans="1:21" ht="15" customHeight="1" x14ac:dyDescent="0.25">
      <c r="A10" s="35"/>
      <c r="C10" s="54"/>
      <c r="D10" s="54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30"/>
    </row>
    <row r="11" spans="1:21" ht="30" customHeight="1" x14ac:dyDescent="0.25">
      <c r="A11" s="35"/>
      <c r="B11" s="323" t="s">
        <v>140</v>
      </c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288" t="s">
        <v>112</v>
      </c>
      <c r="O11" s="288"/>
      <c r="P11" s="288"/>
      <c r="Q11" s="288"/>
      <c r="R11" s="288"/>
      <c r="S11" s="288" t="s">
        <v>111</v>
      </c>
      <c r="T11" s="289"/>
      <c r="U11" s="30"/>
    </row>
    <row r="12" spans="1:21" ht="30" customHeight="1" x14ac:dyDescent="0.25">
      <c r="A12" s="35"/>
      <c r="B12" s="325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292" t="s">
        <v>113</v>
      </c>
      <c r="O12" s="293"/>
      <c r="P12" s="293"/>
      <c r="Q12" s="293"/>
      <c r="R12" s="294"/>
      <c r="S12" s="290">
        <v>2025</v>
      </c>
      <c r="T12" s="291"/>
      <c r="U12" s="30"/>
    </row>
    <row r="13" spans="1:21" ht="15" customHeight="1" x14ac:dyDescent="0.25">
      <c r="A13" s="35"/>
      <c r="B13" s="35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62"/>
      <c r="U13" s="30"/>
    </row>
    <row r="14" spans="1:21" ht="39.9" customHeight="1" x14ac:dyDescent="0.25">
      <c r="A14" s="35"/>
      <c r="B14" s="35"/>
      <c r="C14" s="277" t="s">
        <v>110</v>
      </c>
      <c r="D14" s="280" t="s">
        <v>119</v>
      </c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1"/>
      <c r="T14" s="63"/>
      <c r="U14" s="30"/>
    </row>
    <row r="15" spans="1:21" ht="31.5" customHeight="1" x14ac:dyDescent="0.3">
      <c r="A15" s="35"/>
      <c r="B15" s="35"/>
      <c r="C15" s="278"/>
      <c r="D15" s="227"/>
      <c r="E15" s="227"/>
      <c r="F15" s="228" t="s">
        <v>5</v>
      </c>
      <c r="G15" s="228" t="s">
        <v>6</v>
      </c>
      <c r="H15" s="228" t="s">
        <v>7</v>
      </c>
      <c r="I15" s="228" t="s">
        <v>8</v>
      </c>
      <c r="J15" s="228" t="s">
        <v>9</v>
      </c>
      <c r="K15" s="228" t="s">
        <v>10</v>
      </c>
      <c r="L15" s="228" t="s">
        <v>11</v>
      </c>
      <c r="M15" s="228" t="s">
        <v>12</v>
      </c>
      <c r="N15" s="228" t="s">
        <v>13</v>
      </c>
      <c r="O15" s="228" t="s">
        <v>14</v>
      </c>
      <c r="P15" s="228" t="s">
        <v>15</v>
      </c>
      <c r="Q15" s="228" t="s">
        <v>16</v>
      </c>
      <c r="R15" s="229"/>
      <c r="S15" s="230" t="s">
        <v>107</v>
      </c>
      <c r="T15" s="63"/>
      <c r="U15" s="30"/>
    </row>
    <row r="16" spans="1:21" ht="31.5" customHeight="1" x14ac:dyDescent="0.25">
      <c r="A16" s="35"/>
      <c r="B16" s="35"/>
      <c r="C16" s="278"/>
      <c r="D16" s="308" t="s">
        <v>108</v>
      </c>
      <c r="E16" s="309"/>
      <c r="F16" s="83">
        <f t="shared" ref="F16:Q16" si="0">F38-F71</f>
        <v>0</v>
      </c>
      <c r="G16" s="80">
        <f t="shared" si="0"/>
        <v>0</v>
      </c>
      <c r="H16" s="80">
        <f t="shared" si="0"/>
        <v>0</v>
      </c>
      <c r="I16" s="84">
        <f t="shared" si="0"/>
        <v>0</v>
      </c>
      <c r="J16" s="84">
        <f t="shared" si="0"/>
        <v>0</v>
      </c>
      <c r="K16" s="84">
        <f t="shared" si="0"/>
        <v>0</v>
      </c>
      <c r="L16" s="84">
        <f t="shared" si="0"/>
        <v>0</v>
      </c>
      <c r="M16" s="84">
        <f t="shared" si="0"/>
        <v>0</v>
      </c>
      <c r="N16" s="84">
        <f t="shared" si="0"/>
        <v>0</v>
      </c>
      <c r="O16" s="84">
        <f t="shared" si="0"/>
        <v>0</v>
      </c>
      <c r="P16" s="84">
        <f t="shared" si="0"/>
        <v>0</v>
      </c>
      <c r="Q16" s="84">
        <f t="shared" si="0"/>
        <v>0</v>
      </c>
      <c r="R16" s="99"/>
      <c r="S16" s="83">
        <f>SUM(F16:Q16)</f>
        <v>0</v>
      </c>
      <c r="T16" s="64"/>
      <c r="U16" s="30"/>
    </row>
    <row r="17" spans="1:21" ht="31.5" customHeight="1" x14ac:dyDescent="0.25">
      <c r="A17" s="35"/>
      <c r="B17" s="35"/>
      <c r="C17" s="278"/>
      <c r="D17" s="310" t="s">
        <v>109</v>
      </c>
      <c r="E17" s="311"/>
      <c r="F17" s="97">
        <f t="shared" ref="F17:Q17" si="1">F39-F72</f>
        <v>0</v>
      </c>
      <c r="G17" s="97">
        <f t="shared" si="1"/>
        <v>0</v>
      </c>
      <c r="H17" s="97">
        <f t="shared" si="1"/>
        <v>0</v>
      </c>
      <c r="I17" s="97">
        <f t="shared" si="1"/>
        <v>0</v>
      </c>
      <c r="J17" s="97">
        <f t="shared" si="1"/>
        <v>0</v>
      </c>
      <c r="K17" s="97">
        <f t="shared" si="1"/>
        <v>0</v>
      </c>
      <c r="L17" s="97">
        <f t="shared" si="1"/>
        <v>0</v>
      </c>
      <c r="M17" s="97">
        <f t="shared" si="1"/>
        <v>0</v>
      </c>
      <c r="N17" s="97">
        <f t="shared" si="1"/>
        <v>0</v>
      </c>
      <c r="O17" s="97">
        <f t="shared" si="1"/>
        <v>0</v>
      </c>
      <c r="P17" s="97">
        <f t="shared" si="1"/>
        <v>0</v>
      </c>
      <c r="Q17" s="97">
        <f t="shared" si="1"/>
        <v>0</v>
      </c>
      <c r="R17" s="100"/>
      <c r="S17" s="97">
        <f>SUM(F17:Q17)</f>
        <v>0</v>
      </c>
      <c r="T17" s="64"/>
      <c r="U17" s="30"/>
    </row>
    <row r="18" spans="1:21" ht="31.5" customHeight="1" x14ac:dyDescent="0.25">
      <c r="A18" s="35"/>
      <c r="B18" s="35"/>
      <c r="C18" s="278"/>
      <c r="D18" s="312" t="s">
        <v>139</v>
      </c>
      <c r="E18" s="313"/>
      <c r="F18" s="81" t="str">
        <f t="shared" ref="F18:Q18" si="2">IFERROR(F17/F39,"-")</f>
        <v>-</v>
      </c>
      <c r="G18" s="34" t="str">
        <f t="shared" si="2"/>
        <v>-</v>
      </c>
      <c r="H18" s="34" t="str">
        <f t="shared" si="2"/>
        <v>-</v>
      </c>
      <c r="I18" s="82" t="str">
        <f t="shared" si="2"/>
        <v>-</v>
      </c>
      <c r="J18" s="82" t="str">
        <f t="shared" si="2"/>
        <v>-</v>
      </c>
      <c r="K18" s="82" t="str">
        <f t="shared" si="2"/>
        <v>-</v>
      </c>
      <c r="L18" s="82" t="str">
        <f t="shared" si="2"/>
        <v>-</v>
      </c>
      <c r="M18" s="82" t="str">
        <f t="shared" si="2"/>
        <v>-</v>
      </c>
      <c r="N18" s="82" t="str">
        <f t="shared" si="2"/>
        <v>-</v>
      </c>
      <c r="O18" s="82" t="str">
        <f t="shared" si="2"/>
        <v>-</v>
      </c>
      <c r="P18" s="82" t="str">
        <f t="shared" si="2"/>
        <v>-</v>
      </c>
      <c r="Q18" s="82" t="str">
        <f t="shared" si="2"/>
        <v>-</v>
      </c>
      <c r="R18" s="101"/>
      <c r="S18" s="85" t="str">
        <f>IFERROR(AVERAGE(F18:Q18),"-")</f>
        <v>-</v>
      </c>
      <c r="T18" s="65"/>
      <c r="U18" s="30"/>
    </row>
    <row r="19" spans="1:21" ht="24.75" customHeight="1" x14ac:dyDescent="0.25">
      <c r="A19" s="35"/>
      <c r="B19" s="35"/>
      <c r="C19" s="278"/>
      <c r="D19" s="43"/>
      <c r="E19" s="66"/>
      <c r="F19" s="53">
        <f>F17-F16</f>
        <v>0</v>
      </c>
      <c r="G19" s="53">
        <f t="shared" ref="G19:S19" si="3">G17-G16</f>
        <v>0</v>
      </c>
      <c r="H19" s="53">
        <f t="shared" si="3"/>
        <v>0</v>
      </c>
      <c r="I19" s="53">
        <f t="shared" si="3"/>
        <v>0</v>
      </c>
      <c r="J19" s="53">
        <f t="shared" si="3"/>
        <v>0</v>
      </c>
      <c r="K19" s="53">
        <f t="shared" si="3"/>
        <v>0</v>
      </c>
      <c r="L19" s="53">
        <f t="shared" si="3"/>
        <v>0</v>
      </c>
      <c r="M19" s="53">
        <f t="shared" si="3"/>
        <v>0</v>
      </c>
      <c r="N19" s="53">
        <f t="shared" si="3"/>
        <v>0</v>
      </c>
      <c r="O19" s="53">
        <f t="shared" si="3"/>
        <v>0</v>
      </c>
      <c r="P19" s="53">
        <f t="shared" si="3"/>
        <v>0</v>
      </c>
      <c r="Q19" s="53">
        <f t="shared" si="3"/>
        <v>0</v>
      </c>
      <c r="R19" s="67"/>
      <c r="S19" s="21">
        <f t="shared" si="3"/>
        <v>0</v>
      </c>
      <c r="T19" s="68"/>
      <c r="U19" s="30"/>
    </row>
    <row r="20" spans="1:21" ht="10.5" customHeight="1" x14ac:dyDescent="0.25">
      <c r="A20" s="35"/>
      <c r="B20" s="35"/>
      <c r="C20" s="278"/>
      <c r="D20" s="43"/>
      <c r="E20" s="66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67"/>
      <c r="S20" s="56"/>
      <c r="T20" s="69"/>
      <c r="U20" s="30"/>
    </row>
    <row r="21" spans="1:21" ht="24.9" customHeight="1" x14ac:dyDescent="0.25">
      <c r="A21" s="35"/>
      <c r="B21" s="35"/>
      <c r="C21" s="278"/>
      <c r="D21" s="43"/>
      <c r="E21" s="7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71"/>
      <c r="U21" s="30"/>
    </row>
    <row r="22" spans="1:21" ht="24.9" customHeight="1" x14ac:dyDescent="0.25">
      <c r="A22" s="35"/>
      <c r="B22" s="35"/>
      <c r="C22" s="278"/>
      <c r="D22" s="43"/>
      <c r="E22" s="7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71"/>
      <c r="U22" s="30"/>
    </row>
    <row r="23" spans="1:21" ht="24.9" customHeight="1" x14ac:dyDescent="0.25">
      <c r="A23" s="35"/>
      <c r="B23" s="35"/>
      <c r="C23" s="278"/>
      <c r="D23" s="43"/>
      <c r="E23" s="7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71"/>
      <c r="U23" s="30"/>
    </row>
    <row r="24" spans="1:21" ht="24.9" customHeight="1" x14ac:dyDescent="0.25">
      <c r="A24" s="35"/>
      <c r="B24" s="35"/>
      <c r="C24" s="278"/>
      <c r="D24" s="43"/>
      <c r="E24" s="70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71"/>
      <c r="U24" s="30"/>
    </row>
    <row r="25" spans="1:21" ht="24.9" customHeight="1" x14ac:dyDescent="0.25">
      <c r="A25" s="35"/>
      <c r="B25" s="35"/>
      <c r="C25" s="278"/>
      <c r="D25" s="43"/>
      <c r="E25" s="70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71"/>
      <c r="U25" s="30"/>
    </row>
    <row r="26" spans="1:21" ht="24.9" customHeight="1" x14ac:dyDescent="0.25">
      <c r="A26" s="35"/>
      <c r="B26" s="35"/>
      <c r="C26" s="278"/>
      <c r="D26" s="43"/>
      <c r="E26" s="70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71"/>
      <c r="U26" s="30"/>
    </row>
    <row r="27" spans="1:21" ht="24.9" customHeight="1" x14ac:dyDescent="0.25">
      <c r="A27" s="35"/>
      <c r="B27" s="35"/>
      <c r="C27" s="278"/>
      <c r="D27" s="43"/>
      <c r="E27" s="70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71"/>
      <c r="U27" s="30"/>
    </row>
    <row r="28" spans="1:21" ht="24.9" customHeight="1" x14ac:dyDescent="0.25">
      <c r="A28" s="35"/>
      <c r="B28" s="35"/>
      <c r="C28" s="278"/>
      <c r="D28" s="43"/>
      <c r="E28" s="70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71"/>
      <c r="U28" s="30"/>
    </row>
    <row r="29" spans="1:21" ht="24.9" customHeight="1" x14ac:dyDescent="0.25">
      <c r="A29" s="35"/>
      <c r="B29" s="35"/>
      <c r="C29" s="278"/>
      <c r="D29" s="43"/>
      <c r="E29" s="70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71"/>
      <c r="U29" s="30"/>
    </row>
    <row r="30" spans="1:21" ht="24.9" customHeight="1" x14ac:dyDescent="0.25">
      <c r="A30" s="35"/>
      <c r="B30" s="35"/>
      <c r="C30" s="278"/>
      <c r="D30" s="43"/>
      <c r="E30" s="70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71"/>
      <c r="U30" s="30"/>
    </row>
    <row r="31" spans="1:21" ht="24.9" customHeight="1" x14ac:dyDescent="0.25">
      <c r="A31" s="35"/>
      <c r="B31" s="35"/>
      <c r="C31" s="278"/>
      <c r="D31" s="43"/>
      <c r="E31" s="70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71"/>
      <c r="U31" s="30"/>
    </row>
    <row r="32" spans="1:21" ht="24.9" customHeight="1" x14ac:dyDescent="0.25">
      <c r="A32" s="35"/>
      <c r="B32" s="35"/>
      <c r="C32" s="278"/>
      <c r="D32" s="43"/>
      <c r="E32" s="70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71"/>
      <c r="U32" s="30"/>
    </row>
    <row r="33" spans="1:21" ht="24.9" customHeight="1" x14ac:dyDescent="0.25">
      <c r="A33" s="35"/>
      <c r="B33" s="35"/>
      <c r="C33" s="278"/>
      <c r="D33" s="43"/>
      <c r="E33" s="70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71"/>
      <c r="U33" s="30"/>
    </row>
    <row r="34" spans="1:21" ht="24.9" customHeight="1" x14ac:dyDescent="0.25">
      <c r="A34" s="35"/>
      <c r="B34" s="35"/>
      <c r="C34" s="279"/>
      <c r="D34" s="44"/>
      <c r="E34" s="31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72"/>
      <c r="U34" s="30"/>
    </row>
    <row r="35" spans="1:21" ht="15" customHeight="1" x14ac:dyDescent="0.25">
      <c r="A35" s="35"/>
      <c r="B35" s="35"/>
      <c r="C35" s="24"/>
      <c r="D35" s="24"/>
      <c r="E35" s="31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30"/>
      <c r="U35" s="30"/>
    </row>
    <row r="36" spans="1:21" s="91" customFormat="1" ht="39.9" customHeight="1" x14ac:dyDescent="0.3">
      <c r="A36" s="88"/>
      <c r="B36" s="89"/>
      <c r="C36" s="272" t="s">
        <v>104</v>
      </c>
      <c r="D36" s="275" t="s">
        <v>21</v>
      </c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6"/>
      <c r="T36" s="98"/>
      <c r="U36" s="90"/>
    </row>
    <row r="37" spans="1:21" s="22" customFormat="1" ht="31.5" customHeight="1" x14ac:dyDescent="0.35">
      <c r="A37" s="41"/>
      <c r="B37" s="73"/>
      <c r="C37" s="273"/>
      <c r="D37" s="57"/>
      <c r="E37" s="57"/>
      <c r="F37" s="86" t="s">
        <v>5</v>
      </c>
      <c r="G37" s="86" t="s">
        <v>6</v>
      </c>
      <c r="H37" s="86" t="s">
        <v>7</v>
      </c>
      <c r="I37" s="86" t="s">
        <v>8</v>
      </c>
      <c r="J37" s="86" t="s">
        <v>9</v>
      </c>
      <c r="K37" s="86" t="s">
        <v>10</v>
      </c>
      <c r="L37" s="86" t="s">
        <v>11</v>
      </c>
      <c r="M37" s="86" t="s">
        <v>12</v>
      </c>
      <c r="N37" s="86" t="s">
        <v>13</v>
      </c>
      <c r="O37" s="86" t="s">
        <v>14</v>
      </c>
      <c r="P37" s="86" t="s">
        <v>15</v>
      </c>
      <c r="Q37" s="86" t="s">
        <v>16</v>
      </c>
      <c r="R37" s="102"/>
      <c r="S37" s="103" t="s">
        <v>107</v>
      </c>
      <c r="T37" s="26"/>
      <c r="U37" s="42"/>
    </row>
    <row r="38" spans="1:21" s="22" customFormat="1" ht="31.5" customHeight="1" x14ac:dyDescent="0.35">
      <c r="A38" s="41"/>
      <c r="B38" s="73"/>
      <c r="C38" s="273"/>
      <c r="D38" s="308" t="s">
        <v>18</v>
      </c>
      <c r="E38" s="309"/>
      <c r="F38" s="80">
        <f>RECEITAS!D16</f>
        <v>0</v>
      </c>
      <c r="G38" s="80">
        <f>RECEITAS!F16</f>
        <v>0</v>
      </c>
      <c r="H38" s="80">
        <f>RECEITAS!H16</f>
        <v>0</v>
      </c>
      <c r="I38" s="80">
        <f>RECEITAS!J16</f>
        <v>0</v>
      </c>
      <c r="J38" s="80">
        <f>RECEITAS!L16</f>
        <v>0</v>
      </c>
      <c r="K38" s="80">
        <f>RECEITAS!N16</f>
        <v>0</v>
      </c>
      <c r="L38" s="80">
        <f>RECEITAS!P16</f>
        <v>0</v>
      </c>
      <c r="M38" s="80">
        <f>RECEITAS!R16</f>
        <v>0</v>
      </c>
      <c r="N38" s="80">
        <f>RECEITAS!T16</f>
        <v>0</v>
      </c>
      <c r="O38" s="80">
        <f>RECEITAS!V16</f>
        <v>0</v>
      </c>
      <c r="P38" s="80">
        <f>RECEITAS!X16</f>
        <v>0</v>
      </c>
      <c r="Q38" s="80">
        <f>RECEITAS!Z16</f>
        <v>0</v>
      </c>
      <c r="R38" s="99"/>
      <c r="S38" s="80">
        <f>SUM(F38:Q38)</f>
        <v>0</v>
      </c>
      <c r="T38" s="26"/>
      <c r="U38" s="42"/>
    </row>
    <row r="39" spans="1:21" s="22" customFormat="1" ht="31.5" customHeight="1" x14ac:dyDescent="0.35">
      <c r="A39" s="41"/>
      <c r="B39" s="73"/>
      <c r="C39" s="273"/>
      <c r="D39" s="312" t="s">
        <v>19</v>
      </c>
      <c r="E39" s="313"/>
      <c r="F39" s="96">
        <f>RECEITAS!E16</f>
        <v>0</v>
      </c>
      <c r="G39" s="96">
        <f>RECEITAS!G16</f>
        <v>0</v>
      </c>
      <c r="H39" s="96">
        <f>RECEITAS!I16</f>
        <v>0</v>
      </c>
      <c r="I39" s="96">
        <f>RECEITAS!K16</f>
        <v>0</v>
      </c>
      <c r="J39" s="96">
        <f>RECEITAS!M16</f>
        <v>0</v>
      </c>
      <c r="K39" s="96">
        <f>RECEITAS!O16</f>
        <v>0</v>
      </c>
      <c r="L39" s="96">
        <f>RECEITAS!Q16</f>
        <v>0</v>
      </c>
      <c r="M39" s="96">
        <f>RECEITAS!S16</f>
        <v>0</v>
      </c>
      <c r="N39" s="96">
        <f>RECEITAS!U16</f>
        <v>0</v>
      </c>
      <c r="O39" s="96">
        <f>RECEITAS!W16</f>
        <v>0</v>
      </c>
      <c r="P39" s="96">
        <f>RECEITAS!Y16</f>
        <v>0</v>
      </c>
      <c r="Q39" s="96">
        <f>RECEITAS!AA16</f>
        <v>0</v>
      </c>
      <c r="R39" s="100"/>
      <c r="S39" s="96">
        <f>SUM(F39:Q39)</f>
        <v>0</v>
      </c>
      <c r="T39" s="27"/>
      <c r="U39" s="42"/>
    </row>
    <row r="40" spans="1:21" ht="24.9" customHeight="1" x14ac:dyDescent="0.25">
      <c r="A40" s="35"/>
      <c r="B40" s="72"/>
      <c r="C40" s="273"/>
      <c r="D40" s="49"/>
      <c r="E40" s="58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7"/>
      <c r="T40" s="28"/>
      <c r="U40" s="30"/>
    </row>
    <row r="41" spans="1:21" ht="24.9" customHeight="1" x14ac:dyDescent="0.25">
      <c r="A41" s="35"/>
      <c r="B41" s="72"/>
      <c r="C41" s="273"/>
      <c r="D41" s="59"/>
      <c r="E41" s="58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7"/>
      <c r="T41" s="29"/>
      <c r="U41" s="30"/>
    </row>
    <row r="42" spans="1:21" ht="24.9" customHeight="1" x14ac:dyDescent="0.25">
      <c r="A42" s="35"/>
      <c r="B42" s="72"/>
      <c r="C42" s="273"/>
      <c r="D42" s="59"/>
      <c r="E42" s="58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7"/>
      <c r="T42" s="23"/>
      <c r="U42" s="30"/>
    </row>
    <row r="43" spans="1:21" ht="24.9" customHeight="1" x14ac:dyDescent="0.25">
      <c r="A43" s="35"/>
      <c r="B43" s="72"/>
      <c r="C43" s="273"/>
      <c r="D43" s="59"/>
      <c r="E43" s="58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7"/>
      <c r="T43" s="23"/>
      <c r="U43" s="30"/>
    </row>
    <row r="44" spans="1:21" ht="24.9" customHeight="1" x14ac:dyDescent="0.25">
      <c r="A44" s="35"/>
      <c r="B44" s="72"/>
      <c r="C44" s="273"/>
      <c r="D44" s="59"/>
      <c r="E44" s="58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7"/>
      <c r="T44" s="23"/>
      <c r="U44" s="30"/>
    </row>
    <row r="45" spans="1:21" ht="24.9" customHeight="1" x14ac:dyDescent="0.25">
      <c r="A45" s="35"/>
      <c r="B45" s="72"/>
      <c r="C45" s="273"/>
      <c r="D45" s="59"/>
      <c r="E45" s="58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7"/>
      <c r="T45" s="23"/>
      <c r="U45" s="30"/>
    </row>
    <row r="46" spans="1:21" ht="24.9" customHeight="1" x14ac:dyDescent="0.25">
      <c r="A46" s="35"/>
      <c r="B46" s="72"/>
      <c r="C46" s="273"/>
      <c r="D46" s="59"/>
      <c r="E46" s="58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7"/>
      <c r="T46" s="23"/>
      <c r="U46" s="30"/>
    </row>
    <row r="47" spans="1:21" ht="24.9" customHeight="1" x14ac:dyDescent="0.25">
      <c r="A47" s="35"/>
      <c r="B47" s="72"/>
      <c r="C47" s="273"/>
      <c r="D47" s="59"/>
      <c r="E47" s="58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7"/>
      <c r="T47" s="23"/>
      <c r="U47" s="30"/>
    </row>
    <row r="48" spans="1:21" ht="24.9" customHeight="1" x14ac:dyDescent="0.25">
      <c r="A48" s="35"/>
      <c r="B48" s="72"/>
      <c r="C48" s="273"/>
      <c r="D48" s="59"/>
      <c r="E48" s="58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7"/>
      <c r="T48" s="23"/>
      <c r="U48" s="30"/>
    </row>
    <row r="49" spans="1:21" ht="24.9" customHeight="1" x14ac:dyDescent="0.25">
      <c r="A49" s="35"/>
      <c r="B49" s="72"/>
      <c r="C49" s="273"/>
      <c r="D49" s="59"/>
      <c r="E49" s="58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7"/>
      <c r="T49" s="23"/>
      <c r="U49" s="30"/>
    </row>
    <row r="50" spans="1:21" ht="24.75" customHeight="1" x14ac:dyDescent="0.25">
      <c r="A50" s="35"/>
      <c r="B50" s="72"/>
      <c r="C50" s="273"/>
      <c r="D50" s="59"/>
      <c r="E50" s="58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7"/>
      <c r="T50" s="23"/>
      <c r="U50" s="30"/>
    </row>
    <row r="51" spans="1:21" ht="24.75" customHeight="1" x14ac:dyDescent="0.25">
      <c r="A51" s="35"/>
      <c r="B51" s="72"/>
      <c r="C51" s="273"/>
      <c r="D51" s="59"/>
      <c r="E51" s="58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7"/>
      <c r="T51" s="23"/>
      <c r="U51" s="30"/>
    </row>
    <row r="52" spans="1:21" ht="24.9" customHeight="1" x14ac:dyDescent="0.25">
      <c r="A52" s="35"/>
      <c r="B52" s="72"/>
      <c r="C52" s="273"/>
      <c r="D52" s="59"/>
      <c r="E52" s="58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7"/>
      <c r="T52" s="23"/>
      <c r="U52" s="30"/>
    </row>
    <row r="53" spans="1:21" ht="24.9" customHeight="1" x14ac:dyDescent="0.25">
      <c r="A53" s="35"/>
      <c r="B53" s="72"/>
      <c r="C53" s="273"/>
      <c r="D53" s="59"/>
      <c r="E53" s="58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7"/>
      <c r="T53" s="23"/>
      <c r="U53" s="30"/>
    </row>
    <row r="54" spans="1:21" ht="24.9" customHeight="1" x14ac:dyDescent="0.25">
      <c r="A54" s="35"/>
      <c r="B54" s="72"/>
      <c r="C54" s="273"/>
      <c r="D54" s="59"/>
      <c r="E54" s="58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7"/>
      <c r="T54" s="23"/>
      <c r="U54" s="30"/>
    </row>
    <row r="55" spans="1:21" ht="24.9" customHeight="1" x14ac:dyDescent="0.25">
      <c r="A55" s="35"/>
      <c r="B55" s="72"/>
      <c r="C55" s="273"/>
      <c r="D55" s="59"/>
      <c r="E55" s="5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3"/>
      <c r="T55" s="23"/>
      <c r="U55" s="30"/>
    </row>
    <row r="56" spans="1:21" ht="24.9" customHeight="1" x14ac:dyDescent="0.25">
      <c r="A56" s="35"/>
      <c r="B56" s="72"/>
      <c r="C56" s="273"/>
      <c r="D56" s="59"/>
      <c r="E56" s="5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3"/>
      <c r="T56" s="23"/>
      <c r="U56" s="30"/>
    </row>
    <row r="57" spans="1:21" ht="24.9" customHeight="1" x14ac:dyDescent="0.25">
      <c r="A57" s="35"/>
      <c r="B57" s="72"/>
      <c r="C57" s="273"/>
      <c r="D57" s="59"/>
      <c r="E57" s="58"/>
      <c r="F57" s="19"/>
      <c r="G57" s="19" t="s">
        <v>5</v>
      </c>
      <c r="H57" s="19" t="s">
        <v>6</v>
      </c>
      <c r="I57" s="19" t="s">
        <v>7</v>
      </c>
      <c r="J57" s="19" t="s">
        <v>8</v>
      </c>
      <c r="K57" s="19" t="s">
        <v>9</v>
      </c>
      <c r="L57" s="19" t="s">
        <v>10</v>
      </c>
      <c r="M57" s="19" t="s">
        <v>11</v>
      </c>
      <c r="N57" s="19" t="s">
        <v>12</v>
      </c>
      <c r="O57" s="19" t="s">
        <v>13</v>
      </c>
      <c r="P57" s="19" t="s">
        <v>14</v>
      </c>
      <c r="Q57" s="19" t="s">
        <v>15</v>
      </c>
      <c r="R57" s="19" t="s">
        <v>16</v>
      </c>
      <c r="S57" s="23"/>
      <c r="T57" s="30"/>
      <c r="U57" s="30"/>
    </row>
    <row r="58" spans="1:21" ht="24.9" customHeight="1" x14ac:dyDescent="0.25">
      <c r="A58" s="35"/>
      <c r="B58" s="72"/>
      <c r="C58" s="273"/>
      <c r="D58" s="59"/>
      <c r="E58" s="58"/>
      <c r="F58" s="19" t="str">
        <f>RECEITAS!C18</f>
        <v>PRODUTOS/SERVIÇOS</v>
      </c>
      <c r="G58" s="19">
        <f>RECEITAS!E22</f>
        <v>0</v>
      </c>
      <c r="H58" s="19">
        <f>RECEITAS!G22</f>
        <v>0</v>
      </c>
      <c r="I58" s="19">
        <f>RECEITAS!I22</f>
        <v>0</v>
      </c>
      <c r="J58" s="19">
        <f>RECEITAS!K22</f>
        <v>0</v>
      </c>
      <c r="K58" s="19">
        <f>RECEITAS!M22</f>
        <v>0</v>
      </c>
      <c r="L58" s="19">
        <f>RECEITAS!O22</f>
        <v>0</v>
      </c>
      <c r="M58" s="19">
        <f>RECEITAS!Q22</f>
        <v>0</v>
      </c>
      <c r="N58" s="19">
        <f>RECEITAS!S22</f>
        <v>0</v>
      </c>
      <c r="O58" s="19">
        <f>RECEITAS!U22</f>
        <v>0</v>
      </c>
      <c r="P58" s="19">
        <f>RECEITAS!W22</f>
        <v>0</v>
      </c>
      <c r="Q58" s="19">
        <f>RECEITAS!Y22</f>
        <v>0</v>
      </c>
      <c r="R58" s="19">
        <f>RECEITAS!AA22</f>
        <v>0</v>
      </c>
      <c r="S58" s="23"/>
      <c r="T58" s="23"/>
      <c r="U58" s="30"/>
    </row>
    <row r="59" spans="1:21" ht="24.9" customHeight="1" x14ac:dyDescent="0.25">
      <c r="A59" s="35"/>
      <c r="B59" s="72"/>
      <c r="C59" s="273"/>
      <c r="D59" s="59"/>
      <c r="E59" s="58"/>
      <c r="F59" s="19" t="str">
        <f>RECEITAS!C51</f>
        <v>OUTRAS RECEITAS</v>
      </c>
      <c r="G59" s="19">
        <f>RECEITAS!E55</f>
        <v>0</v>
      </c>
      <c r="H59" s="19">
        <f>RECEITAS!G55</f>
        <v>0</v>
      </c>
      <c r="I59" s="19">
        <f>RECEITAS!I55</f>
        <v>0</v>
      </c>
      <c r="J59" s="19">
        <f>RECEITAS!K55</f>
        <v>0</v>
      </c>
      <c r="K59" s="19">
        <f>RECEITAS!M55</f>
        <v>0</v>
      </c>
      <c r="L59" s="19">
        <f>RECEITAS!O55</f>
        <v>0</v>
      </c>
      <c r="M59" s="19">
        <f>RECEITAS!Q55</f>
        <v>0</v>
      </c>
      <c r="N59" s="19">
        <f>RECEITAS!S55</f>
        <v>0</v>
      </c>
      <c r="O59" s="19">
        <f>RECEITAS!U55</f>
        <v>0</v>
      </c>
      <c r="P59" s="19">
        <f>RECEITAS!W55</f>
        <v>0</v>
      </c>
      <c r="Q59" s="19">
        <f>RECEITAS!Y55</f>
        <v>0</v>
      </c>
      <c r="R59" s="19">
        <f>RECEITAS!AA55</f>
        <v>0</v>
      </c>
      <c r="S59" s="23"/>
      <c r="T59" s="23"/>
      <c r="U59" s="30"/>
    </row>
    <row r="60" spans="1:21" ht="24.9" customHeight="1" x14ac:dyDescent="0.25">
      <c r="A60" s="35"/>
      <c r="B60" s="72"/>
      <c r="C60" s="273"/>
      <c r="D60" s="59"/>
      <c r="E60" s="58"/>
      <c r="F60" s="19" t="str">
        <f>RECEITAS!C71</f>
        <v>RECEITAS FINANCEIRAS</v>
      </c>
      <c r="G60" s="19">
        <f>RECEITAS!E75</f>
        <v>0</v>
      </c>
      <c r="H60" s="19">
        <f>RECEITAS!G75</f>
        <v>0</v>
      </c>
      <c r="I60" s="19">
        <f>RECEITAS!I75</f>
        <v>0</v>
      </c>
      <c r="J60" s="19">
        <f>RECEITAS!K75</f>
        <v>0</v>
      </c>
      <c r="K60" s="19">
        <f>RECEITAS!M75</f>
        <v>0</v>
      </c>
      <c r="L60" s="19">
        <f>RECEITAS!O75</f>
        <v>0</v>
      </c>
      <c r="M60" s="19">
        <f>RECEITAS!Q75</f>
        <v>0</v>
      </c>
      <c r="N60" s="19">
        <f>RECEITAS!S75</f>
        <v>0</v>
      </c>
      <c r="O60" s="19">
        <f>RECEITAS!U75</f>
        <v>0</v>
      </c>
      <c r="P60" s="19">
        <f>RECEITAS!W75</f>
        <v>0</v>
      </c>
      <c r="Q60" s="19">
        <f>RECEITAS!Y75</f>
        <v>0</v>
      </c>
      <c r="R60" s="19">
        <f>RECEITAS!AA75</f>
        <v>0</v>
      </c>
      <c r="S60" s="23"/>
      <c r="T60" s="23"/>
      <c r="U60" s="30"/>
    </row>
    <row r="61" spans="1:21" ht="24.9" customHeight="1" x14ac:dyDescent="0.25">
      <c r="A61" s="35"/>
      <c r="B61" s="72"/>
      <c r="C61" s="273"/>
      <c r="D61" s="59"/>
      <c r="E61" s="5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23"/>
      <c r="T61" s="23"/>
      <c r="U61" s="30"/>
    </row>
    <row r="62" spans="1:21" ht="24.9" customHeight="1" x14ac:dyDescent="0.25">
      <c r="A62" s="35"/>
      <c r="B62" s="72"/>
      <c r="C62" s="273"/>
      <c r="D62" s="59"/>
      <c r="E62" s="58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7"/>
      <c r="T62" s="23"/>
      <c r="U62" s="30"/>
    </row>
    <row r="63" spans="1:21" ht="24.9" customHeight="1" x14ac:dyDescent="0.25">
      <c r="A63" s="35"/>
      <c r="B63" s="72"/>
      <c r="C63" s="273"/>
      <c r="D63" s="59"/>
      <c r="E63" s="58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7"/>
      <c r="T63" s="23"/>
      <c r="U63" s="30"/>
    </row>
    <row r="64" spans="1:21" ht="24.9" customHeight="1" x14ac:dyDescent="0.3">
      <c r="A64" s="35"/>
      <c r="B64" s="72"/>
      <c r="C64" s="273"/>
      <c r="D64" s="51"/>
      <c r="E64" s="52"/>
      <c r="F64" s="92" t="str">
        <f>G57</f>
        <v>JAN</v>
      </c>
      <c r="G64" s="92" t="str">
        <f t="shared" ref="G64:P64" si="4">H57</f>
        <v>FEV</v>
      </c>
      <c r="H64" s="92" t="str">
        <f t="shared" si="4"/>
        <v>MAR</v>
      </c>
      <c r="I64" s="92" t="str">
        <f t="shared" si="4"/>
        <v>ABR</v>
      </c>
      <c r="J64" s="92" t="str">
        <f t="shared" si="4"/>
        <v>MAI</v>
      </c>
      <c r="K64" s="92" t="str">
        <f t="shared" si="4"/>
        <v>JUN</v>
      </c>
      <c r="L64" s="92" t="str">
        <f t="shared" si="4"/>
        <v>JUL</v>
      </c>
      <c r="M64" s="92" t="str">
        <f t="shared" si="4"/>
        <v>AGO</v>
      </c>
      <c r="N64" s="93" t="str">
        <f t="shared" si="4"/>
        <v>SET</v>
      </c>
      <c r="O64" s="92" t="str">
        <f t="shared" si="4"/>
        <v>OUT</v>
      </c>
      <c r="P64" s="92" t="str">
        <f t="shared" si="4"/>
        <v>NOV</v>
      </c>
      <c r="Q64" s="92" t="str">
        <f t="shared" ref="Q64" si="5">R57</f>
        <v>DEZ</v>
      </c>
      <c r="R64" s="94"/>
      <c r="S64" s="95" t="s">
        <v>107</v>
      </c>
      <c r="T64" s="23"/>
      <c r="U64" s="30"/>
    </row>
    <row r="65" spans="1:21" ht="31.5" customHeight="1" x14ac:dyDescent="0.25">
      <c r="A65" s="35"/>
      <c r="B65" s="72"/>
      <c r="C65" s="273"/>
      <c r="D65" s="328" t="str">
        <f>F58</f>
        <v>PRODUTOS/SERVIÇOS</v>
      </c>
      <c r="E65" s="328"/>
      <c r="F65" s="110">
        <f>G58</f>
        <v>0</v>
      </c>
      <c r="G65" s="110">
        <f t="shared" ref="G65:Q65" si="6">H58</f>
        <v>0</v>
      </c>
      <c r="H65" s="110">
        <f t="shared" si="6"/>
        <v>0</v>
      </c>
      <c r="I65" s="110">
        <f t="shared" si="6"/>
        <v>0</v>
      </c>
      <c r="J65" s="110">
        <f t="shared" si="6"/>
        <v>0</v>
      </c>
      <c r="K65" s="110">
        <f t="shared" si="6"/>
        <v>0</v>
      </c>
      <c r="L65" s="110">
        <f t="shared" si="6"/>
        <v>0</v>
      </c>
      <c r="M65" s="110">
        <f t="shared" si="6"/>
        <v>0</v>
      </c>
      <c r="N65" s="110">
        <f t="shared" si="6"/>
        <v>0</v>
      </c>
      <c r="O65" s="110">
        <f t="shared" si="6"/>
        <v>0</v>
      </c>
      <c r="P65" s="110">
        <f t="shared" si="6"/>
        <v>0</v>
      </c>
      <c r="Q65" s="110">
        <f t="shared" si="6"/>
        <v>0</v>
      </c>
      <c r="R65" s="105"/>
      <c r="S65" s="110">
        <f>SUM(F65:Q65)</f>
        <v>0</v>
      </c>
      <c r="T65" s="23"/>
      <c r="U65" s="30"/>
    </row>
    <row r="66" spans="1:21" ht="31.5" customHeight="1" x14ac:dyDescent="0.25">
      <c r="A66" s="35"/>
      <c r="B66" s="72"/>
      <c r="C66" s="273"/>
      <c r="D66" s="329" t="str">
        <f>F59</f>
        <v>OUTRAS RECEITAS</v>
      </c>
      <c r="E66" s="329"/>
      <c r="F66" s="111">
        <f>G59</f>
        <v>0</v>
      </c>
      <c r="G66" s="111">
        <f t="shared" ref="G66:Q66" si="7">H59</f>
        <v>0</v>
      </c>
      <c r="H66" s="111">
        <f t="shared" si="7"/>
        <v>0</v>
      </c>
      <c r="I66" s="111">
        <f t="shared" si="7"/>
        <v>0</v>
      </c>
      <c r="J66" s="111">
        <f t="shared" si="7"/>
        <v>0</v>
      </c>
      <c r="K66" s="111">
        <f t="shared" si="7"/>
        <v>0</v>
      </c>
      <c r="L66" s="111">
        <f t="shared" si="7"/>
        <v>0</v>
      </c>
      <c r="M66" s="111">
        <f t="shared" si="7"/>
        <v>0</v>
      </c>
      <c r="N66" s="111">
        <f t="shared" si="7"/>
        <v>0</v>
      </c>
      <c r="O66" s="111">
        <f t="shared" si="7"/>
        <v>0</v>
      </c>
      <c r="P66" s="111">
        <f t="shared" si="7"/>
        <v>0</v>
      </c>
      <c r="Q66" s="111">
        <f t="shared" si="7"/>
        <v>0</v>
      </c>
      <c r="R66" s="105"/>
      <c r="S66" s="111">
        <f t="shared" ref="S66:S67" si="8">SUM(F66:Q66)</f>
        <v>0</v>
      </c>
      <c r="T66" s="23"/>
      <c r="U66" s="30"/>
    </row>
    <row r="67" spans="1:21" ht="31.5" customHeight="1" x14ac:dyDescent="0.25">
      <c r="A67" s="35"/>
      <c r="B67" s="72"/>
      <c r="C67" s="274"/>
      <c r="D67" s="307" t="str">
        <f>F60</f>
        <v>RECEITAS FINANCEIRAS</v>
      </c>
      <c r="E67" s="307"/>
      <c r="F67" s="112">
        <f>G60</f>
        <v>0</v>
      </c>
      <c r="G67" s="112">
        <f t="shared" ref="G67:Q67" si="9">H60</f>
        <v>0</v>
      </c>
      <c r="H67" s="112">
        <f t="shared" si="9"/>
        <v>0</v>
      </c>
      <c r="I67" s="112">
        <f t="shared" si="9"/>
        <v>0</v>
      </c>
      <c r="J67" s="112">
        <f t="shared" si="9"/>
        <v>0</v>
      </c>
      <c r="K67" s="112">
        <f t="shared" si="9"/>
        <v>0</v>
      </c>
      <c r="L67" s="112">
        <f t="shared" si="9"/>
        <v>0</v>
      </c>
      <c r="M67" s="112">
        <f t="shared" si="9"/>
        <v>0</v>
      </c>
      <c r="N67" s="112">
        <f t="shared" si="9"/>
        <v>0</v>
      </c>
      <c r="O67" s="112">
        <f t="shared" si="9"/>
        <v>0</v>
      </c>
      <c r="P67" s="112">
        <f t="shared" si="9"/>
        <v>0</v>
      </c>
      <c r="Q67" s="112">
        <f t="shared" si="9"/>
        <v>0</v>
      </c>
      <c r="R67" s="109"/>
      <c r="S67" s="112">
        <f t="shared" si="8"/>
        <v>0</v>
      </c>
      <c r="T67" s="23"/>
      <c r="U67" s="30"/>
    </row>
    <row r="68" spans="1:21" ht="15" customHeight="1" x14ac:dyDescent="0.25">
      <c r="A68" s="35"/>
      <c r="B68" s="35"/>
      <c r="C68" s="24"/>
      <c r="D68" s="24"/>
      <c r="E68" s="31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30"/>
      <c r="U68" s="30"/>
    </row>
    <row r="69" spans="1:21" s="91" customFormat="1" ht="39.9" customHeight="1" x14ac:dyDescent="0.3">
      <c r="A69" s="88"/>
      <c r="B69" s="89"/>
      <c r="C69" s="272" t="s">
        <v>103</v>
      </c>
      <c r="D69" s="275" t="s">
        <v>25</v>
      </c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6"/>
      <c r="T69" s="87"/>
      <c r="U69" s="90"/>
    </row>
    <row r="70" spans="1:21" s="22" customFormat="1" ht="31.5" customHeight="1" x14ac:dyDescent="0.35">
      <c r="A70" s="41"/>
      <c r="B70" s="73"/>
      <c r="C70" s="273"/>
      <c r="D70" s="57"/>
      <c r="E70" s="57"/>
      <c r="F70" s="86" t="s">
        <v>5</v>
      </c>
      <c r="G70" s="86" t="s">
        <v>6</v>
      </c>
      <c r="H70" s="86" t="s">
        <v>7</v>
      </c>
      <c r="I70" s="86" t="s">
        <v>8</v>
      </c>
      <c r="J70" s="86" t="s">
        <v>9</v>
      </c>
      <c r="K70" s="86" t="s">
        <v>10</v>
      </c>
      <c r="L70" s="86" t="s">
        <v>11</v>
      </c>
      <c r="M70" s="86" t="s">
        <v>12</v>
      </c>
      <c r="N70" s="86" t="s">
        <v>13</v>
      </c>
      <c r="O70" s="86" t="s">
        <v>14</v>
      </c>
      <c r="P70" s="86" t="s">
        <v>15</v>
      </c>
      <c r="Q70" s="86" t="s">
        <v>16</v>
      </c>
      <c r="R70" s="102"/>
      <c r="S70" s="103" t="s">
        <v>107</v>
      </c>
      <c r="T70" s="64"/>
      <c r="U70" s="42"/>
    </row>
    <row r="71" spans="1:21" s="22" customFormat="1" ht="31.5" customHeight="1" x14ac:dyDescent="0.35">
      <c r="A71" s="41"/>
      <c r="B71" s="73"/>
      <c r="C71" s="273"/>
      <c r="D71" s="308" t="s">
        <v>18</v>
      </c>
      <c r="E71" s="309"/>
      <c r="F71" s="80">
        <f>GASTOS!E16</f>
        <v>0</v>
      </c>
      <c r="G71" s="80">
        <f>GASTOS!G16</f>
        <v>0</v>
      </c>
      <c r="H71" s="80">
        <f>GASTOS!I16</f>
        <v>0</v>
      </c>
      <c r="I71" s="80">
        <f>GASTOS!K16</f>
        <v>0</v>
      </c>
      <c r="J71" s="80">
        <f>GASTOS!M16</f>
        <v>0</v>
      </c>
      <c r="K71" s="80">
        <f>GASTOS!O16</f>
        <v>0</v>
      </c>
      <c r="L71" s="80">
        <f>GASTOS!Q16</f>
        <v>0</v>
      </c>
      <c r="M71" s="80">
        <f>GASTOS!S16</f>
        <v>0</v>
      </c>
      <c r="N71" s="80">
        <f>GASTOS!U16</f>
        <v>0</v>
      </c>
      <c r="O71" s="80">
        <f>GASTOS!W16</f>
        <v>0</v>
      </c>
      <c r="P71" s="80">
        <f>GASTOS!Y16</f>
        <v>0</v>
      </c>
      <c r="Q71" s="80">
        <f>GASTOS!AA16</f>
        <v>0</v>
      </c>
      <c r="R71" s="99"/>
      <c r="S71" s="80">
        <f>SUM(F71:Q71)</f>
        <v>0</v>
      </c>
      <c r="T71" s="64"/>
      <c r="U71" s="42"/>
    </row>
    <row r="72" spans="1:21" s="22" customFormat="1" ht="31.5" customHeight="1" x14ac:dyDescent="0.35">
      <c r="A72" s="41"/>
      <c r="B72" s="73"/>
      <c r="C72" s="273"/>
      <c r="D72" s="312" t="s">
        <v>19</v>
      </c>
      <c r="E72" s="313"/>
      <c r="F72" s="96">
        <f>GASTOS!F16</f>
        <v>0</v>
      </c>
      <c r="G72" s="96">
        <f>GASTOS!H16</f>
        <v>0</v>
      </c>
      <c r="H72" s="96">
        <f>GASTOS!J16</f>
        <v>0</v>
      </c>
      <c r="I72" s="96">
        <f>GASTOS!L16</f>
        <v>0</v>
      </c>
      <c r="J72" s="96">
        <f>GASTOS!N16</f>
        <v>0</v>
      </c>
      <c r="K72" s="96">
        <f>GASTOS!P16</f>
        <v>0</v>
      </c>
      <c r="L72" s="96">
        <f>GASTOS!R16</f>
        <v>0</v>
      </c>
      <c r="M72" s="96">
        <f>GASTOS!T16</f>
        <v>0</v>
      </c>
      <c r="N72" s="96">
        <f>GASTOS!V16</f>
        <v>0</v>
      </c>
      <c r="O72" s="96">
        <f>GASTOS!X16</f>
        <v>0</v>
      </c>
      <c r="P72" s="96">
        <f>GASTOS!Z16</f>
        <v>0</v>
      </c>
      <c r="Q72" s="96">
        <f>GASTOS!AB16</f>
        <v>0</v>
      </c>
      <c r="R72" s="100"/>
      <c r="S72" s="96">
        <f>SUM(F72:Q72)</f>
        <v>0</v>
      </c>
      <c r="T72" s="68"/>
      <c r="U72" s="42"/>
    </row>
    <row r="73" spans="1:21" ht="24.9" customHeight="1" x14ac:dyDescent="0.25">
      <c r="A73" s="35"/>
      <c r="B73" s="72"/>
      <c r="C73" s="273"/>
      <c r="D73" s="47"/>
      <c r="E73" s="46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23"/>
      <c r="T73" s="69"/>
      <c r="U73" s="30"/>
    </row>
    <row r="74" spans="1:21" ht="24.9" customHeight="1" x14ac:dyDescent="0.25">
      <c r="A74" s="35"/>
      <c r="B74" s="72"/>
      <c r="C74" s="273"/>
      <c r="D74" s="45"/>
      <c r="E74" s="6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23"/>
      <c r="T74" s="65"/>
      <c r="U74" s="30"/>
    </row>
    <row r="75" spans="1:21" ht="24.9" customHeight="1" x14ac:dyDescent="0.25">
      <c r="A75" s="35"/>
      <c r="B75" s="72"/>
      <c r="C75" s="273"/>
      <c r="D75" s="45"/>
      <c r="E75" s="6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23"/>
      <c r="T75" s="71"/>
      <c r="U75" s="30"/>
    </row>
    <row r="76" spans="1:21" ht="24.9" customHeight="1" x14ac:dyDescent="0.25">
      <c r="A76" s="35"/>
      <c r="B76" s="72"/>
      <c r="C76" s="273"/>
      <c r="D76" s="45"/>
      <c r="E76" s="6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23"/>
      <c r="T76" s="71"/>
      <c r="U76" s="30"/>
    </row>
    <row r="77" spans="1:21" ht="24.9" customHeight="1" x14ac:dyDescent="0.25">
      <c r="A77" s="35"/>
      <c r="B77" s="72"/>
      <c r="C77" s="273"/>
      <c r="D77" s="45"/>
      <c r="E77" s="6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23"/>
      <c r="T77" s="71"/>
      <c r="U77" s="30"/>
    </row>
    <row r="78" spans="1:21" ht="24.9" customHeight="1" x14ac:dyDescent="0.25">
      <c r="A78" s="35"/>
      <c r="B78" s="72"/>
      <c r="C78" s="273"/>
      <c r="D78" s="45"/>
      <c r="E78" s="6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23"/>
      <c r="T78" s="71"/>
      <c r="U78" s="30"/>
    </row>
    <row r="79" spans="1:21" ht="24.9" customHeight="1" x14ac:dyDescent="0.25">
      <c r="A79" s="35"/>
      <c r="B79" s="72"/>
      <c r="C79" s="273"/>
      <c r="D79" s="45"/>
      <c r="E79" s="6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23"/>
      <c r="T79" s="71"/>
      <c r="U79" s="30"/>
    </row>
    <row r="80" spans="1:21" ht="24.9" customHeight="1" x14ac:dyDescent="0.25">
      <c r="A80" s="35"/>
      <c r="B80" s="72"/>
      <c r="C80" s="273"/>
      <c r="D80" s="45"/>
      <c r="E80" s="6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23"/>
      <c r="T80" s="71"/>
      <c r="U80" s="30"/>
    </row>
    <row r="81" spans="1:21" ht="24.9" customHeight="1" x14ac:dyDescent="0.25">
      <c r="A81" s="35"/>
      <c r="B81" s="72"/>
      <c r="C81" s="273"/>
      <c r="D81" s="45"/>
      <c r="E81" s="6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23"/>
      <c r="T81" s="71"/>
      <c r="U81" s="30"/>
    </row>
    <row r="82" spans="1:21" ht="24.9" customHeight="1" x14ac:dyDescent="0.25">
      <c r="A82" s="35"/>
      <c r="B82" s="72"/>
      <c r="C82" s="273"/>
      <c r="D82" s="45"/>
      <c r="E82" s="6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3"/>
      <c r="T82" s="71"/>
      <c r="U82" s="30"/>
    </row>
    <row r="83" spans="1:21" ht="24.9" customHeight="1" x14ac:dyDescent="0.25">
      <c r="A83" s="35"/>
      <c r="B83" s="72"/>
      <c r="C83" s="273"/>
      <c r="D83" s="45"/>
      <c r="E83" s="6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3"/>
      <c r="T83" s="71"/>
      <c r="U83" s="30"/>
    </row>
    <row r="84" spans="1:21" ht="24.9" customHeight="1" x14ac:dyDescent="0.25">
      <c r="A84" s="35"/>
      <c r="B84" s="72"/>
      <c r="C84" s="273"/>
      <c r="D84" s="50"/>
      <c r="E84" s="58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7"/>
      <c r="T84" s="71"/>
      <c r="U84" s="30"/>
    </row>
    <row r="85" spans="1:21" ht="24.9" customHeight="1" x14ac:dyDescent="0.25">
      <c r="A85" s="35"/>
      <c r="B85" s="72"/>
      <c r="C85" s="273"/>
      <c r="D85" s="50"/>
      <c r="E85" s="58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7"/>
      <c r="T85" s="71"/>
      <c r="U85" s="30"/>
    </row>
    <row r="86" spans="1:21" ht="24.9" customHeight="1" x14ac:dyDescent="0.25">
      <c r="A86" s="35"/>
      <c r="B86" s="72"/>
      <c r="C86" s="273"/>
      <c r="D86" s="45"/>
      <c r="E86" s="6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23"/>
      <c r="T86" s="71"/>
      <c r="U86" s="30"/>
    </row>
    <row r="87" spans="1:21" ht="24.9" customHeight="1" x14ac:dyDescent="0.25">
      <c r="A87" s="35"/>
      <c r="B87" s="72"/>
      <c r="C87" s="273"/>
      <c r="D87" s="45"/>
      <c r="E87" s="60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23"/>
      <c r="T87" s="71"/>
      <c r="U87" s="30"/>
    </row>
    <row r="88" spans="1:21" ht="24.9" customHeight="1" x14ac:dyDescent="0.25">
      <c r="A88" s="35"/>
      <c r="B88" s="72"/>
      <c r="C88" s="273"/>
      <c r="D88" s="45"/>
      <c r="E88" s="6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23"/>
      <c r="T88" s="71"/>
      <c r="U88" s="30"/>
    </row>
    <row r="89" spans="1:21" ht="24.9" customHeight="1" x14ac:dyDescent="0.25">
      <c r="A89" s="35"/>
      <c r="B89" s="72"/>
      <c r="C89" s="273"/>
      <c r="D89" s="45"/>
      <c r="E89" s="60"/>
      <c r="F89" s="19"/>
      <c r="G89" s="19" t="s">
        <v>5</v>
      </c>
      <c r="H89" s="19" t="s">
        <v>6</v>
      </c>
      <c r="I89" s="19" t="s">
        <v>7</v>
      </c>
      <c r="J89" s="19" t="s">
        <v>8</v>
      </c>
      <c r="K89" s="19" t="s">
        <v>9</v>
      </c>
      <c r="L89" s="19" t="s">
        <v>10</v>
      </c>
      <c r="M89" s="19" t="s">
        <v>11</v>
      </c>
      <c r="N89" s="19" t="s">
        <v>12</v>
      </c>
      <c r="O89" s="19" t="s">
        <v>13</v>
      </c>
      <c r="P89" s="19" t="s">
        <v>14</v>
      </c>
      <c r="Q89" s="19" t="s">
        <v>15</v>
      </c>
      <c r="R89" s="19" t="s">
        <v>16</v>
      </c>
      <c r="S89" s="23"/>
      <c r="T89" s="72"/>
      <c r="U89" s="30"/>
    </row>
    <row r="90" spans="1:21" ht="24.9" customHeight="1" x14ac:dyDescent="0.25">
      <c r="A90" s="35"/>
      <c r="B90" s="72"/>
      <c r="C90" s="273"/>
      <c r="D90" s="45"/>
      <c r="E90" s="60"/>
      <c r="F90" s="19" t="str">
        <f>GASTOS!C18</f>
        <v xml:space="preserve">DESPESAS OPERACIONAIS </v>
      </c>
      <c r="G90" s="61">
        <f>GASTOS!F22</f>
        <v>0</v>
      </c>
      <c r="H90" s="61">
        <f>GASTOS!H22</f>
        <v>0</v>
      </c>
      <c r="I90" s="61">
        <f>GASTOS!J22</f>
        <v>0</v>
      </c>
      <c r="J90" s="61">
        <f>GASTOS!L22</f>
        <v>0</v>
      </c>
      <c r="K90" s="61">
        <f>GASTOS!N22</f>
        <v>0</v>
      </c>
      <c r="L90" s="61">
        <f>GASTOS!P22</f>
        <v>0</v>
      </c>
      <c r="M90" s="61">
        <f>GASTOS!R22</f>
        <v>0</v>
      </c>
      <c r="N90" s="61">
        <f>GASTOS!T22</f>
        <v>0</v>
      </c>
      <c r="O90" s="61">
        <f>GASTOS!V22</f>
        <v>0</v>
      </c>
      <c r="P90" s="61">
        <f>GASTOS!X22</f>
        <v>0</v>
      </c>
      <c r="Q90" s="61">
        <f>GASTOS!Z22</f>
        <v>0</v>
      </c>
      <c r="R90" s="61">
        <f>GASTOS!AB22</f>
        <v>0</v>
      </c>
      <c r="S90" s="23"/>
      <c r="T90" s="71"/>
      <c r="U90" s="30"/>
    </row>
    <row r="91" spans="1:21" ht="24.9" customHeight="1" x14ac:dyDescent="0.25">
      <c r="A91" s="35"/>
      <c r="B91" s="72"/>
      <c r="C91" s="273"/>
      <c r="D91" s="45"/>
      <c r="E91" s="60"/>
      <c r="F91" s="19" t="str">
        <f>GASTOS!C84</f>
        <v>CUSTOS PRODUTOS/SERVIÇOS</v>
      </c>
      <c r="G91" s="61">
        <f>GASTOS!F88</f>
        <v>0</v>
      </c>
      <c r="H91" s="61">
        <f>GASTOS!H88</f>
        <v>0</v>
      </c>
      <c r="I91" s="61">
        <f>GASTOS!J88</f>
        <v>0</v>
      </c>
      <c r="J91" s="61">
        <f>GASTOS!L88</f>
        <v>0</v>
      </c>
      <c r="K91" s="61">
        <f>GASTOS!N88</f>
        <v>0</v>
      </c>
      <c r="L91" s="61">
        <f>GASTOS!P88</f>
        <v>0</v>
      </c>
      <c r="M91" s="61">
        <f>GASTOS!R88</f>
        <v>0</v>
      </c>
      <c r="N91" s="61">
        <f>GASTOS!T88</f>
        <v>0</v>
      </c>
      <c r="O91" s="61">
        <f>GASTOS!V88</f>
        <v>0</v>
      </c>
      <c r="P91" s="61">
        <f>GASTOS!X88</f>
        <v>0</v>
      </c>
      <c r="Q91" s="61">
        <f>GASTOS!Z88</f>
        <v>0</v>
      </c>
      <c r="R91" s="61">
        <f>GASTOS!AB88</f>
        <v>0</v>
      </c>
      <c r="S91" s="23"/>
      <c r="T91" s="71"/>
      <c r="U91" s="30"/>
    </row>
    <row r="92" spans="1:21" ht="24.9" customHeight="1" x14ac:dyDescent="0.25">
      <c r="A92" s="35"/>
      <c r="B92" s="72"/>
      <c r="C92" s="273"/>
      <c r="D92" s="45"/>
      <c r="E92" s="60"/>
      <c r="F92" s="19" t="str">
        <f>GASTOS!C110</f>
        <v>IMPOSTOS E TAXAS</v>
      </c>
      <c r="G92" s="61">
        <f>GASTOS!F114</f>
        <v>0</v>
      </c>
      <c r="H92" s="61">
        <f>GASTOS!H114</f>
        <v>0</v>
      </c>
      <c r="I92" s="61">
        <f>GASTOS!J114</f>
        <v>0</v>
      </c>
      <c r="J92" s="61">
        <f>GASTOS!L114</f>
        <v>0</v>
      </c>
      <c r="K92" s="61">
        <f>GASTOS!N114</f>
        <v>0</v>
      </c>
      <c r="L92" s="61">
        <f>GASTOS!P114</f>
        <v>0</v>
      </c>
      <c r="M92" s="61">
        <f>GASTOS!R114</f>
        <v>0</v>
      </c>
      <c r="N92" s="61">
        <f>GASTOS!T114</f>
        <v>0</v>
      </c>
      <c r="O92" s="61">
        <f>GASTOS!V114</f>
        <v>0</v>
      </c>
      <c r="P92" s="61">
        <f>GASTOS!X114</f>
        <v>0</v>
      </c>
      <c r="Q92" s="61">
        <f>GASTOS!Z114</f>
        <v>0</v>
      </c>
      <c r="R92" s="61">
        <f>GASTOS!AB114</f>
        <v>0</v>
      </c>
      <c r="S92" s="23"/>
      <c r="T92" s="71"/>
      <c r="U92" s="30"/>
    </row>
    <row r="93" spans="1:21" ht="24.9" customHeight="1" x14ac:dyDescent="0.25">
      <c r="A93" s="35"/>
      <c r="B93" s="72"/>
      <c r="C93" s="273"/>
      <c r="D93" s="45"/>
      <c r="E93" s="60"/>
      <c r="F93" s="19" t="str">
        <f>GASTOS!C141</f>
        <v>INVESTIMENTOS</v>
      </c>
      <c r="G93" s="61">
        <f>GASTOS!F145</f>
        <v>0</v>
      </c>
      <c r="H93" s="61">
        <f>GASTOS!H145</f>
        <v>0</v>
      </c>
      <c r="I93" s="61">
        <f>GASTOS!J145</f>
        <v>0</v>
      </c>
      <c r="J93" s="61">
        <f>GASTOS!L145</f>
        <v>0</v>
      </c>
      <c r="K93" s="61">
        <f>GASTOS!N145</f>
        <v>0</v>
      </c>
      <c r="L93" s="61">
        <f>GASTOS!P145</f>
        <v>0</v>
      </c>
      <c r="M93" s="61">
        <f>GASTOS!R145</f>
        <v>0</v>
      </c>
      <c r="N93" s="61">
        <f>GASTOS!T145</f>
        <v>0</v>
      </c>
      <c r="O93" s="61">
        <f>GASTOS!V145</f>
        <v>0</v>
      </c>
      <c r="P93" s="61">
        <f>GASTOS!X145</f>
        <v>0</v>
      </c>
      <c r="Q93" s="61">
        <f>GASTOS!Z145</f>
        <v>0</v>
      </c>
      <c r="R93" s="61">
        <f>GASTOS!AB145</f>
        <v>0</v>
      </c>
      <c r="S93" s="23"/>
      <c r="T93" s="71"/>
      <c r="U93" s="30"/>
    </row>
    <row r="94" spans="1:21" ht="24.9" customHeight="1" x14ac:dyDescent="0.25">
      <c r="A94" s="35"/>
      <c r="B94" s="72"/>
      <c r="C94" s="273"/>
      <c r="D94" s="45"/>
      <c r="E94" s="60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23"/>
      <c r="T94" s="71"/>
      <c r="U94" s="30"/>
    </row>
    <row r="95" spans="1:21" ht="24.9" customHeight="1" x14ac:dyDescent="0.25">
      <c r="A95" s="35"/>
      <c r="B95" s="72"/>
      <c r="C95" s="273"/>
      <c r="D95" s="45"/>
      <c r="E95" s="60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23"/>
      <c r="T95" s="71"/>
      <c r="U95" s="30"/>
    </row>
    <row r="96" spans="1:21" ht="24.9" customHeight="1" x14ac:dyDescent="0.25">
      <c r="A96" s="35"/>
      <c r="B96" s="72"/>
      <c r="C96" s="273"/>
      <c r="D96" s="45"/>
      <c r="E96" s="6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23"/>
      <c r="T96" s="71"/>
      <c r="U96" s="30"/>
    </row>
    <row r="97" spans="1:32" ht="24.9" customHeight="1" x14ac:dyDescent="0.3">
      <c r="A97" s="35"/>
      <c r="B97" s="72"/>
      <c r="C97" s="273"/>
      <c r="D97" s="51"/>
      <c r="E97" s="52"/>
      <c r="F97" s="92" t="s">
        <v>5</v>
      </c>
      <c r="G97" s="92" t="s">
        <v>6</v>
      </c>
      <c r="H97" s="92" t="s">
        <v>7</v>
      </c>
      <c r="I97" s="92" t="s">
        <v>8</v>
      </c>
      <c r="J97" s="92" t="s">
        <v>9</v>
      </c>
      <c r="K97" s="92" t="s">
        <v>10</v>
      </c>
      <c r="L97" s="92" t="s">
        <v>11</v>
      </c>
      <c r="M97" s="92" t="s">
        <v>12</v>
      </c>
      <c r="N97" s="93" t="s">
        <v>13</v>
      </c>
      <c r="O97" s="92" t="s">
        <v>14</v>
      </c>
      <c r="P97" s="92" t="s">
        <v>15</v>
      </c>
      <c r="Q97" s="92" t="s">
        <v>16</v>
      </c>
      <c r="R97" s="94"/>
      <c r="S97" s="95" t="s">
        <v>107</v>
      </c>
      <c r="T97" s="71"/>
      <c r="U97" s="30"/>
    </row>
    <row r="98" spans="1:32" ht="31.5" customHeight="1" x14ac:dyDescent="0.25">
      <c r="A98" s="35"/>
      <c r="B98" s="72"/>
      <c r="C98" s="273"/>
      <c r="D98" s="334" t="s">
        <v>120</v>
      </c>
      <c r="E98" s="334"/>
      <c r="F98" s="104">
        <f>G90</f>
        <v>0</v>
      </c>
      <c r="G98" s="104">
        <f t="shared" ref="G98:Q98" si="10">H90</f>
        <v>0</v>
      </c>
      <c r="H98" s="104">
        <f t="shared" si="10"/>
        <v>0</v>
      </c>
      <c r="I98" s="104">
        <f t="shared" si="10"/>
        <v>0</v>
      </c>
      <c r="J98" s="104">
        <f t="shared" si="10"/>
        <v>0</v>
      </c>
      <c r="K98" s="104">
        <f t="shared" si="10"/>
        <v>0</v>
      </c>
      <c r="L98" s="104">
        <f t="shared" si="10"/>
        <v>0</v>
      </c>
      <c r="M98" s="104">
        <f t="shared" si="10"/>
        <v>0</v>
      </c>
      <c r="N98" s="104">
        <f t="shared" si="10"/>
        <v>0</v>
      </c>
      <c r="O98" s="104">
        <f t="shared" si="10"/>
        <v>0</v>
      </c>
      <c r="P98" s="104">
        <f t="shared" si="10"/>
        <v>0</v>
      </c>
      <c r="Q98" s="104">
        <f t="shared" si="10"/>
        <v>0</v>
      </c>
      <c r="R98" s="105"/>
      <c r="S98" s="104">
        <f>SUM(F98:Q98)</f>
        <v>0</v>
      </c>
      <c r="T98" s="71"/>
      <c r="U98" s="30"/>
    </row>
    <row r="99" spans="1:32" ht="31.5" customHeight="1" x14ac:dyDescent="0.25">
      <c r="A99" s="35"/>
      <c r="B99" s="72"/>
      <c r="C99" s="273"/>
      <c r="D99" s="332" t="s">
        <v>121</v>
      </c>
      <c r="E99" s="333"/>
      <c r="F99" s="106">
        <f>G91</f>
        <v>0</v>
      </c>
      <c r="G99" s="106">
        <f t="shared" ref="G99:Q99" si="11">H91</f>
        <v>0</v>
      </c>
      <c r="H99" s="106">
        <f t="shared" si="11"/>
        <v>0</v>
      </c>
      <c r="I99" s="106">
        <f t="shared" si="11"/>
        <v>0</v>
      </c>
      <c r="J99" s="106">
        <f t="shared" si="11"/>
        <v>0</v>
      </c>
      <c r="K99" s="106">
        <f t="shared" si="11"/>
        <v>0</v>
      </c>
      <c r="L99" s="106">
        <f t="shared" si="11"/>
        <v>0</v>
      </c>
      <c r="M99" s="106">
        <f t="shared" si="11"/>
        <v>0</v>
      </c>
      <c r="N99" s="106">
        <f t="shared" si="11"/>
        <v>0</v>
      </c>
      <c r="O99" s="106">
        <f t="shared" si="11"/>
        <v>0</v>
      </c>
      <c r="P99" s="106">
        <f t="shared" si="11"/>
        <v>0</v>
      </c>
      <c r="Q99" s="106">
        <f t="shared" si="11"/>
        <v>0</v>
      </c>
      <c r="R99" s="105"/>
      <c r="S99" s="106">
        <f t="shared" ref="S99:S101" si="12">SUM(F99:Q99)</f>
        <v>0</v>
      </c>
      <c r="T99" s="71"/>
      <c r="U99" s="30"/>
    </row>
    <row r="100" spans="1:32" ht="31.5" customHeight="1" x14ac:dyDescent="0.25">
      <c r="A100" s="35"/>
      <c r="B100" s="72"/>
      <c r="C100" s="273"/>
      <c r="D100" s="330" t="str">
        <f>F92</f>
        <v>IMPOSTOS E TAXAS</v>
      </c>
      <c r="E100" s="330"/>
      <c r="F100" s="107">
        <f>G92</f>
        <v>0</v>
      </c>
      <c r="G100" s="107">
        <f t="shared" ref="G100:Q100" si="13">H92</f>
        <v>0</v>
      </c>
      <c r="H100" s="107">
        <f t="shared" si="13"/>
        <v>0</v>
      </c>
      <c r="I100" s="107">
        <f t="shared" si="13"/>
        <v>0</v>
      </c>
      <c r="J100" s="107">
        <f t="shared" si="13"/>
        <v>0</v>
      </c>
      <c r="K100" s="107">
        <f t="shared" si="13"/>
        <v>0</v>
      </c>
      <c r="L100" s="107">
        <f t="shared" si="13"/>
        <v>0</v>
      </c>
      <c r="M100" s="107">
        <f t="shared" si="13"/>
        <v>0</v>
      </c>
      <c r="N100" s="107">
        <f t="shared" si="13"/>
        <v>0</v>
      </c>
      <c r="O100" s="107">
        <f t="shared" si="13"/>
        <v>0</v>
      </c>
      <c r="P100" s="107">
        <f t="shared" si="13"/>
        <v>0</v>
      </c>
      <c r="Q100" s="107">
        <f t="shared" si="13"/>
        <v>0</v>
      </c>
      <c r="R100" s="105"/>
      <c r="S100" s="107">
        <f t="shared" si="12"/>
        <v>0</v>
      </c>
      <c r="T100" s="71"/>
      <c r="U100" s="30"/>
    </row>
    <row r="101" spans="1:32" ht="31.5" customHeight="1" x14ac:dyDescent="0.25">
      <c r="A101" s="35"/>
      <c r="B101" s="72"/>
      <c r="C101" s="274"/>
      <c r="D101" s="331" t="str">
        <f>F93</f>
        <v>INVESTIMENTOS</v>
      </c>
      <c r="E101" s="331"/>
      <c r="F101" s="108">
        <f>G93</f>
        <v>0</v>
      </c>
      <c r="G101" s="108">
        <f t="shared" ref="G101:Q101" si="14">H93</f>
        <v>0</v>
      </c>
      <c r="H101" s="108">
        <f t="shared" si="14"/>
        <v>0</v>
      </c>
      <c r="I101" s="108">
        <f t="shared" si="14"/>
        <v>0</v>
      </c>
      <c r="J101" s="108">
        <f t="shared" si="14"/>
        <v>0</v>
      </c>
      <c r="K101" s="108">
        <f t="shared" si="14"/>
        <v>0</v>
      </c>
      <c r="L101" s="108">
        <f t="shared" si="14"/>
        <v>0</v>
      </c>
      <c r="M101" s="108">
        <f t="shared" si="14"/>
        <v>0</v>
      </c>
      <c r="N101" s="108">
        <f t="shared" si="14"/>
        <v>0</v>
      </c>
      <c r="O101" s="108">
        <f t="shared" si="14"/>
        <v>0</v>
      </c>
      <c r="P101" s="108">
        <f t="shared" si="14"/>
        <v>0</v>
      </c>
      <c r="Q101" s="108">
        <f t="shared" si="14"/>
        <v>0</v>
      </c>
      <c r="R101" s="109"/>
      <c r="S101" s="108">
        <f t="shared" si="12"/>
        <v>0</v>
      </c>
      <c r="T101" s="71"/>
      <c r="U101" s="30"/>
    </row>
    <row r="102" spans="1:32" ht="15" customHeight="1" x14ac:dyDescent="0.25">
      <c r="A102" s="35"/>
      <c r="B102" s="74"/>
      <c r="C102" s="75"/>
      <c r="D102" s="76"/>
      <c r="E102" s="76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8"/>
      <c r="S102" s="77"/>
      <c r="T102" s="79"/>
      <c r="U102" s="30"/>
    </row>
    <row r="103" spans="1:32" s="2" customFormat="1" ht="18.75" customHeight="1" x14ac:dyDescent="0.25">
      <c r="A103" s="35"/>
      <c r="B103" s="18"/>
      <c r="E103" s="9"/>
      <c r="U103" s="4"/>
    </row>
    <row r="104" spans="1:32" s="2" customFormat="1" ht="18.75" customHeight="1" x14ac:dyDescent="0.25">
      <c r="A104" s="35"/>
      <c r="B104" s="18"/>
      <c r="E104" s="327" t="s">
        <v>122</v>
      </c>
      <c r="F104" s="327"/>
      <c r="G104" s="327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16"/>
      <c r="T104" s="16"/>
      <c r="U104" s="32"/>
    </row>
    <row r="105" spans="1:32" s="2" customFormat="1" ht="18.75" customHeight="1" x14ac:dyDescent="0.25">
      <c r="A105" s="6"/>
      <c r="B105" s="11"/>
      <c r="C105" s="11"/>
      <c r="D105" s="11"/>
      <c r="E105" s="1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33"/>
    </row>
    <row r="106" spans="1:32" ht="24.9" customHeight="1" x14ac:dyDescent="0.25">
      <c r="C106" s="20"/>
      <c r="D106" s="20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12" spans="1:32" ht="15" customHeight="1" x14ac:dyDescent="0.25"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</sheetData>
  <mergeCells count="36">
    <mergeCell ref="E104:R104"/>
    <mergeCell ref="Q9:T9"/>
    <mergeCell ref="D65:E65"/>
    <mergeCell ref="D66:E66"/>
    <mergeCell ref="D72:E72"/>
    <mergeCell ref="D71:E71"/>
    <mergeCell ref="D100:E100"/>
    <mergeCell ref="D101:E101"/>
    <mergeCell ref="D99:E99"/>
    <mergeCell ref="D98:E98"/>
    <mergeCell ref="Q4:T4"/>
    <mergeCell ref="D67:E67"/>
    <mergeCell ref="D16:E16"/>
    <mergeCell ref="D17:E17"/>
    <mergeCell ref="D18:E18"/>
    <mergeCell ref="D38:E38"/>
    <mergeCell ref="D39:E39"/>
    <mergeCell ref="B2:E9"/>
    <mergeCell ref="B11:M12"/>
    <mergeCell ref="D36:S36"/>
    <mergeCell ref="C69:C101"/>
    <mergeCell ref="D69:S69"/>
    <mergeCell ref="C14:C34"/>
    <mergeCell ref="D14:S14"/>
    <mergeCell ref="Q6:T6"/>
    <mergeCell ref="Q7:T7"/>
    <mergeCell ref="Q8:T8"/>
    <mergeCell ref="S11:T11"/>
    <mergeCell ref="S12:T12"/>
    <mergeCell ref="N11:R11"/>
    <mergeCell ref="N12:R12"/>
    <mergeCell ref="C36:C67"/>
    <mergeCell ref="F2:P9"/>
    <mergeCell ref="Q2:T2"/>
    <mergeCell ref="Q3:T3"/>
    <mergeCell ref="Q5:T5"/>
  </mergeCells>
  <phoneticPr fontId="6" type="noConversion"/>
  <conditionalFormatting sqref="F17:Q17">
    <cfRule type="cellIs" dxfId="229" priority="25" operator="greaterThan">
      <formula>F16</formula>
    </cfRule>
    <cfRule type="cellIs" dxfId="228" priority="26" operator="equal">
      <formula>F16</formula>
    </cfRule>
    <cfRule type="cellIs" dxfId="227" priority="27" operator="lessThan">
      <formula>F16</formula>
    </cfRule>
  </conditionalFormatting>
  <conditionalFormatting sqref="F39:Q39">
    <cfRule type="cellIs" dxfId="226" priority="19" operator="greaterThan">
      <formula>F38</formula>
    </cfRule>
    <cfRule type="cellIs" dxfId="225" priority="20" operator="equal">
      <formula>F38</formula>
    </cfRule>
    <cfRule type="cellIs" dxfId="224" priority="21" operator="lessThan">
      <formula>F38</formula>
    </cfRule>
  </conditionalFormatting>
  <conditionalFormatting sqref="F72:Q72">
    <cfRule type="cellIs" dxfId="223" priority="13" operator="greaterThan">
      <formula>F71</formula>
    </cfRule>
    <cfRule type="cellIs" dxfId="222" priority="14" operator="equal">
      <formula>F71</formula>
    </cfRule>
    <cfRule type="cellIs" dxfId="221" priority="15" operator="lessThan">
      <formula>F71</formula>
    </cfRule>
  </conditionalFormatting>
  <conditionalFormatting sqref="S17">
    <cfRule type="cellIs" dxfId="220" priority="1" operator="greaterThan">
      <formula>S16</formula>
    </cfRule>
    <cfRule type="cellIs" dxfId="219" priority="2" operator="equal">
      <formula>S16</formula>
    </cfRule>
    <cfRule type="cellIs" dxfId="218" priority="3" operator="lessThan">
      <formula>S16</formula>
    </cfRule>
  </conditionalFormatting>
  <conditionalFormatting sqref="S39">
    <cfRule type="cellIs" dxfId="217" priority="4" operator="greaterThan">
      <formula>S38</formula>
    </cfRule>
    <cfRule type="cellIs" dxfId="216" priority="5" operator="equal">
      <formula>S38</formula>
    </cfRule>
    <cfRule type="cellIs" dxfId="215" priority="6" operator="lessThan">
      <formula>S38</formula>
    </cfRule>
  </conditionalFormatting>
  <conditionalFormatting sqref="S72">
    <cfRule type="cellIs" dxfId="214" priority="7" operator="greaterThan">
      <formula>S71</formula>
    </cfRule>
    <cfRule type="cellIs" dxfId="213" priority="8" operator="equal">
      <formula>S71</formula>
    </cfRule>
    <cfRule type="cellIs" dxfId="212" priority="9" operator="lessThan">
      <formula>S71</formula>
    </cfRule>
  </conditionalFormatting>
  <hyperlinks>
    <hyperlink ref="E104" r:id="rId1" display="This work is licensed under a Creative Commons Attribution-NonCommercial 4.0 International License." xr:uid="{76B6BCBA-56B9-4784-BFD5-0C52F4E45C15}"/>
  </hyperlinks>
  <printOptions horizontalCentered="1" verticalCentered="1"/>
  <pageMargins left="0" right="0" top="0" bottom="0" header="0" footer="0"/>
  <pageSetup paperSize="9" scale="32" fitToWidth="0" orientation="portrait" r:id="rId2"/>
  <headerFooter alignWithMargins="0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" id="{19657100-24D4-40B2-B9CB-AC3FCAF4C860}">
            <x14:iconSet iconSet="3Symbols2" showValue="0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F19:Q19</xm:sqref>
        </x14:conditionalFormatting>
        <x14:conditionalFormatting xmlns:xm="http://schemas.microsoft.com/office/excel/2006/main">
          <x14:cfRule type="iconSet" priority="30" id="{4A71DE84-DB85-4982-A70D-C7348431973A}">
            <x14:iconSet iconSet="3Symbols2" showValue="0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S19:T19</xm:sqref>
        </x14:conditionalFormatting>
        <x14:conditionalFormatting xmlns:xm="http://schemas.microsoft.com/office/excel/2006/main">
          <x14:cfRule type="iconSet" priority="29" id="{F3F7D2A3-F599-4347-9E5A-B50723C6CAA1}">
            <x14:iconSet iconSet="3Symbols2" showValue="0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T39</xm:sqref>
        </x14:conditionalFormatting>
        <x14:conditionalFormatting xmlns:xm="http://schemas.microsoft.com/office/excel/2006/main">
          <x14:cfRule type="iconSet" priority="28" id="{65DC54E0-ED8A-43FE-AFDE-A169ABC22E05}">
            <x14:iconSet iconSet="3Symbols2" showValue="0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0CC7-ACFC-4686-B1D1-346060C08D30}">
  <dimension ref="B1:X154"/>
  <sheetViews>
    <sheetView showGridLines="0" zoomScale="130" zoomScaleNormal="130" workbookViewId="0">
      <selection activeCell="C3" sqref="C3:D10"/>
    </sheetView>
  </sheetViews>
  <sheetFormatPr defaultRowHeight="14.4" x14ac:dyDescent="0.3"/>
  <cols>
    <col min="1" max="1" width="3.88671875" customWidth="1"/>
    <col min="2" max="2" width="4" customWidth="1"/>
    <col min="3" max="3" width="16" customWidth="1"/>
    <col min="4" max="4" width="39.77734375" style="247" bestFit="1" customWidth="1"/>
    <col min="5" max="5" width="4.21875" style="247" customWidth="1"/>
    <col min="6" max="6" width="15.21875" bestFit="1" customWidth="1"/>
    <col min="7" max="7" width="28.33203125" bestFit="1" customWidth="1"/>
    <col min="8" max="8" width="5.109375" customWidth="1"/>
    <col min="9" max="9" width="14.6640625" bestFit="1" customWidth="1"/>
    <col min="10" max="10" width="29.6640625" hidden="1" customWidth="1"/>
    <col min="11" max="11" width="28.5546875" bestFit="1" customWidth="1"/>
    <col min="12" max="12" width="5.88671875" customWidth="1"/>
    <col min="13" max="13" width="15.21875" bestFit="1" customWidth="1"/>
    <col min="14" max="14" width="30" style="247" bestFit="1" customWidth="1"/>
    <col min="15" max="15" width="6" style="247" customWidth="1"/>
    <col min="16" max="16" width="15.21875" bestFit="1" customWidth="1"/>
    <col min="17" max="17" width="36.44140625" bestFit="1" customWidth="1"/>
    <col min="19" max="19" width="14.6640625" bestFit="1" customWidth="1"/>
    <col min="20" max="20" width="36.44140625" bestFit="1" customWidth="1"/>
    <col min="22" max="22" width="14.6640625" bestFit="1" customWidth="1"/>
    <col min="23" max="23" width="41.109375" bestFit="1" customWidth="1"/>
    <col min="24" max="24" width="5.5546875" customWidth="1"/>
  </cols>
  <sheetData>
    <row r="1" spans="2:24" x14ac:dyDescent="0.3">
      <c r="B1" s="245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spans="2:24" x14ac:dyDescent="0.3">
      <c r="B2" s="248"/>
      <c r="C2" s="249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1"/>
    </row>
    <row r="3" spans="2:24" ht="9" customHeight="1" x14ac:dyDescent="0.3">
      <c r="B3" s="252"/>
      <c r="C3" s="342"/>
      <c r="D3" s="343"/>
      <c r="E3" s="348" t="s">
        <v>174</v>
      </c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9"/>
      <c r="W3" s="242" t="s">
        <v>1</v>
      </c>
      <c r="X3" s="253"/>
    </row>
    <row r="4" spans="2:24" ht="19.8" customHeight="1" x14ac:dyDescent="0.3">
      <c r="B4" s="252"/>
      <c r="C4" s="344"/>
      <c r="D4" s="345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1"/>
      <c r="W4" s="243" t="s">
        <v>173</v>
      </c>
      <c r="X4" s="253"/>
    </row>
    <row r="5" spans="2:24" ht="9" customHeight="1" x14ac:dyDescent="0.3">
      <c r="B5" s="252"/>
      <c r="C5" s="344"/>
      <c r="D5" s="345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1"/>
      <c r="W5" s="242" t="s">
        <v>2</v>
      </c>
      <c r="X5" s="253"/>
    </row>
    <row r="6" spans="2:24" ht="16.8" customHeight="1" x14ac:dyDescent="0.3">
      <c r="B6" s="252"/>
      <c r="C6" s="344"/>
      <c r="D6" s="345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1"/>
      <c r="W6" s="270" t="s">
        <v>0</v>
      </c>
      <c r="X6" s="253"/>
    </row>
    <row r="7" spans="2:24" ht="9" customHeight="1" x14ac:dyDescent="0.3">
      <c r="B7" s="252"/>
      <c r="C7" s="344"/>
      <c r="D7" s="345"/>
      <c r="E7" s="350"/>
      <c r="F7" s="350"/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0"/>
      <c r="T7" s="350"/>
      <c r="U7" s="350"/>
      <c r="V7" s="351"/>
      <c r="W7" s="242" t="s">
        <v>3</v>
      </c>
      <c r="X7" s="253"/>
    </row>
    <row r="8" spans="2:24" ht="16.8" customHeight="1" x14ac:dyDescent="0.3">
      <c r="B8" s="252"/>
      <c r="C8" s="344"/>
      <c r="D8" s="345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1"/>
      <c r="W8" s="244">
        <v>45763</v>
      </c>
      <c r="X8" s="253"/>
    </row>
    <row r="9" spans="2:24" ht="9" customHeight="1" x14ac:dyDescent="0.3">
      <c r="B9" s="252"/>
      <c r="C9" s="344"/>
      <c r="D9" s="345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1"/>
      <c r="W9" s="242" t="s">
        <v>4</v>
      </c>
      <c r="X9" s="253"/>
    </row>
    <row r="10" spans="2:24" ht="18" customHeight="1" x14ac:dyDescent="0.3">
      <c r="B10" s="252"/>
      <c r="C10" s="346"/>
      <c r="D10" s="347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3"/>
      <c r="W10" s="270" t="s">
        <v>186</v>
      </c>
      <c r="X10" s="253"/>
    </row>
    <row r="11" spans="2:24" x14ac:dyDescent="0.3">
      <c r="B11" s="254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X11" s="255"/>
    </row>
    <row r="12" spans="2:24" ht="14.4" customHeight="1" x14ac:dyDescent="0.3">
      <c r="B12" s="252"/>
      <c r="C12" s="336" t="s">
        <v>175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8"/>
      <c r="X12" s="255"/>
    </row>
    <row r="13" spans="2:24" ht="14.4" customHeight="1" x14ac:dyDescent="0.3">
      <c r="B13" s="252"/>
      <c r="C13" s="339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1"/>
      <c r="X13" s="255"/>
    </row>
    <row r="14" spans="2:24" x14ac:dyDescent="0.3">
      <c r="B14" s="252"/>
      <c r="X14" s="255"/>
    </row>
    <row r="15" spans="2:24" s="259" customFormat="1" ht="20.399999999999999" customHeight="1" x14ac:dyDescent="0.3">
      <c r="B15" s="256"/>
      <c r="C15" s="257" t="s">
        <v>176</v>
      </c>
      <c r="D15" s="258" t="s">
        <v>178</v>
      </c>
      <c r="E15" s="245"/>
      <c r="F15" s="257" t="s">
        <v>176</v>
      </c>
      <c r="G15" s="258" t="s">
        <v>179</v>
      </c>
      <c r="I15" s="271" t="s">
        <v>176</v>
      </c>
      <c r="J15" s="260"/>
      <c r="K15" s="258" t="s">
        <v>180</v>
      </c>
      <c r="M15" s="257" t="s">
        <v>176</v>
      </c>
      <c r="N15" s="258" t="s">
        <v>181</v>
      </c>
      <c r="O15" s="245"/>
      <c r="P15" s="257" t="s">
        <v>176</v>
      </c>
      <c r="Q15" s="258" t="s">
        <v>182</v>
      </c>
      <c r="S15" s="257" t="s">
        <v>176</v>
      </c>
      <c r="T15" s="258" t="s">
        <v>183</v>
      </c>
      <c r="V15" s="257" t="s">
        <v>176</v>
      </c>
      <c r="W15" s="258" t="s">
        <v>184</v>
      </c>
      <c r="X15" s="261"/>
    </row>
    <row r="16" spans="2:24" x14ac:dyDescent="0.3">
      <c r="B16" s="252"/>
      <c r="C16" s="354" t="s">
        <v>177</v>
      </c>
      <c r="D16" s="262"/>
      <c r="F16" s="354" t="s">
        <v>177</v>
      </c>
      <c r="G16" s="262"/>
      <c r="I16" s="354" t="s">
        <v>177</v>
      </c>
      <c r="J16" t="e">
        <f>_xlfn.CONCAT(K16,#REF!)</f>
        <v>#REF!</v>
      </c>
      <c r="K16" s="262"/>
      <c r="M16" s="355" t="s">
        <v>177</v>
      </c>
      <c r="N16" s="262"/>
      <c r="P16" s="355" t="s">
        <v>177</v>
      </c>
      <c r="Q16" s="262"/>
      <c r="S16" s="355" t="s">
        <v>177</v>
      </c>
      <c r="T16" s="262"/>
      <c r="V16" s="355" t="s">
        <v>177</v>
      </c>
      <c r="W16" s="262"/>
      <c r="X16" s="255"/>
    </row>
    <row r="17" spans="2:24" x14ac:dyDescent="0.3">
      <c r="B17" s="252"/>
      <c r="C17" s="354"/>
      <c r="D17" s="262"/>
      <c r="F17" s="354"/>
      <c r="G17" s="262"/>
      <c r="I17" s="354"/>
      <c r="J17" t="e">
        <f>_xlfn.CONCAT(K17,#REF!)</f>
        <v>#REF!</v>
      </c>
      <c r="K17" s="262"/>
      <c r="M17" s="356"/>
      <c r="N17" s="262"/>
      <c r="P17" s="356"/>
      <c r="Q17" s="262"/>
      <c r="S17" s="356"/>
      <c r="T17" s="262"/>
      <c r="V17" s="356"/>
      <c r="W17" s="262"/>
      <c r="X17" s="255"/>
    </row>
    <row r="18" spans="2:24" x14ac:dyDescent="0.3">
      <c r="B18" s="252"/>
      <c r="C18" s="354"/>
      <c r="D18" s="262"/>
      <c r="F18" s="354"/>
      <c r="G18" s="262"/>
      <c r="I18" s="354"/>
      <c r="J18" t="e">
        <f>_xlfn.CONCAT(K18,#REF!)</f>
        <v>#REF!</v>
      </c>
      <c r="K18" s="262"/>
      <c r="M18" s="356"/>
      <c r="N18" s="262"/>
      <c r="P18" s="356"/>
      <c r="Q18" s="262"/>
      <c r="S18" s="356"/>
      <c r="T18" s="262"/>
      <c r="V18" s="356"/>
      <c r="W18" s="262"/>
      <c r="X18" s="255"/>
    </row>
    <row r="19" spans="2:24" x14ac:dyDescent="0.3">
      <c r="B19" s="252"/>
      <c r="C19" s="354"/>
      <c r="D19" s="262"/>
      <c r="F19" s="354"/>
      <c r="G19" s="262"/>
      <c r="I19" s="354"/>
      <c r="J19" t="e">
        <f>_xlfn.CONCAT(K19,#REF!)</f>
        <v>#REF!</v>
      </c>
      <c r="K19" s="262"/>
      <c r="M19" s="356"/>
      <c r="N19" s="262"/>
      <c r="P19" s="356"/>
      <c r="Q19" s="262"/>
      <c r="S19" s="356"/>
      <c r="T19" s="262"/>
      <c r="V19" s="356"/>
      <c r="W19" s="262"/>
      <c r="X19" s="255"/>
    </row>
    <row r="20" spans="2:24" x14ac:dyDescent="0.3">
      <c r="B20" s="252"/>
      <c r="C20" s="354"/>
      <c r="D20" s="262"/>
      <c r="F20" s="354"/>
      <c r="G20" s="262"/>
      <c r="I20" s="354"/>
      <c r="J20" t="e">
        <f>_xlfn.CONCAT(K20,#REF!)</f>
        <v>#REF!</v>
      </c>
      <c r="K20" s="262"/>
      <c r="M20" s="356"/>
      <c r="N20" s="262"/>
      <c r="P20" s="356"/>
      <c r="Q20" s="262"/>
      <c r="S20" s="356"/>
      <c r="T20" s="262"/>
      <c r="V20" s="356"/>
      <c r="W20" s="262"/>
      <c r="X20" s="255"/>
    </row>
    <row r="21" spans="2:24" x14ac:dyDescent="0.3">
      <c r="B21" s="252"/>
      <c r="C21" s="354"/>
      <c r="D21" s="262"/>
      <c r="F21" s="354"/>
      <c r="G21" s="262"/>
      <c r="I21" s="354"/>
      <c r="J21" t="e">
        <f>_xlfn.CONCAT(K21,#REF!)</f>
        <v>#REF!</v>
      </c>
      <c r="K21" s="262"/>
      <c r="M21" s="356"/>
      <c r="N21" s="262"/>
      <c r="P21" s="356"/>
      <c r="Q21" s="262"/>
      <c r="S21" s="356"/>
      <c r="T21" s="262"/>
      <c r="V21" s="356"/>
      <c r="W21" s="262"/>
      <c r="X21" s="255"/>
    </row>
    <row r="22" spans="2:24" x14ac:dyDescent="0.3">
      <c r="B22" s="252"/>
      <c r="C22" s="354"/>
      <c r="D22" s="262"/>
      <c r="F22" s="354"/>
      <c r="G22" s="262"/>
      <c r="I22" s="354"/>
      <c r="J22" t="e">
        <f>_xlfn.CONCAT(K22,#REF!)</f>
        <v>#REF!</v>
      </c>
      <c r="K22" s="262"/>
      <c r="M22" s="356"/>
      <c r="N22" s="262"/>
      <c r="P22" s="356"/>
      <c r="Q22" s="262"/>
      <c r="S22" s="356"/>
      <c r="T22" s="262"/>
      <c r="V22" s="356"/>
      <c r="W22" s="262"/>
      <c r="X22" s="255"/>
    </row>
    <row r="23" spans="2:24" x14ac:dyDescent="0.3">
      <c r="B23" s="252"/>
      <c r="C23" s="354"/>
      <c r="D23" s="262"/>
      <c r="F23" s="354"/>
      <c r="G23" s="262"/>
      <c r="I23" s="354"/>
      <c r="J23" t="e">
        <f>_xlfn.CONCAT(K23,#REF!)</f>
        <v>#REF!</v>
      </c>
      <c r="K23" s="262"/>
      <c r="M23" s="356"/>
      <c r="N23" s="262"/>
      <c r="P23" s="356"/>
      <c r="Q23" s="262"/>
      <c r="S23" s="356"/>
      <c r="T23" s="262"/>
      <c r="V23" s="356"/>
      <c r="W23" s="262"/>
      <c r="X23" s="255"/>
    </row>
    <row r="24" spans="2:24" x14ac:dyDescent="0.3">
      <c r="B24" s="252"/>
      <c r="C24" s="354"/>
      <c r="D24" s="262"/>
      <c r="F24" s="354"/>
      <c r="G24" s="262"/>
      <c r="I24" s="354"/>
      <c r="J24" t="e">
        <f>_xlfn.CONCAT(K24,#REF!)</f>
        <v>#REF!</v>
      </c>
      <c r="K24" s="262"/>
      <c r="M24" s="356"/>
      <c r="N24" s="262"/>
      <c r="P24" s="356"/>
      <c r="Q24" s="262"/>
      <c r="S24" s="356"/>
      <c r="T24" s="262"/>
      <c r="V24" s="356"/>
      <c r="W24" s="262"/>
      <c r="X24" s="255"/>
    </row>
    <row r="25" spans="2:24" x14ac:dyDescent="0.3">
      <c r="B25" s="252"/>
      <c r="C25" s="354"/>
      <c r="D25" s="262"/>
      <c r="F25" s="354"/>
      <c r="G25" s="262"/>
      <c r="I25" s="354"/>
      <c r="J25" t="e">
        <f>_xlfn.CONCAT(K25,#REF!)</f>
        <v>#REF!</v>
      </c>
      <c r="K25" s="262"/>
      <c r="M25" s="356"/>
      <c r="N25" s="262"/>
      <c r="P25" s="356"/>
      <c r="Q25" s="262"/>
      <c r="S25" s="356"/>
      <c r="T25" s="262"/>
      <c r="V25" s="356"/>
      <c r="W25" s="262"/>
      <c r="X25" s="255"/>
    </row>
    <row r="26" spans="2:24" x14ac:dyDescent="0.3">
      <c r="B26" s="252"/>
      <c r="C26" s="354"/>
      <c r="D26" s="262"/>
      <c r="F26" s="354"/>
      <c r="G26" s="262"/>
      <c r="I26" s="354"/>
      <c r="J26" t="e">
        <f>_xlfn.CONCAT(K26,#REF!)</f>
        <v>#REF!</v>
      </c>
      <c r="K26" s="262"/>
      <c r="M26" s="356"/>
      <c r="N26" s="262"/>
      <c r="P26" s="356"/>
      <c r="Q26" s="262"/>
      <c r="S26" s="356"/>
      <c r="T26" s="262"/>
      <c r="V26" s="356"/>
      <c r="W26" s="262"/>
      <c r="X26" s="255"/>
    </row>
    <row r="27" spans="2:24" x14ac:dyDescent="0.3">
      <c r="B27" s="252"/>
      <c r="C27" s="354"/>
      <c r="D27" s="262"/>
      <c r="F27" s="354"/>
      <c r="G27" s="262"/>
      <c r="I27" s="354"/>
      <c r="J27" t="e">
        <f>_xlfn.CONCAT(K27,#REF!)</f>
        <v>#REF!</v>
      </c>
      <c r="K27" s="262"/>
      <c r="M27" s="356"/>
      <c r="N27" s="262"/>
      <c r="P27" s="356"/>
      <c r="Q27" s="262"/>
      <c r="S27" s="356"/>
      <c r="T27" s="262"/>
      <c r="V27" s="356"/>
      <c r="W27" s="262"/>
      <c r="X27" s="255"/>
    </row>
    <row r="28" spans="2:24" x14ac:dyDescent="0.3">
      <c r="B28" s="252"/>
      <c r="C28" s="354"/>
      <c r="D28" s="262"/>
      <c r="F28" s="354"/>
      <c r="G28" s="262"/>
      <c r="I28" s="354"/>
      <c r="J28" t="e">
        <f>_xlfn.CONCAT(K28,#REF!)</f>
        <v>#REF!</v>
      </c>
      <c r="K28" s="262"/>
      <c r="M28" s="356"/>
      <c r="N28" s="262"/>
      <c r="P28" s="356"/>
      <c r="Q28" s="262"/>
      <c r="S28" s="356"/>
      <c r="T28" s="262"/>
      <c r="V28" s="356"/>
      <c r="W28" s="262"/>
      <c r="X28" s="255"/>
    </row>
    <row r="29" spans="2:24" x14ac:dyDescent="0.3">
      <c r="B29" s="252"/>
      <c r="C29" s="354"/>
      <c r="D29" s="262"/>
      <c r="F29" s="354"/>
      <c r="G29" s="262"/>
      <c r="I29" s="354"/>
      <c r="J29" t="e">
        <f>_xlfn.CONCAT(K29,#REF!)</f>
        <v>#REF!</v>
      </c>
      <c r="K29" s="262"/>
      <c r="M29" s="356"/>
      <c r="N29" s="262"/>
      <c r="P29" s="356"/>
      <c r="Q29" s="262"/>
      <c r="S29" s="356"/>
      <c r="T29" s="262"/>
      <c r="V29" s="356"/>
      <c r="W29" s="262"/>
      <c r="X29" s="255"/>
    </row>
    <row r="30" spans="2:24" x14ac:dyDescent="0.3">
      <c r="B30" s="252"/>
      <c r="C30" s="354"/>
      <c r="D30" s="262"/>
      <c r="F30" s="354"/>
      <c r="G30" s="262"/>
      <c r="I30" s="354"/>
      <c r="J30" t="e">
        <f>_xlfn.CONCAT(K30,#REF!)</f>
        <v>#REF!</v>
      </c>
      <c r="K30" s="262"/>
      <c r="M30" s="356"/>
      <c r="N30" s="262"/>
      <c r="P30" s="356"/>
      <c r="Q30" s="262"/>
      <c r="S30" s="356"/>
      <c r="T30" s="262"/>
      <c r="V30" s="356"/>
      <c r="W30" s="262"/>
      <c r="X30" s="255"/>
    </row>
    <row r="31" spans="2:24" x14ac:dyDescent="0.3">
      <c r="B31" s="252"/>
      <c r="C31" s="354"/>
      <c r="D31" s="262"/>
      <c r="F31" s="354"/>
      <c r="G31" s="262"/>
      <c r="I31" s="354"/>
      <c r="J31" t="e">
        <f>_xlfn.CONCAT(K31,#REF!)</f>
        <v>#REF!</v>
      </c>
      <c r="K31" s="262"/>
      <c r="M31" s="356"/>
      <c r="N31" s="262"/>
      <c r="P31" s="356"/>
      <c r="Q31" s="262"/>
      <c r="S31" s="356"/>
      <c r="T31" s="262"/>
      <c r="V31" s="356"/>
      <c r="W31" s="262"/>
      <c r="X31" s="255"/>
    </row>
    <row r="32" spans="2:24" x14ac:dyDescent="0.3">
      <c r="B32" s="252"/>
      <c r="C32" s="354"/>
      <c r="D32" s="262" t="str">
        <f>IF([1]BaseSafra!E367="","",[1]BaseSafra!E367)</f>
        <v/>
      </c>
      <c r="F32" s="354"/>
      <c r="G32" s="262"/>
      <c r="I32" s="354"/>
      <c r="J32" t="e">
        <f>_xlfn.CONCAT(K32,#REF!)</f>
        <v>#REF!</v>
      </c>
      <c r="K32" s="262"/>
      <c r="M32" s="356"/>
      <c r="N32" s="262"/>
      <c r="P32" s="356"/>
      <c r="Q32" s="262"/>
      <c r="S32" s="356"/>
      <c r="T32" s="262"/>
      <c r="V32" s="356"/>
      <c r="W32" s="262"/>
      <c r="X32" s="255"/>
    </row>
    <row r="33" spans="2:24" x14ac:dyDescent="0.3">
      <c r="B33" s="252"/>
      <c r="C33" s="354"/>
      <c r="D33" s="262" t="str">
        <f>IF([1]BaseSafra!E389="","",[1]BaseSafra!E389)</f>
        <v/>
      </c>
      <c r="F33" s="354"/>
      <c r="G33" s="262"/>
      <c r="I33" s="354"/>
      <c r="J33" t="e">
        <f>_xlfn.CONCAT(K33,#REF!)</f>
        <v>#REF!</v>
      </c>
      <c r="K33" s="262"/>
      <c r="M33" s="356"/>
      <c r="N33" s="262"/>
      <c r="P33" s="356"/>
      <c r="Q33" s="262"/>
      <c r="S33" s="356"/>
      <c r="T33" s="262"/>
      <c r="V33" s="356"/>
      <c r="W33" s="262"/>
      <c r="X33" s="255"/>
    </row>
    <row r="34" spans="2:24" x14ac:dyDescent="0.3">
      <c r="B34" s="252"/>
      <c r="C34" s="354"/>
      <c r="D34" s="262" t="str">
        <f>IF([1]BaseSafra!E411="","",[1]BaseSafra!E411)</f>
        <v/>
      </c>
      <c r="F34" s="354"/>
      <c r="G34" s="262"/>
      <c r="I34" s="354"/>
      <c r="J34" t="e">
        <f>_xlfn.CONCAT(K34,#REF!)</f>
        <v>#REF!</v>
      </c>
      <c r="K34" s="262"/>
      <c r="M34" s="356"/>
      <c r="N34" s="262"/>
      <c r="P34" s="356"/>
      <c r="Q34" s="262"/>
      <c r="S34" s="356"/>
      <c r="T34" s="262"/>
      <c r="V34" s="356"/>
      <c r="W34" s="262"/>
      <c r="X34" s="255"/>
    </row>
    <row r="35" spans="2:24" x14ac:dyDescent="0.3">
      <c r="B35" s="252"/>
      <c r="C35" s="354"/>
      <c r="D35" s="262" t="str">
        <f>IF([1]BaseSafra!E433="","",[1]BaseSafra!E433)</f>
        <v/>
      </c>
      <c r="F35" s="354"/>
      <c r="G35" s="262"/>
      <c r="I35" s="354"/>
      <c r="J35" t="e">
        <f>_xlfn.CONCAT(K35,#REF!)</f>
        <v>#REF!</v>
      </c>
      <c r="K35" s="262"/>
      <c r="M35" s="356"/>
      <c r="N35" s="262"/>
      <c r="P35" s="356"/>
      <c r="Q35" s="262"/>
      <c r="S35" s="356"/>
      <c r="T35" s="262"/>
      <c r="V35" s="356"/>
      <c r="W35" s="262"/>
      <c r="X35" s="255"/>
    </row>
    <row r="36" spans="2:24" x14ac:dyDescent="0.3">
      <c r="B36" s="252"/>
      <c r="C36" s="354"/>
      <c r="D36" s="262" t="str">
        <f>IF([1]BaseSafra!E455="","",[1]BaseSafra!E455)</f>
        <v/>
      </c>
      <c r="F36" s="354"/>
      <c r="G36" s="264"/>
      <c r="I36" s="354"/>
      <c r="J36" t="e">
        <f>_xlfn.CONCAT(K36,#REF!)</f>
        <v>#REF!</v>
      </c>
      <c r="K36" s="262"/>
      <c r="M36" s="356"/>
      <c r="N36" s="264"/>
      <c r="P36" s="356"/>
      <c r="Q36" s="262"/>
      <c r="S36" s="356"/>
      <c r="T36" s="262"/>
      <c r="V36" s="356"/>
      <c r="W36" s="262"/>
      <c r="X36" s="255"/>
    </row>
    <row r="37" spans="2:24" x14ac:dyDescent="0.3">
      <c r="B37" s="252"/>
      <c r="C37" s="354"/>
      <c r="D37" s="262" t="str">
        <f>IF([1]BaseSafra!E477="","",[1]BaseSafra!E477)</f>
        <v/>
      </c>
      <c r="F37" s="354"/>
      <c r="G37" s="262"/>
      <c r="I37" s="354"/>
      <c r="J37" t="e">
        <f>_xlfn.CONCAT(K37,#REF!)</f>
        <v>#REF!</v>
      </c>
      <c r="K37" s="262"/>
      <c r="M37" s="356"/>
      <c r="N37" s="262"/>
      <c r="P37" s="356"/>
      <c r="Q37" s="262"/>
      <c r="S37" s="356"/>
      <c r="T37" s="262"/>
      <c r="V37" s="356"/>
      <c r="W37" s="262"/>
      <c r="X37" s="255"/>
    </row>
    <row r="38" spans="2:24" x14ac:dyDescent="0.3">
      <c r="B38" s="252"/>
      <c r="C38" s="354"/>
      <c r="D38" s="262" t="str">
        <f>IF([1]BaseSafra!E499="","",[1]BaseSafra!E499)</f>
        <v/>
      </c>
      <c r="F38" s="354"/>
      <c r="G38" s="263"/>
      <c r="I38" s="354"/>
      <c r="K38" s="262"/>
      <c r="M38" s="356"/>
      <c r="N38" s="262"/>
      <c r="P38" s="356"/>
      <c r="Q38" s="262"/>
      <c r="S38" s="356"/>
      <c r="T38" s="262"/>
      <c r="V38" s="356"/>
      <c r="W38" s="262"/>
      <c r="X38" s="255"/>
    </row>
    <row r="39" spans="2:24" x14ac:dyDescent="0.3">
      <c r="B39" s="252"/>
      <c r="C39" s="354"/>
      <c r="D39" s="262" t="str">
        <f>IF([1]BaseSafra!E521="","",[1]BaseSafra!E521)</f>
        <v/>
      </c>
      <c r="F39" s="354"/>
      <c r="G39" s="262"/>
      <c r="I39" s="354"/>
      <c r="K39" s="262"/>
      <c r="M39" s="356"/>
      <c r="N39" s="262"/>
      <c r="P39" s="356"/>
      <c r="Q39" s="262"/>
      <c r="S39" s="356"/>
      <c r="T39" s="262"/>
      <c r="V39" s="356"/>
      <c r="W39" s="262"/>
      <c r="X39" s="255"/>
    </row>
    <row r="40" spans="2:24" x14ac:dyDescent="0.3">
      <c r="B40" s="252"/>
      <c r="C40" s="354"/>
      <c r="D40" s="262" t="str">
        <f>IF([1]BaseSafra!E543="","",[1]BaseSafra!E543)</f>
        <v/>
      </c>
      <c r="F40" s="354"/>
      <c r="G40" s="262"/>
      <c r="I40" s="354"/>
      <c r="K40" s="262"/>
      <c r="M40" s="356"/>
      <c r="N40" s="262"/>
      <c r="P40" s="356"/>
      <c r="Q40" s="262"/>
      <c r="S40" s="356"/>
      <c r="T40" s="262"/>
      <c r="V40" s="356"/>
      <c r="W40" s="262"/>
      <c r="X40" s="255"/>
    </row>
    <row r="41" spans="2:24" x14ac:dyDescent="0.3">
      <c r="B41" s="252"/>
      <c r="C41" s="354"/>
      <c r="D41" s="262" t="str">
        <f>IF([1]BaseSafra!E565="","",[1]BaseSafra!E565)</f>
        <v/>
      </c>
      <c r="F41" s="354"/>
      <c r="G41" s="262"/>
      <c r="I41" s="354"/>
      <c r="K41" s="262"/>
      <c r="M41" s="356"/>
      <c r="N41" s="262"/>
      <c r="P41" s="356"/>
      <c r="Q41" s="262"/>
      <c r="S41" s="356"/>
      <c r="T41" s="262"/>
      <c r="V41" s="356"/>
      <c r="W41" s="262"/>
      <c r="X41" s="255"/>
    </row>
    <row r="42" spans="2:24" x14ac:dyDescent="0.3">
      <c r="B42" s="252"/>
      <c r="C42" s="354"/>
      <c r="D42" s="262" t="str">
        <f>IF([1]BaseSafra!E587="","",[1]BaseSafra!E587)</f>
        <v/>
      </c>
      <c r="F42" s="354"/>
      <c r="G42" s="262"/>
      <c r="I42" s="354"/>
      <c r="K42" s="262"/>
      <c r="M42" s="356"/>
      <c r="N42" s="262"/>
      <c r="P42" s="356"/>
      <c r="Q42" s="262"/>
      <c r="S42" s="356"/>
      <c r="T42" s="262"/>
      <c r="V42" s="356"/>
      <c r="W42" s="262"/>
      <c r="X42" s="255"/>
    </row>
    <row r="43" spans="2:24" x14ac:dyDescent="0.3">
      <c r="B43" s="252"/>
      <c r="C43" s="354"/>
      <c r="D43" s="262" t="str">
        <f>IF([1]BaseSafra!E609="","",[1]BaseSafra!E609)</f>
        <v/>
      </c>
      <c r="F43" s="354"/>
      <c r="G43" s="262"/>
      <c r="I43" s="354"/>
      <c r="K43" s="262"/>
      <c r="M43" s="356"/>
      <c r="N43" s="262"/>
      <c r="P43" s="356"/>
      <c r="Q43" s="262"/>
      <c r="S43" s="356"/>
      <c r="T43" s="262"/>
      <c r="V43" s="356"/>
      <c r="W43" s="262"/>
      <c r="X43" s="255"/>
    </row>
    <row r="44" spans="2:24" x14ac:dyDescent="0.3">
      <c r="B44" s="252"/>
      <c r="C44" s="354"/>
      <c r="D44" s="262" t="str">
        <f>IF([1]BaseSafra!E631="","",[1]BaseSafra!E631)</f>
        <v/>
      </c>
      <c r="F44" s="354"/>
      <c r="G44" s="262"/>
      <c r="I44" s="354"/>
      <c r="K44" s="262"/>
      <c r="M44" s="356"/>
      <c r="N44" s="262"/>
      <c r="P44" s="356"/>
      <c r="Q44" s="262"/>
      <c r="S44" s="356"/>
      <c r="T44" s="262"/>
      <c r="V44" s="356"/>
      <c r="W44" s="262"/>
      <c r="X44" s="255"/>
    </row>
    <row r="45" spans="2:24" x14ac:dyDescent="0.3">
      <c r="B45" s="252"/>
      <c r="C45" s="354"/>
      <c r="D45" s="262"/>
      <c r="F45" s="354"/>
      <c r="G45" s="262"/>
      <c r="I45" s="354"/>
      <c r="K45" s="262"/>
      <c r="M45" s="356"/>
      <c r="N45" s="262"/>
      <c r="P45" s="356"/>
      <c r="Q45" s="262"/>
      <c r="S45" s="356"/>
      <c r="T45" s="262"/>
      <c r="V45" s="356"/>
      <c r="W45" s="262"/>
      <c r="X45" s="255"/>
    </row>
    <row r="46" spans="2:24" x14ac:dyDescent="0.3">
      <c r="B46" s="252"/>
      <c r="C46" s="354"/>
      <c r="D46" s="262"/>
      <c r="F46" s="354"/>
      <c r="G46" s="262"/>
      <c r="I46" s="354"/>
      <c r="K46" s="262"/>
      <c r="M46" s="356"/>
      <c r="N46" s="262"/>
      <c r="P46" s="356"/>
      <c r="Q46" s="262"/>
      <c r="S46" s="356"/>
      <c r="T46" s="262"/>
      <c r="V46" s="356"/>
      <c r="W46" s="262"/>
      <c r="X46" s="255"/>
    </row>
    <row r="47" spans="2:24" x14ac:dyDescent="0.3">
      <c r="B47" s="252"/>
      <c r="C47" s="354"/>
      <c r="D47" s="262"/>
      <c r="F47" s="354"/>
      <c r="G47" s="262"/>
      <c r="I47" s="354"/>
      <c r="K47" s="262"/>
      <c r="M47" s="356"/>
      <c r="N47" s="262"/>
      <c r="P47" s="356"/>
      <c r="Q47" s="262"/>
      <c r="S47" s="356"/>
      <c r="T47" s="262"/>
      <c r="V47" s="356"/>
      <c r="W47" s="262"/>
      <c r="X47" s="255"/>
    </row>
    <row r="48" spans="2:24" x14ac:dyDescent="0.3">
      <c r="B48" s="252"/>
      <c r="C48" s="354"/>
      <c r="D48" s="262"/>
      <c r="F48" s="354"/>
      <c r="G48" s="262"/>
      <c r="I48" s="354"/>
      <c r="K48" s="262"/>
      <c r="M48" s="356"/>
      <c r="N48" s="262"/>
      <c r="P48" s="356"/>
      <c r="Q48" s="262"/>
      <c r="S48" s="356"/>
      <c r="T48" s="262"/>
      <c r="V48" s="356"/>
      <c r="W48" s="262"/>
      <c r="X48" s="255"/>
    </row>
    <row r="49" spans="2:24" x14ac:dyDescent="0.3">
      <c r="B49" s="252"/>
      <c r="C49" s="354"/>
      <c r="D49" s="262"/>
      <c r="F49" s="354"/>
      <c r="G49" s="262"/>
      <c r="I49" s="354"/>
      <c r="K49" s="262"/>
      <c r="M49" s="356"/>
      <c r="N49" s="262"/>
      <c r="P49" s="356"/>
      <c r="Q49" s="262"/>
      <c r="S49" s="356"/>
      <c r="T49" s="262"/>
      <c r="V49" s="356"/>
      <c r="W49" s="262"/>
      <c r="X49" s="255"/>
    </row>
    <row r="50" spans="2:24" x14ac:dyDescent="0.3">
      <c r="B50" s="252"/>
      <c r="C50" s="354"/>
      <c r="D50" s="262"/>
      <c r="F50" s="354"/>
      <c r="G50" s="262"/>
      <c r="I50" s="354"/>
      <c r="K50" s="262"/>
      <c r="M50" s="356"/>
      <c r="N50" s="262"/>
      <c r="P50" s="356"/>
      <c r="Q50" s="262"/>
      <c r="S50" s="356"/>
      <c r="T50" s="262"/>
      <c r="V50" s="356"/>
      <c r="W50" s="262"/>
      <c r="X50" s="255"/>
    </row>
    <row r="51" spans="2:24" x14ac:dyDescent="0.3">
      <c r="B51" s="252"/>
      <c r="C51" s="354"/>
      <c r="D51" s="262"/>
      <c r="F51" s="354"/>
      <c r="G51" s="262"/>
      <c r="I51" s="354"/>
      <c r="K51" s="262"/>
      <c r="M51" s="356"/>
      <c r="N51" s="262"/>
      <c r="P51" s="356"/>
      <c r="Q51" s="262"/>
      <c r="S51" s="356"/>
      <c r="T51" s="262"/>
      <c r="V51" s="356"/>
      <c r="W51" s="262"/>
      <c r="X51" s="255"/>
    </row>
    <row r="52" spans="2:24" x14ac:dyDescent="0.3">
      <c r="B52" s="252"/>
      <c r="C52" s="354"/>
      <c r="D52" s="262"/>
      <c r="F52" s="354"/>
      <c r="G52" s="262"/>
      <c r="I52" s="354"/>
      <c r="K52" s="262"/>
      <c r="M52" s="356"/>
      <c r="N52" s="262"/>
      <c r="P52" s="356"/>
      <c r="Q52" s="262"/>
      <c r="S52" s="356"/>
      <c r="T52" s="262"/>
      <c r="V52" s="356"/>
      <c r="W52" s="262"/>
      <c r="X52" s="255"/>
    </row>
    <row r="53" spans="2:24" x14ac:dyDescent="0.3">
      <c r="B53" s="252"/>
      <c r="C53" s="354"/>
      <c r="D53" s="262"/>
      <c r="F53" s="354"/>
      <c r="G53" s="262"/>
      <c r="I53" s="354"/>
      <c r="K53" s="262"/>
      <c r="M53" s="356"/>
      <c r="N53" s="262"/>
      <c r="P53" s="356"/>
      <c r="Q53" s="262"/>
      <c r="S53" s="356"/>
      <c r="T53" s="262"/>
      <c r="V53" s="356"/>
      <c r="W53" s="262"/>
      <c r="X53" s="255"/>
    </row>
    <row r="54" spans="2:24" x14ac:dyDescent="0.3">
      <c r="B54" s="252"/>
      <c r="C54" s="354"/>
      <c r="D54" s="262"/>
      <c r="F54" s="354"/>
      <c r="G54" s="262"/>
      <c r="I54" s="354"/>
      <c r="K54" s="262"/>
      <c r="M54" s="356"/>
      <c r="N54" s="262"/>
      <c r="P54" s="356"/>
      <c r="Q54" s="262"/>
      <c r="S54" s="356"/>
      <c r="T54" s="262"/>
      <c r="V54" s="356"/>
      <c r="W54" s="262"/>
      <c r="X54" s="255"/>
    </row>
    <row r="55" spans="2:24" x14ac:dyDescent="0.3">
      <c r="B55" s="252"/>
      <c r="C55" s="354"/>
      <c r="D55" s="262"/>
      <c r="F55" s="354"/>
      <c r="G55" s="262"/>
      <c r="I55" s="354"/>
      <c r="K55" s="262"/>
      <c r="M55" s="356"/>
      <c r="N55" s="262"/>
      <c r="P55" s="356"/>
      <c r="Q55" s="262"/>
      <c r="S55" s="356"/>
      <c r="T55" s="262"/>
      <c r="V55" s="356"/>
      <c r="W55" s="262"/>
      <c r="X55" s="255"/>
    </row>
    <row r="56" spans="2:24" x14ac:dyDescent="0.3">
      <c r="B56" s="252"/>
      <c r="C56" s="354"/>
      <c r="D56" s="262"/>
      <c r="F56" s="354"/>
      <c r="G56" s="262"/>
      <c r="I56" s="354"/>
      <c r="K56" s="262"/>
      <c r="M56" s="356"/>
      <c r="N56" s="262"/>
      <c r="P56" s="356"/>
      <c r="Q56" s="262"/>
      <c r="S56" s="356"/>
      <c r="T56" s="262"/>
      <c r="V56" s="356"/>
      <c r="W56" s="262"/>
      <c r="X56" s="255"/>
    </row>
    <row r="57" spans="2:24" x14ac:dyDescent="0.3">
      <c r="B57" s="252"/>
      <c r="C57" s="354"/>
      <c r="D57" s="262"/>
      <c r="F57" s="354"/>
      <c r="G57" s="262"/>
      <c r="I57" s="354"/>
      <c r="K57" s="262"/>
      <c r="M57" s="356"/>
      <c r="N57" s="262"/>
      <c r="P57" s="356"/>
      <c r="Q57" s="262"/>
      <c r="S57" s="356"/>
      <c r="T57" s="262"/>
      <c r="V57" s="356"/>
      <c r="W57" s="262"/>
      <c r="X57" s="255"/>
    </row>
    <row r="58" spans="2:24" x14ac:dyDescent="0.3">
      <c r="B58" s="252"/>
      <c r="C58" s="354"/>
      <c r="D58" s="262"/>
      <c r="F58" s="354"/>
      <c r="G58" s="262"/>
      <c r="I58" s="354"/>
      <c r="K58" s="262"/>
      <c r="M58" s="356"/>
      <c r="N58" s="262"/>
      <c r="P58" s="356"/>
      <c r="Q58" s="262"/>
      <c r="S58" s="356"/>
      <c r="T58" s="262"/>
      <c r="V58" s="356"/>
      <c r="W58" s="262"/>
      <c r="X58" s="255"/>
    </row>
    <row r="59" spans="2:24" x14ac:dyDescent="0.3">
      <c r="B59" s="252"/>
      <c r="C59" s="354"/>
      <c r="D59" s="262"/>
      <c r="F59" s="354"/>
      <c r="G59" s="262"/>
      <c r="I59" s="354"/>
      <c r="K59" s="262"/>
      <c r="M59" s="356"/>
      <c r="N59" s="262"/>
      <c r="P59" s="356"/>
      <c r="Q59" s="262"/>
      <c r="S59" s="356"/>
      <c r="T59" s="262"/>
      <c r="V59" s="356"/>
      <c r="W59" s="262"/>
      <c r="X59" s="255"/>
    </row>
    <row r="60" spans="2:24" x14ac:dyDescent="0.3">
      <c r="B60" s="252"/>
      <c r="C60" s="354"/>
      <c r="D60" s="262"/>
      <c r="F60" s="354"/>
      <c r="G60" s="262"/>
      <c r="I60" s="354"/>
      <c r="K60" s="262"/>
      <c r="M60" s="356"/>
      <c r="N60" s="262"/>
      <c r="P60" s="356"/>
      <c r="Q60" s="262"/>
      <c r="S60" s="356"/>
      <c r="T60" s="262"/>
      <c r="V60" s="356"/>
      <c r="W60" s="262"/>
      <c r="X60" s="255"/>
    </row>
    <row r="61" spans="2:24" x14ac:dyDescent="0.3">
      <c r="B61" s="252"/>
      <c r="C61" s="354"/>
      <c r="D61" s="262"/>
      <c r="F61" s="354"/>
      <c r="G61" s="262"/>
      <c r="I61" s="354"/>
      <c r="K61" s="262"/>
      <c r="M61" s="356"/>
      <c r="N61" s="262"/>
      <c r="P61" s="356"/>
      <c r="Q61" s="262"/>
      <c r="S61" s="356"/>
      <c r="T61" s="262"/>
      <c r="V61" s="356"/>
      <c r="W61" s="262"/>
      <c r="X61" s="255"/>
    </row>
    <row r="62" spans="2:24" x14ac:dyDescent="0.3">
      <c r="B62" s="252"/>
      <c r="C62" s="354"/>
      <c r="D62" s="262"/>
      <c r="F62" s="354"/>
      <c r="G62" s="262"/>
      <c r="I62" s="354"/>
      <c r="K62" s="262"/>
      <c r="M62" s="356"/>
      <c r="N62" s="262"/>
      <c r="P62" s="356"/>
      <c r="Q62" s="262"/>
      <c r="S62" s="356"/>
      <c r="T62" s="262"/>
      <c r="V62" s="356"/>
      <c r="W62" s="262"/>
      <c r="X62" s="255"/>
    </row>
    <row r="63" spans="2:24" x14ac:dyDescent="0.3">
      <c r="B63" s="252"/>
      <c r="C63" s="354"/>
      <c r="D63" s="262"/>
      <c r="F63" s="354"/>
      <c r="G63" s="262"/>
      <c r="I63" s="354"/>
      <c r="K63" s="262"/>
      <c r="M63" s="356"/>
      <c r="N63" s="262"/>
      <c r="P63" s="356"/>
      <c r="Q63" s="262"/>
      <c r="S63" s="356"/>
      <c r="T63" s="262"/>
      <c r="V63" s="356"/>
      <c r="W63" s="262"/>
      <c r="X63" s="255"/>
    </row>
    <row r="64" spans="2:24" x14ac:dyDescent="0.3">
      <c r="B64" s="252"/>
      <c r="C64" s="354"/>
      <c r="D64" s="262"/>
      <c r="F64" s="354"/>
      <c r="G64" s="262"/>
      <c r="I64" s="354"/>
      <c r="K64" s="262"/>
      <c r="M64" s="356"/>
      <c r="N64" s="262"/>
      <c r="P64" s="356"/>
      <c r="Q64" s="262"/>
      <c r="S64" s="356"/>
      <c r="T64" s="262"/>
      <c r="V64" s="356"/>
      <c r="W64" s="262"/>
      <c r="X64" s="255"/>
    </row>
    <row r="65" spans="2:24" x14ac:dyDescent="0.3">
      <c r="B65" s="252"/>
      <c r="C65" s="354"/>
      <c r="D65" s="262"/>
      <c r="F65" s="354"/>
      <c r="G65" s="262"/>
      <c r="I65" s="354"/>
      <c r="K65" s="262"/>
      <c r="M65" s="356"/>
      <c r="N65" s="262"/>
      <c r="P65" s="356"/>
      <c r="Q65" s="262"/>
      <c r="S65" s="356"/>
      <c r="T65" s="262"/>
      <c r="V65" s="356"/>
      <c r="W65" s="262"/>
      <c r="X65" s="255"/>
    </row>
    <row r="66" spans="2:24" x14ac:dyDescent="0.3">
      <c r="B66" s="252"/>
      <c r="C66" s="354"/>
      <c r="D66" s="262"/>
      <c r="F66" s="354"/>
      <c r="G66" s="262"/>
      <c r="I66" s="354"/>
      <c r="K66" s="262"/>
      <c r="M66" s="356"/>
      <c r="N66" s="262"/>
      <c r="P66" s="356"/>
      <c r="Q66" s="262"/>
      <c r="S66" s="356"/>
      <c r="T66" s="262"/>
      <c r="V66" s="356"/>
      <c r="W66" s="262"/>
      <c r="X66" s="255"/>
    </row>
    <row r="67" spans="2:24" x14ac:dyDescent="0.3">
      <c r="B67" s="252"/>
      <c r="C67" s="354"/>
      <c r="D67" s="262"/>
      <c r="F67" s="354"/>
      <c r="G67" s="262"/>
      <c r="I67" s="354"/>
      <c r="K67" s="262"/>
      <c r="M67" s="356"/>
      <c r="N67" s="262"/>
      <c r="P67" s="356"/>
      <c r="Q67" s="262"/>
      <c r="S67" s="356"/>
      <c r="T67" s="262"/>
      <c r="V67" s="356"/>
      <c r="W67" s="262"/>
      <c r="X67" s="255"/>
    </row>
    <row r="68" spans="2:24" x14ac:dyDescent="0.3">
      <c r="B68" s="252"/>
      <c r="C68" s="354"/>
      <c r="D68" s="262"/>
      <c r="F68" s="354"/>
      <c r="G68" s="262"/>
      <c r="I68" s="354"/>
      <c r="K68" s="262"/>
      <c r="M68" s="356"/>
      <c r="N68" s="262"/>
      <c r="P68" s="356"/>
      <c r="Q68" s="262"/>
      <c r="S68" s="356"/>
      <c r="T68" s="262"/>
      <c r="V68" s="356"/>
      <c r="W68" s="262"/>
      <c r="X68" s="255"/>
    </row>
    <row r="69" spans="2:24" x14ac:dyDescent="0.3">
      <c r="B69" s="252"/>
      <c r="C69" s="354"/>
      <c r="D69" s="262"/>
      <c r="F69" s="354"/>
      <c r="G69" s="262"/>
      <c r="I69" s="354"/>
      <c r="K69" s="262"/>
      <c r="M69" s="356"/>
      <c r="N69" s="262"/>
      <c r="P69" s="356"/>
      <c r="Q69" s="262"/>
      <c r="S69" s="356"/>
      <c r="T69" s="262"/>
      <c r="V69" s="356"/>
      <c r="W69" s="262"/>
      <c r="X69" s="255"/>
    </row>
    <row r="70" spans="2:24" x14ac:dyDescent="0.3">
      <c r="B70" s="252"/>
      <c r="C70" s="354"/>
      <c r="D70" s="262"/>
      <c r="F70" s="354"/>
      <c r="G70" s="262"/>
      <c r="I70" s="354"/>
      <c r="K70" s="262"/>
      <c r="M70" s="356"/>
      <c r="N70" s="262"/>
      <c r="P70" s="356"/>
      <c r="Q70" s="262"/>
      <c r="S70" s="356"/>
      <c r="T70" s="262"/>
      <c r="V70" s="356"/>
      <c r="W70" s="262"/>
      <c r="X70" s="255"/>
    </row>
    <row r="71" spans="2:24" x14ac:dyDescent="0.3">
      <c r="B71" s="252"/>
      <c r="C71" s="354"/>
      <c r="D71" s="262"/>
      <c r="F71" s="354"/>
      <c r="G71" s="262"/>
      <c r="I71" s="354"/>
      <c r="K71" s="262"/>
      <c r="M71" s="356"/>
      <c r="N71" s="262"/>
      <c r="P71" s="356"/>
      <c r="Q71" s="262"/>
      <c r="S71" s="356"/>
      <c r="T71" s="262"/>
      <c r="V71" s="356"/>
      <c r="W71" s="262"/>
      <c r="X71" s="255"/>
    </row>
    <row r="72" spans="2:24" x14ac:dyDescent="0.3">
      <c r="B72" s="252"/>
      <c r="C72" s="354"/>
      <c r="D72" s="262"/>
      <c r="F72" s="354"/>
      <c r="G72" s="262"/>
      <c r="I72" s="354"/>
      <c r="K72" s="262"/>
      <c r="M72" s="356"/>
      <c r="N72" s="262"/>
      <c r="P72" s="356"/>
      <c r="Q72" s="262"/>
      <c r="S72" s="356"/>
      <c r="T72" s="262"/>
      <c r="V72" s="356"/>
      <c r="W72" s="262"/>
      <c r="X72" s="255"/>
    </row>
    <row r="73" spans="2:24" x14ac:dyDescent="0.3">
      <c r="B73" s="252"/>
      <c r="C73" s="354"/>
      <c r="D73" s="262"/>
      <c r="F73" s="354"/>
      <c r="G73" s="262"/>
      <c r="I73" s="354"/>
      <c r="K73" s="262"/>
      <c r="M73" s="356"/>
      <c r="N73" s="262"/>
      <c r="P73" s="356"/>
      <c r="Q73" s="262"/>
      <c r="S73" s="356"/>
      <c r="T73" s="262"/>
      <c r="V73" s="356"/>
      <c r="W73" s="262"/>
      <c r="X73" s="255"/>
    </row>
    <row r="74" spans="2:24" x14ac:dyDescent="0.3">
      <c r="B74" s="252"/>
      <c r="C74" s="354"/>
      <c r="D74" s="262"/>
      <c r="F74" s="354"/>
      <c r="G74" s="262"/>
      <c r="I74" s="354"/>
      <c r="K74" s="262"/>
      <c r="M74" s="356"/>
      <c r="N74" s="262"/>
      <c r="P74" s="356"/>
      <c r="Q74" s="262"/>
      <c r="S74" s="356"/>
      <c r="T74" s="262"/>
      <c r="V74" s="356"/>
      <c r="W74" s="262"/>
      <c r="X74" s="255"/>
    </row>
    <row r="75" spans="2:24" x14ac:dyDescent="0.3">
      <c r="B75" s="252"/>
      <c r="C75" s="354"/>
      <c r="D75" s="262"/>
      <c r="F75" s="354"/>
      <c r="G75" s="262"/>
      <c r="I75" s="354"/>
      <c r="K75" s="262"/>
      <c r="M75" s="356"/>
      <c r="N75" s="262"/>
      <c r="P75" s="356"/>
      <c r="Q75" s="262"/>
      <c r="S75" s="356"/>
      <c r="T75" s="262"/>
      <c r="V75" s="356"/>
      <c r="W75" s="262"/>
      <c r="X75" s="255"/>
    </row>
    <row r="76" spans="2:24" x14ac:dyDescent="0.3">
      <c r="B76" s="252"/>
      <c r="C76" s="354"/>
      <c r="D76" s="262"/>
      <c r="F76" s="354"/>
      <c r="G76" s="262"/>
      <c r="I76" s="354"/>
      <c r="K76" s="262"/>
      <c r="M76" s="356"/>
      <c r="N76" s="262"/>
      <c r="P76" s="356"/>
      <c r="Q76" s="262"/>
      <c r="S76" s="356"/>
      <c r="T76" s="262"/>
      <c r="V76" s="356"/>
      <c r="W76" s="262"/>
      <c r="X76" s="255"/>
    </row>
    <row r="77" spans="2:24" x14ac:dyDescent="0.3">
      <c r="B77" s="252"/>
      <c r="C77" s="354"/>
      <c r="D77" s="262"/>
      <c r="F77" s="354"/>
      <c r="G77" s="262"/>
      <c r="I77" s="354"/>
      <c r="K77" s="262"/>
      <c r="M77" s="356"/>
      <c r="N77" s="262"/>
      <c r="P77" s="356"/>
      <c r="Q77" s="262"/>
      <c r="S77" s="356"/>
      <c r="T77" s="262"/>
      <c r="V77" s="356"/>
      <c r="W77" s="262"/>
      <c r="X77" s="255"/>
    </row>
    <row r="78" spans="2:24" x14ac:dyDescent="0.3">
      <c r="B78" s="252"/>
      <c r="C78" s="354"/>
      <c r="D78" s="262"/>
      <c r="F78" s="354"/>
      <c r="G78" s="262"/>
      <c r="I78" s="354"/>
      <c r="K78" s="262"/>
      <c r="M78" s="356"/>
      <c r="N78" s="262"/>
      <c r="P78" s="356"/>
      <c r="Q78" s="262"/>
      <c r="S78" s="356"/>
      <c r="T78" s="262"/>
      <c r="V78" s="356"/>
      <c r="W78" s="262"/>
      <c r="X78" s="255"/>
    </row>
    <row r="79" spans="2:24" x14ac:dyDescent="0.3">
      <c r="B79" s="252"/>
      <c r="C79" s="354"/>
      <c r="D79" s="265"/>
      <c r="F79" s="354"/>
      <c r="G79" s="265"/>
      <c r="I79" s="354"/>
      <c r="K79" s="265"/>
      <c r="M79" s="357"/>
      <c r="N79" s="265"/>
      <c r="P79" s="357"/>
      <c r="Q79" s="265"/>
      <c r="S79" s="357"/>
      <c r="T79" s="265"/>
      <c r="V79" s="357"/>
      <c r="W79" s="265"/>
      <c r="X79" s="255"/>
    </row>
    <row r="80" spans="2:24" x14ac:dyDescent="0.3">
      <c r="B80" s="252"/>
      <c r="X80" s="255"/>
    </row>
    <row r="81" spans="2:24" x14ac:dyDescent="0.3">
      <c r="B81" s="252"/>
      <c r="X81" s="255"/>
    </row>
    <row r="82" spans="2:24" x14ac:dyDescent="0.3">
      <c r="B82" s="252"/>
      <c r="X82" s="255"/>
    </row>
    <row r="83" spans="2:24" x14ac:dyDescent="0.3">
      <c r="B83" s="252"/>
      <c r="X83" s="255"/>
    </row>
    <row r="84" spans="2:24" x14ac:dyDescent="0.3">
      <c r="B84" s="252"/>
      <c r="X84" s="255"/>
    </row>
    <row r="85" spans="2:24" x14ac:dyDescent="0.3">
      <c r="B85" s="252"/>
      <c r="X85" s="255"/>
    </row>
    <row r="86" spans="2:24" x14ac:dyDescent="0.3">
      <c r="B86" s="252"/>
      <c r="X86" s="255"/>
    </row>
    <row r="87" spans="2:24" x14ac:dyDescent="0.3">
      <c r="B87" s="252"/>
      <c r="X87" s="255"/>
    </row>
    <row r="88" spans="2:24" x14ac:dyDescent="0.3">
      <c r="B88" s="252"/>
      <c r="X88" s="255"/>
    </row>
    <row r="89" spans="2:24" x14ac:dyDescent="0.3">
      <c r="B89" s="252"/>
      <c r="X89" s="255"/>
    </row>
    <row r="90" spans="2:24" x14ac:dyDescent="0.3">
      <c r="B90" s="252"/>
      <c r="X90" s="255"/>
    </row>
    <row r="91" spans="2:24" x14ac:dyDescent="0.3">
      <c r="B91" s="252"/>
      <c r="X91" s="255"/>
    </row>
    <row r="92" spans="2:24" x14ac:dyDescent="0.3">
      <c r="B92" s="252"/>
      <c r="X92" s="255"/>
    </row>
    <row r="93" spans="2:24" x14ac:dyDescent="0.3">
      <c r="B93" s="252"/>
      <c r="X93" s="255"/>
    </row>
    <row r="94" spans="2:24" x14ac:dyDescent="0.3">
      <c r="B94" s="252"/>
      <c r="X94" s="255"/>
    </row>
    <row r="95" spans="2:24" x14ac:dyDescent="0.3">
      <c r="B95" s="252"/>
      <c r="X95" s="255"/>
    </row>
    <row r="96" spans="2:24" x14ac:dyDescent="0.3">
      <c r="B96" s="252"/>
      <c r="X96" s="255"/>
    </row>
    <row r="97" spans="2:24" x14ac:dyDescent="0.3">
      <c r="B97" s="252"/>
      <c r="X97" s="255"/>
    </row>
    <row r="98" spans="2:24" x14ac:dyDescent="0.3">
      <c r="B98" s="252"/>
      <c r="X98" s="255"/>
    </row>
    <row r="99" spans="2:24" x14ac:dyDescent="0.3">
      <c r="B99" s="252"/>
      <c r="X99" s="255"/>
    </row>
    <row r="100" spans="2:24" x14ac:dyDescent="0.3">
      <c r="B100" s="252"/>
      <c r="X100" s="255"/>
    </row>
    <row r="101" spans="2:24" x14ac:dyDescent="0.3">
      <c r="B101" s="252"/>
      <c r="X101" s="255"/>
    </row>
    <row r="102" spans="2:24" x14ac:dyDescent="0.3">
      <c r="B102" s="252"/>
      <c r="X102" s="255"/>
    </row>
    <row r="103" spans="2:24" x14ac:dyDescent="0.3">
      <c r="B103" s="252"/>
      <c r="X103" s="255"/>
    </row>
    <row r="104" spans="2:24" x14ac:dyDescent="0.3">
      <c r="B104" s="252"/>
      <c r="X104" s="255"/>
    </row>
    <row r="105" spans="2:24" x14ac:dyDescent="0.3">
      <c r="B105" s="252"/>
      <c r="X105" s="255"/>
    </row>
    <row r="106" spans="2:24" x14ac:dyDescent="0.3">
      <c r="B106" s="252"/>
      <c r="X106" s="255"/>
    </row>
    <row r="107" spans="2:24" x14ac:dyDescent="0.3">
      <c r="B107" s="252"/>
      <c r="X107" s="255"/>
    </row>
    <row r="108" spans="2:24" x14ac:dyDescent="0.3">
      <c r="B108" s="252"/>
      <c r="X108" s="255"/>
    </row>
    <row r="109" spans="2:24" x14ac:dyDescent="0.3">
      <c r="B109" s="252"/>
      <c r="X109" s="255"/>
    </row>
    <row r="110" spans="2:24" x14ac:dyDescent="0.3">
      <c r="B110" s="252"/>
      <c r="X110" s="255"/>
    </row>
    <row r="111" spans="2:24" x14ac:dyDescent="0.3">
      <c r="B111" s="252"/>
      <c r="X111" s="255"/>
    </row>
    <row r="112" spans="2:24" x14ac:dyDescent="0.3">
      <c r="B112" s="252"/>
      <c r="X112" s="255"/>
    </row>
    <row r="113" spans="2:24" x14ac:dyDescent="0.3">
      <c r="B113" s="252"/>
      <c r="X113" s="255"/>
    </row>
    <row r="114" spans="2:24" x14ac:dyDescent="0.3">
      <c r="B114" s="252"/>
      <c r="X114" s="255"/>
    </row>
    <row r="115" spans="2:24" x14ac:dyDescent="0.3">
      <c r="B115" s="252"/>
      <c r="X115" s="255"/>
    </row>
    <row r="116" spans="2:24" x14ac:dyDescent="0.3">
      <c r="B116" s="252"/>
      <c r="X116" s="255"/>
    </row>
    <row r="117" spans="2:24" x14ac:dyDescent="0.3">
      <c r="B117" s="252"/>
      <c r="X117" s="255"/>
    </row>
    <row r="118" spans="2:24" x14ac:dyDescent="0.3">
      <c r="B118" s="252"/>
      <c r="X118" s="255"/>
    </row>
    <row r="119" spans="2:24" x14ac:dyDescent="0.3">
      <c r="B119" s="252"/>
      <c r="X119" s="255"/>
    </row>
    <row r="120" spans="2:24" x14ac:dyDescent="0.3">
      <c r="B120" s="252"/>
      <c r="X120" s="255"/>
    </row>
    <row r="121" spans="2:24" x14ac:dyDescent="0.3">
      <c r="B121" s="252"/>
      <c r="X121" s="255"/>
    </row>
    <row r="122" spans="2:24" x14ac:dyDescent="0.3">
      <c r="B122" s="252"/>
      <c r="X122" s="255"/>
    </row>
    <row r="123" spans="2:24" x14ac:dyDescent="0.3">
      <c r="B123" s="252"/>
      <c r="X123" s="255"/>
    </row>
    <row r="124" spans="2:24" x14ac:dyDescent="0.3">
      <c r="B124" s="252"/>
      <c r="X124" s="255"/>
    </row>
    <row r="125" spans="2:24" x14ac:dyDescent="0.3">
      <c r="B125" s="252"/>
      <c r="X125" s="255"/>
    </row>
    <row r="126" spans="2:24" x14ac:dyDescent="0.3">
      <c r="B126" s="252"/>
      <c r="X126" s="255"/>
    </row>
    <row r="127" spans="2:24" x14ac:dyDescent="0.3">
      <c r="B127" s="252"/>
      <c r="X127" s="255"/>
    </row>
    <row r="128" spans="2:24" x14ac:dyDescent="0.3">
      <c r="B128" s="252"/>
      <c r="X128" s="255"/>
    </row>
    <row r="129" spans="2:24" x14ac:dyDescent="0.3">
      <c r="B129" s="252"/>
      <c r="X129" s="255"/>
    </row>
    <row r="130" spans="2:24" x14ac:dyDescent="0.3">
      <c r="B130" s="252"/>
      <c r="X130" s="255"/>
    </row>
    <row r="131" spans="2:24" x14ac:dyDescent="0.3">
      <c r="B131" s="252"/>
      <c r="X131" s="255"/>
    </row>
    <row r="132" spans="2:24" x14ac:dyDescent="0.3">
      <c r="B132" s="252"/>
      <c r="X132" s="255"/>
    </row>
    <row r="133" spans="2:24" x14ac:dyDescent="0.3">
      <c r="B133" s="252"/>
      <c r="X133" s="255"/>
    </row>
    <row r="134" spans="2:24" x14ac:dyDescent="0.3">
      <c r="B134" s="252"/>
      <c r="X134" s="255"/>
    </row>
    <row r="135" spans="2:24" x14ac:dyDescent="0.3">
      <c r="B135" s="252"/>
      <c r="X135" s="255"/>
    </row>
    <row r="136" spans="2:24" x14ac:dyDescent="0.3">
      <c r="B136" s="252"/>
      <c r="X136" s="255"/>
    </row>
    <row r="137" spans="2:24" x14ac:dyDescent="0.3">
      <c r="B137" s="252"/>
      <c r="X137" s="255"/>
    </row>
    <row r="138" spans="2:24" x14ac:dyDescent="0.3">
      <c r="B138" s="252"/>
      <c r="X138" s="255"/>
    </row>
    <row r="139" spans="2:24" x14ac:dyDescent="0.3">
      <c r="B139" s="252"/>
      <c r="X139" s="255"/>
    </row>
    <row r="140" spans="2:24" x14ac:dyDescent="0.3">
      <c r="B140" s="252"/>
      <c r="X140" s="255"/>
    </row>
    <row r="141" spans="2:24" x14ac:dyDescent="0.3">
      <c r="B141" s="252"/>
      <c r="X141" s="255"/>
    </row>
    <row r="142" spans="2:24" x14ac:dyDescent="0.3">
      <c r="B142" s="252"/>
      <c r="X142" s="255"/>
    </row>
    <row r="143" spans="2:24" x14ac:dyDescent="0.3">
      <c r="B143" s="252"/>
      <c r="X143" s="255"/>
    </row>
    <row r="144" spans="2:24" x14ac:dyDescent="0.3">
      <c r="B144" s="252"/>
      <c r="X144" s="255"/>
    </row>
    <row r="145" spans="2:24" x14ac:dyDescent="0.3">
      <c r="B145" s="252"/>
      <c r="X145" s="255"/>
    </row>
    <row r="146" spans="2:24" ht="14.4" customHeight="1" x14ac:dyDescent="0.3">
      <c r="B146" s="252"/>
      <c r="C146" s="335" t="s">
        <v>122</v>
      </c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255"/>
    </row>
    <row r="147" spans="2:24" x14ac:dyDescent="0.3">
      <c r="B147" s="252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255"/>
    </row>
    <row r="148" spans="2:24" x14ac:dyDescent="0.3">
      <c r="B148" s="266"/>
      <c r="C148" s="267"/>
      <c r="D148" s="268"/>
      <c r="E148" s="268"/>
      <c r="F148" s="267"/>
      <c r="G148" s="267"/>
      <c r="H148" s="267"/>
      <c r="I148" s="267"/>
      <c r="J148" s="267"/>
      <c r="K148" s="267"/>
      <c r="L148" s="267"/>
      <c r="M148" s="267"/>
      <c r="N148" s="268"/>
      <c r="O148" s="268"/>
      <c r="P148" s="267"/>
      <c r="Q148" s="267"/>
      <c r="R148" s="267"/>
      <c r="S148" s="267"/>
      <c r="T148" s="267"/>
      <c r="U148" s="267"/>
      <c r="V148" s="267"/>
      <c r="W148" s="267"/>
      <c r="X148" s="269"/>
    </row>
    <row r="153" spans="2:24" x14ac:dyDescent="0.3">
      <c r="K153" s="335"/>
      <c r="L153" s="335"/>
    </row>
    <row r="154" spans="2:24" x14ac:dyDescent="0.3">
      <c r="K154" s="335"/>
      <c r="L154" s="335"/>
    </row>
  </sheetData>
  <mergeCells count="12">
    <mergeCell ref="K153:L154"/>
    <mergeCell ref="C12:W13"/>
    <mergeCell ref="C3:D10"/>
    <mergeCell ref="E3:V10"/>
    <mergeCell ref="C146:W147"/>
    <mergeCell ref="C16:C79"/>
    <mergeCell ref="F16:F79"/>
    <mergeCell ref="I16:I79"/>
    <mergeCell ref="M16:M79"/>
    <mergeCell ref="P16:P79"/>
    <mergeCell ref="S16:S79"/>
    <mergeCell ref="V16:V79"/>
  </mergeCells>
  <conditionalFormatting sqref="E3">
    <cfRule type="cellIs" dxfId="211" priority="2" operator="lessThan">
      <formula>0</formula>
    </cfRule>
  </conditionalFormatting>
  <conditionalFormatting sqref="K153">
    <cfRule type="cellIs" dxfId="210" priority="1" operator="lessThan">
      <formula>0</formula>
    </cfRule>
  </conditionalFormatting>
  <conditionalFormatting sqref="X3:X10">
    <cfRule type="cellIs" dxfId="209" priority="3" operator="lessThan">
      <formula>0</formula>
    </cfRule>
  </conditionalFormatting>
  <hyperlinks>
    <hyperlink ref="C146" r:id="rId1" display="This work is licensed under a Creative Commons Attribution-NonCommercial 4.0 International License." xr:uid="{CB600177-7BEA-4071-94F2-9A9FBFBEEC75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4100-74A6-488A-9200-E5940641BC05}">
  <sheetPr>
    <tabColor theme="9" tint="0.39997558519241921"/>
    <outlinePr summaryBelow="0"/>
    <pageSetUpPr fitToPage="1"/>
  </sheetPr>
  <dimension ref="B1:AI140"/>
  <sheetViews>
    <sheetView showGridLines="0" topLeftCell="A81" zoomScale="160" zoomScaleNormal="160" zoomScaleSheetLayoutView="115" zoomScalePageLayoutView="55" workbookViewId="0">
      <selection activeCell="AD75" sqref="AD75"/>
    </sheetView>
  </sheetViews>
  <sheetFormatPr defaultColWidth="8.6640625" defaultRowHeight="15" customHeight="1" x14ac:dyDescent="0.25"/>
  <cols>
    <col min="1" max="1" width="1.44140625" style="130" customWidth="1"/>
    <col min="2" max="2" width="2.109375" style="129" customWidth="1"/>
    <col min="3" max="3" width="41.33203125" style="150" bestFit="1" customWidth="1"/>
    <col min="4" max="26" width="12" style="130" customWidth="1"/>
    <col min="27" max="27" width="12.5546875" style="130" customWidth="1"/>
    <col min="28" max="28" width="3.33203125" style="130" customWidth="1"/>
    <col min="29" max="30" width="13.109375" style="130" customWidth="1"/>
    <col min="31" max="32" width="3.33203125" style="129" customWidth="1"/>
    <col min="33" max="16384" width="8.6640625" style="130"/>
  </cols>
  <sheetData>
    <row r="1" spans="2:32" s="3" customFormat="1" ht="15" customHeight="1" x14ac:dyDescent="0.25">
      <c r="B1" s="2"/>
      <c r="C1" s="170"/>
      <c r="AE1" s="2"/>
      <c r="AF1" s="2"/>
    </row>
    <row r="2" spans="2:32" s="3" customFormat="1" ht="7.5" customHeight="1" x14ac:dyDescent="0.25">
      <c r="B2" s="372"/>
      <c r="C2" s="373"/>
      <c r="D2" s="296" t="s">
        <v>174</v>
      </c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7"/>
      <c r="AA2" s="172" t="s">
        <v>1</v>
      </c>
      <c r="AB2" s="173"/>
      <c r="AC2" s="173"/>
      <c r="AD2" s="1"/>
      <c r="AE2" s="171"/>
      <c r="AF2" s="2"/>
    </row>
    <row r="3" spans="2:32" s="3" customFormat="1" ht="15" customHeight="1" x14ac:dyDescent="0.25">
      <c r="B3" s="374"/>
      <c r="C3" s="375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300"/>
      <c r="AA3" s="175" t="s">
        <v>173</v>
      </c>
      <c r="AB3" s="176"/>
      <c r="AC3" s="176"/>
      <c r="AD3" s="5"/>
      <c r="AE3" s="177"/>
      <c r="AF3" s="2"/>
    </row>
    <row r="4" spans="2:32" s="3" customFormat="1" ht="7.5" customHeight="1" x14ac:dyDescent="0.25">
      <c r="B4" s="374"/>
      <c r="C4" s="375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300"/>
      <c r="AA4" s="172" t="s">
        <v>2</v>
      </c>
      <c r="AB4" s="173"/>
      <c r="AC4" s="173"/>
      <c r="AD4" s="1"/>
      <c r="AE4" s="178"/>
      <c r="AF4" s="2"/>
    </row>
    <row r="5" spans="2:32" s="3" customFormat="1" ht="15" customHeight="1" x14ac:dyDescent="0.25">
      <c r="B5" s="374"/>
      <c r="C5" s="375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300"/>
      <c r="AA5" s="179" t="s">
        <v>0</v>
      </c>
      <c r="AB5" s="176"/>
      <c r="AC5" s="176"/>
      <c r="AD5" s="5"/>
      <c r="AE5" s="177"/>
      <c r="AF5" s="2"/>
    </row>
    <row r="6" spans="2:32" s="3" customFormat="1" ht="7.5" customHeight="1" x14ac:dyDescent="0.25">
      <c r="B6" s="374"/>
      <c r="C6" s="375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300"/>
      <c r="AA6" s="172" t="s">
        <v>3</v>
      </c>
      <c r="AB6" s="173"/>
      <c r="AC6" s="173"/>
      <c r="AD6" s="1"/>
      <c r="AE6" s="178"/>
      <c r="AF6" s="2"/>
    </row>
    <row r="7" spans="2:32" s="3" customFormat="1" ht="15" customHeight="1" x14ac:dyDescent="0.25">
      <c r="B7" s="374"/>
      <c r="C7" s="375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300"/>
      <c r="AA7" s="180">
        <v>45763</v>
      </c>
      <c r="AB7" s="176"/>
      <c r="AC7" s="176"/>
      <c r="AD7" s="5"/>
      <c r="AE7" s="177"/>
      <c r="AF7" s="2"/>
    </row>
    <row r="8" spans="2:32" s="3" customFormat="1" ht="7.5" customHeight="1" x14ac:dyDescent="0.25">
      <c r="B8" s="374"/>
      <c r="C8" s="375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300"/>
      <c r="AA8" s="172" t="s">
        <v>4</v>
      </c>
      <c r="AB8" s="173"/>
      <c r="AC8" s="173"/>
      <c r="AD8" s="1"/>
      <c r="AE8" s="178"/>
      <c r="AF8" s="2"/>
    </row>
    <row r="9" spans="2:32" s="3" customFormat="1" ht="15" customHeight="1" x14ac:dyDescent="0.25">
      <c r="B9" s="376"/>
      <c r="C9" s="377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3"/>
      <c r="AA9" s="179" t="s">
        <v>185</v>
      </c>
      <c r="AB9" s="176"/>
      <c r="AC9" s="176"/>
      <c r="AD9" s="5"/>
      <c r="AE9" s="177"/>
      <c r="AF9" s="2"/>
    </row>
    <row r="10" spans="2:32" s="3" customFormat="1" ht="15" customHeight="1" x14ac:dyDescent="0.25">
      <c r="B10" s="7"/>
      <c r="C10" s="7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2"/>
      <c r="AB10" s="183"/>
      <c r="AC10" s="183"/>
      <c r="AD10" s="8"/>
      <c r="AE10" s="184"/>
      <c r="AF10" s="2"/>
    </row>
    <row r="11" spans="2:32" s="2" customFormat="1" ht="15" customHeight="1" x14ac:dyDescent="0.3">
      <c r="B11" s="174"/>
      <c r="C11" s="9"/>
      <c r="AE11" s="4"/>
    </row>
    <row r="12" spans="2:32" s="2" customFormat="1" ht="15" customHeight="1" x14ac:dyDescent="0.3">
      <c r="B12" s="185"/>
      <c r="C12" s="378" t="s">
        <v>21</v>
      </c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80"/>
      <c r="AE12" s="4"/>
    </row>
    <row r="13" spans="2:32" s="2" customFormat="1" ht="15" customHeight="1" x14ac:dyDescent="0.3">
      <c r="B13" s="185"/>
      <c r="C13" s="381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2"/>
      <c r="AD13" s="383"/>
      <c r="AE13" s="4"/>
    </row>
    <row r="14" spans="2:32" s="2" customFormat="1" ht="15" customHeight="1" x14ac:dyDescent="0.3">
      <c r="B14" s="185"/>
      <c r="C14" s="370"/>
      <c r="D14" s="367" t="s">
        <v>5</v>
      </c>
      <c r="E14" s="368"/>
      <c r="F14" s="367" t="s">
        <v>6</v>
      </c>
      <c r="G14" s="368"/>
      <c r="H14" s="367" t="s">
        <v>7</v>
      </c>
      <c r="I14" s="368"/>
      <c r="J14" s="367" t="s">
        <v>8</v>
      </c>
      <c r="K14" s="368"/>
      <c r="L14" s="367" t="s">
        <v>9</v>
      </c>
      <c r="M14" s="368"/>
      <c r="N14" s="367" t="s">
        <v>10</v>
      </c>
      <c r="O14" s="368"/>
      <c r="P14" s="367" t="s">
        <v>11</v>
      </c>
      <c r="Q14" s="368"/>
      <c r="R14" s="367" t="s">
        <v>12</v>
      </c>
      <c r="S14" s="368"/>
      <c r="T14" s="367" t="s">
        <v>13</v>
      </c>
      <c r="U14" s="368"/>
      <c r="V14" s="367" t="s">
        <v>14</v>
      </c>
      <c r="W14" s="368"/>
      <c r="X14" s="367" t="s">
        <v>15</v>
      </c>
      <c r="Y14" s="368"/>
      <c r="Z14" s="367" t="s">
        <v>16</v>
      </c>
      <c r="AA14" s="368"/>
      <c r="AB14" s="186"/>
      <c r="AC14" s="367" t="s">
        <v>17</v>
      </c>
      <c r="AD14" s="368"/>
      <c r="AE14" s="4"/>
    </row>
    <row r="15" spans="2:32" s="2" customFormat="1" ht="15" customHeight="1" x14ac:dyDescent="0.3">
      <c r="B15" s="185"/>
      <c r="C15" s="370"/>
      <c r="D15" s="232" t="s">
        <v>18</v>
      </c>
      <c r="E15" s="233" t="s">
        <v>19</v>
      </c>
      <c r="F15" s="232" t="s">
        <v>18</v>
      </c>
      <c r="G15" s="233" t="s">
        <v>19</v>
      </c>
      <c r="H15" s="232" t="s">
        <v>18</v>
      </c>
      <c r="I15" s="233" t="s">
        <v>19</v>
      </c>
      <c r="J15" s="232" t="s">
        <v>18</v>
      </c>
      <c r="K15" s="233" t="s">
        <v>19</v>
      </c>
      <c r="L15" s="232" t="s">
        <v>18</v>
      </c>
      <c r="M15" s="233" t="s">
        <v>19</v>
      </c>
      <c r="N15" s="232" t="s">
        <v>18</v>
      </c>
      <c r="O15" s="233" t="s">
        <v>19</v>
      </c>
      <c r="P15" s="232" t="s">
        <v>18</v>
      </c>
      <c r="Q15" s="233" t="s">
        <v>19</v>
      </c>
      <c r="R15" s="232" t="s">
        <v>18</v>
      </c>
      <c r="S15" s="233" t="s">
        <v>19</v>
      </c>
      <c r="T15" s="232" t="s">
        <v>18</v>
      </c>
      <c r="U15" s="233" t="s">
        <v>19</v>
      </c>
      <c r="V15" s="232" t="s">
        <v>18</v>
      </c>
      <c r="W15" s="233" t="s">
        <v>19</v>
      </c>
      <c r="X15" s="232" t="s">
        <v>18</v>
      </c>
      <c r="Y15" s="233" t="s">
        <v>19</v>
      </c>
      <c r="Z15" s="232" t="s">
        <v>18</v>
      </c>
      <c r="AA15" s="233" t="s">
        <v>19</v>
      </c>
      <c r="AB15" s="187"/>
      <c r="AC15" s="232" t="s">
        <v>18</v>
      </c>
      <c r="AD15" s="233" t="s">
        <v>19</v>
      </c>
      <c r="AE15" s="4"/>
    </row>
    <row r="16" spans="2:32" s="2" customFormat="1" ht="15" customHeight="1" x14ac:dyDescent="0.3">
      <c r="B16" s="185"/>
      <c r="C16" s="231" t="s">
        <v>88</v>
      </c>
      <c r="D16" s="188">
        <f t="shared" ref="D16:AA16" si="0">IFERROR(SUM(D22,D55,D75),0)</f>
        <v>0</v>
      </c>
      <c r="E16" s="189">
        <f t="shared" si="0"/>
        <v>0</v>
      </c>
      <c r="F16" s="188">
        <f t="shared" si="0"/>
        <v>0</v>
      </c>
      <c r="G16" s="189">
        <f t="shared" si="0"/>
        <v>0</v>
      </c>
      <c r="H16" s="188">
        <f t="shared" si="0"/>
        <v>0</v>
      </c>
      <c r="I16" s="189">
        <f t="shared" si="0"/>
        <v>0</v>
      </c>
      <c r="J16" s="188">
        <f t="shared" si="0"/>
        <v>0</v>
      </c>
      <c r="K16" s="189">
        <f t="shared" si="0"/>
        <v>0</v>
      </c>
      <c r="L16" s="188">
        <f t="shared" si="0"/>
        <v>0</v>
      </c>
      <c r="M16" s="189">
        <f t="shared" si="0"/>
        <v>0</v>
      </c>
      <c r="N16" s="188">
        <f t="shared" si="0"/>
        <v>0</v>
      </c>
      <c r="O16" s="189">
        <f t="shared" si="0"/>
        <v>0</v>
      </c>
      <c r="P16" s="188">
        <f t="shared" si="0"/>
        <v>0</v>
      </c>
      <c r="Q16" s="189">
        <f t="shared" si="0"/>
        <v>0</v>
      </c>
      <c r="R16" s="188">
        <f t="shared" si="0"/>
        <v>0</v>
      </c>
      <c r="S16" s="189">
        <f t="shared" si="0"/>
        <v>0</v>
      </c>
      <c r="T16" s="188">
        <f t="shared" si="0"/>
        <v>0</v>
      </c>
      <c r="U16" s="189">
        <f t="shared" si="0"/>
        <v>0</v>
      </c>
      <c r="V16" s="188">
        <f t="shared" si="0"/>
        <v>0</v>
      </c>
      <c r="W16" s="189">
        <f t="shared" si="0"/>
        <v>0</v>
      </c>
      <c r="X16" s="188">
        <f t="shared" si="0"/>
        <v>0</v>
      </c>
      <c r="Y16" s="189">
        <f t="shared" si="0"/>
        <v>0</v>
      </c>
      <c r="Z16" s="188">
        <f t="shared" si="0"/>
        <v>0</v>
      </c>
      <c r="AA16" s="189">
        <f t="shared" si="0"/>
        <v>0</v>
      </c>
      <c r="AB16" s="190"/>
      <c r="AC16" s="188">
        <f>IFERROR(SUM(D16,F16,H16,J16,L16,N16,P16,R16,T16,V16,X16,Z16),0)</f>
        <v>0</v>
      </c>
      <c r="AD16" s="189">
        <f>IFERROR(SUM(E16,G16,I16,K16,M16,O16,Q16,S16,U16,W16,Y16,AA16),0)</f>
        <v>0</v>
      </c>
      <c r="AE16" s="4"/>
    </row>
    <row r="17" spans="2:35" s="2" customFormat="1" ht="7.5" customHeight="1" x14ac:dyDescent="0.3">
      <c r="B17" s="174"/>
      <c r="C17" s="10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4"/>
    </row>
    <row r="18" spans="2:35" s="2" customFormat="1" ht="15" customHeight="1" x14ac:dyDescent="0.3">
      <c r="B18" s="185"/>
      <c r="C18" s="359" t="s">
        <v>117</v>
      </c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59"/>
      <c r="AC18" s="359"/>
      <c r="AD18" s="360"/>
      <c r="AE18" s="4"/>
    </row>
    <row r="19" spans="2:35" s="2" customFormat="1" ht="15" customHeight="1" x14ac:dyDescent="0.3">
      <c r="B19" s="185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3"/>
      <c r="AE19" s="4"/>
    </row>
    <row r="20" spans="2:35" s="2" customFormat="1" ht="15" customHeight="1" x14ac:dyDescent="0.3">
      <c r="B20" s="185"/>
      <c r="C20" s="369" t="s">
        <v>20</v>
      </c>
      <c r="D20" s="367" t="s">
        <v>5</v>
      </c>
      <c r="E20" s="368"/>
      <c r="F20" s="367" t="s">
        <v>6</v>
      </c>
      <c r="G20" s="368"/>
      <c r="H20" s="367" t="s">
        <v>7</v>
      </c>
      <c r="I20" s="368"/>
      <c r="J20" s="367" t="s">
        <v>8</v>
      </c>
      <c r="K20" s="368"/>
      <c r="L20" s="367" t="s">
        <v>9</v>
      </c>
      <c r="M20" s="368"/>
      <c r="N20" s="367" t="s">
        <v>10</v>
      </c>
      <c r="O20" s="368"/>
      <c r="P20" s="367" t="s">
        <v>11</v>
      </c>
      <c r="Q20" s="368"/>
      <c r="R20" s="367" t="s">
        <v>12</v>
      </c>
      <c r="S20" s="368"/>
      <c r="T20" s="367" t="s">
        <v>13</v>
      </c>
      <c r="U20" s="368"/>
      <c r="V20" s="367" t="s">
        <v>14</v>
      </c>
      <c r="W20" s="368"/>
      <c r="X20" s="367" t="s">
        <v>15</v>
      </c>
      <c r="Y20" s="368"/>
      <c r="Z20" s="367" t="s">
        <v>16</v>
      </c>
      <c r="AA20" s="368"/>
      <c r="AB20" s="186"/>
      <c r="AC20" s="367" t="s">
        <v>17</v>
      </c>
      <c r="AD20" s="368"/>
      <c r="AE20" s="4"/>
    </row>
    <row r="21" spans="2:35" s="2" customFormat="1" ht="15" customHeight="1" x14ac:dyDescent="0.3">
      <c r="B21" s="185"/>
      <c r="C21" s="369"/>
      <c r="D21" s="232" t="s">
        <v>18</v>
      </c>
      <c r="E21" s="233" t="s">
        <v>19</v>
      </c>
      <c r="F21" s="232" t="s">
        <v>18</v>
      </c>
      <c r="G21" s="233" t="s">
        <v>19</v>
      </c>
      <c r="H21" s="232" t="s">
        <v>18</v>
      </c>
      <c r="I21" s="233" t="s">
        <v>19</v>
      </c>
      <c r="J21" s="232" t="s">
        <v>18</v>
      </c>
      <c r="K21" s="233" t="s">
        <v>19</v>
      </c>
      <c r="L21" s="232" t="s">
        <v>18</v>
      </c>
      <c r="M21" s="233" t="s">
        <v>19</v>
      </c>
      <c r="N21" s="232" t="s">
        <v>18</v>
      </c>
      <c r="O21" s="233" t="s">
        <v>19</v>
      </c>
      <c r="P21" s="232" t="s">
        <v>18</v>
      </c>
      <c r="Q21" s="233" t="s">
        <v>19</v>
      </c>
      <c r="R21" s="232" t="s">
        <v>18</v>
      </c>
      <c r="S21" s="233" t="s">
        <v>19</v>
      </c>
      <c r="T21" s="232" t="s">
        <v>18</v>
      </c>
      <c r="U21" s="233" t="s">
        <v>19</v>
      </c>
      <c r="V21" s="232" t="s">
        <v>18</v>
      </c>
      <c r="W21" s="233" t="s">
        <v>19</v>
      </c>
      <c r="X21" s="232" t="s">
        <v>18</v>
      </c>
      <c r="Y21" s="233" t="s">
        <v>19</v>
      </c>
      <c r="Z21" s="232" t="s">
        <v>18</v>
      </c>
      <c r="AA21" s="233" t="s">
        <v>19</v>
      </c>
      <c r="AB21" s="187"/>
      <c r="AC21" s="232" t="s">
        <v>18</v>
      </c>
      <c r="AD21" s="233" t="s">
        <v>19</v>
      </c>
      <c r="AE21" s="4"/>
    </row>
    <row r="22" spans="2:35" s="2" customFormat="1" ht="15" customHeight="1" x14ac:dyDescent="0.3">
      <c r="B22" s="185"/>
      <c r="C22" s="369"/>
      <c r="D22" s="188">
        <f t="shared" ref="D22:AA22" si="1">IFERROR(SUM(D23:D49),0)</f>
        <v>0</v>
      </c>
      <c r="E22" s="189">
        <f t="shared" si="1"/>
        <v>0</v>
      </c>
      <c r="F22" s="188">
        <f t="shared" si="1"/>
        <v>0</v>
      </c>
      <c r="G22" s="189">
        <f t="shared" si="1"/>
        <v>0</v>
      </c>
      <c r="H22" s="188">
        <f t="shared" si="1"/>
        <v>0</v>
      </c>
      <c r="I22" s="189">
        <f t="shared" si="1"/>
        <v>0</v>
      </c>
      <c r="J22" s="188">
        <f t="shared" si="1"/>
        <v>0</v>
      </c>
      <c r="K22" s="189">
        <f t="shared" si="1"/>
        <v>0</v>
      </c>
      <c r="L22" s="188">
        <f t="shared" si="1"/>
        <v>0</v>
      </c>
      <c r="M22" s="189">
        <f t="shared" si="1"/>
        <v>0</v>
      </c>
      <c r="N22" s="188">
        <f t="shared" si="1"/>
        <v>0</v>
      </c>
      <c r="O22" s="189">
        <f t="shared" si="1"/>
        <v>0</v>
      </c>
      <c r="P22" s="188">
        <f t="shared" si="1"/>
        <v>0</v>
      </c>
      <c r="Q22" s="189">
        <f t="shared" si="1"/>
        <v>0</v>
      </c>
      <c r="R22" s="188">
        <f t="shared" si="1"/>
        <v>0</v>
      </c>
      <c r="S22" s="189">
        <f t="shared" si="1"/>
        <v>0</v>
      </c>
      <c r="T22" s="188">
        <f t="shared" si="1"/>
        <v>0</v>
      </c>
      <c r="U22" s="189">
        <f t="shared" si="1"/>
        <v>0</v>
      </c>
      <c r="V22" s="188">
        <f t="shared" si="1"/>
        <v>0</v>
      </c>
      <c r="W22" s="189">
        <f t="shared" si="1"/>
        <v>0</v>
      </c>
      <c r="X22" s="188">
        <f t="shared" si="1"/>
        <v>0</v>
      </c>
      <c r="Y22" s="189">
        <f t="shared" si="1"/>
        <v>0</v>
      </c>
      <c r="Z22" s="188">
        <f t="shared" si="1"/>
        <v>0</v>
      </c>
      <c r="AA22" s="189">
        <f t="shared" si="1"/>
        <v>0</v>
      </c>
      <c r="AB22" s="192"/>
      <c r="AC22" s="188">
        <f>IFERROR(SUM(AC23:AC49),0)</f>
        <v>0</v>
      </c>
      <c r="AD22" s="189">
        <f>IFERROR(SUM(AD23:AD49),0)</f>
        <v>0</v>
      </c>
      <c r="AE22" s="4"/>
    </row>
    <row r="23" spans="2:35" ht="15" customHeight="1" x14ac:dyDescent="0.25">
      <c r="B23" s="135"/>
      <c r="C23" s="138"/>
      <c r="D23" s="234"/>
      <c r="E23" s="13"/>
      <c r="F23" s="234"/>
      <c r="G23" s="13"/>
      <c r="H23" s="234"/>
      <c r="I23" s="13"/>
      <c r="J23" s="234"/>
      <c r="K23" s="13"/>
      <c r="L23" s="234"/>
      <c r="M23" s="13"/>
      <c r="N23" s="234"/>
      <c r="O23" s="13"/>
      <c r="P23" s="234"/>
      <c r="Q23" s="13"/>
      <c r="R23" s="234"/>
      <c r="S23" s="13"/>
      <c r="T23" s="234"/>
      <c r="U23" s="13"/>
      <c r="V23" s="234"/>
      <c r="W23" s="13"/>
      <c r="X23" s="234"/>
      <c r="Y23" s="13"/>
      <c r="Z23" s="234"/>
      <c r="AA23" s="13"/>
      <c r="AB23" s="139"/>
      <c r="AC23" s="236">
        <f t="shared" ref="AC23:AD26" si="2">IFERROR(SUM(D23,F23,H23,J23,L23,N23,P23,R23,T23,V23,X23,Z23),0)</f>
        <v>0</v>
      </c>
      <c r="AD23" s="196">
        <f t="shared" si="2"/>
        <v>0</v>
      </c>
      <c r="AE23" s="134"/>
    </row>
    <row r="24" spans="2:35" s="129" customFormat="1" ht="15" customHeight="1" x14ac:dyDescent="0.25">
      <c r="B24" s="135"/>
      <c r="C24" s="138"/>
      <c r="D24" s="234"/>
      <c r="E24" s="13"/>
      <c r="F24" s="234"/>
      <c r="G24" s="13"/>
      <c r="H24" s="234"/>
      <c r="I24" s="13"/>
      <c r="J24" s="234"/>
      <c r="K24" s="13"/>
      <c r="L24" s="234"/>
      <c r="M24" s="13"/>
      <c r="N24" s="234"/>
      <c r="O24" s="13"/>
      <c r="P24" s="234"/>
      <c r="Q24" s="13"/>
      <c r="R24" s="234"/>
      <c r="S24" s="13"/>
      <c r="T24" s="234"/>
      <c r="U24" s="13"/>
      <c r="V24" s="234"/>
      <c r="W24" s="13"/>
      <c r="X24" s="234"/>
      <c r="Y24" s="13"/>
      <c r="Z24" s="234"/>
      <c r="AA24" s="13"/>
      <c r="AB24" s="139"/>
      <c r="AC24" s="236">
        <f t="shared" si="2"/>
        <v>0</v>
      </c>
      <c r="AD24" s="196">
        <f t="shared" si="2"/>
        <v>0</v>
      </c>
      <c r="AE24" s="134"/>
      <c r="AG24" s="130"/>
      <c r="AH24" s="130"/>
      <c r="AI24" s="130"/>
    </row>
    <row r="25" spans="2:35" s="129" customFormat="1" ht="15" customHeight="1" x14ac:dyDescent="0.25">
      <c r="B25" s="135"/>
      <c r="C25" s="138"/>
      <c r="D25" s="234"/>
      <c r="E25" s="13"/>
      <c r="F25" s="234"/>
      <c r="G25" s="13"/>
      <c r="H25" s="234"/>
      <c r="I25" s="13"/>
      <c r="J25" s="234"/>
      <c r="K25" s="13"/>
      <c r="L25" s="234"/>
      <c r="M25" s="13"/>
      <c r="N25" s="234"/>
      <c r="O25" s="13"/>
      <c r="P25" s="234"/>
      <c r="Q25" s="13"/>
      <c r="R25" s="234"/>
      <c r="S25" s="13"/>
      <c r="T25" s="234"/>
      <c r="U25" s="13"/>
      <c r="V25" s="234"/>
      <c r="W25" s="13"/>
      <c r="X25" s="234"/>
      <c r="Y25" s="13"/>
      <c r="Z25" s="234"/>
      <c r="AA25" s="13"/>
      <c r="AB25" s="139"/>
      <c r="AC25" s="236">
        <f t="shared" si="2"/>
        <v>0</v>
      </c>
      <c r="AD25" s="196">
        <f t="shared" si="2"/>
        <v>0</v>
      </c>
      <c r="AE25" s="134"/>
      <c r="AG25" s="130"/>
      <c r="AH25" s="130"/>
      <c r="AI25" s="130"/>
    </row>
    <row r="26" spans="2:35" s="129" customFormat="1" ht="15" customHeight="1" x14ac:dyDescent="0.25">
      <c r="B26" s="135"/>
      <c r="C26" s="138"/>
      <c r="D26" s="234"/>
      <c r="E26" s="13"/>
      <c r="F26" s="234"/>
      <c r="G26" s="13"/>
      <c r="H26" s="234"/>
      <c r="I26" s="13"/>
      <c r="J26" s="234"/>
      <c r="K26" s="13"/>
      <c r="L26" s="234"/>
      <c r="M26" s="13"/>
      <c r="N26" s="234"/>
      <c r="O26" s="13"/>
      <c r="P26" s="234"/>
      <c r="Q26" s="13"/>
      <c r="R26" s="234"/>
      <c r="S26" s="13"/>
      <c r="T26" s="234"/>
      <c r="U26" s="13"/>
      <c r="V26" s="234"/>
      <c r="W26" s="13"/>
      <c r="X26" s="234"/>
      <c r="Y26" s="13"/>
      <c r="Z26" s="234"/>
      <c r="AA26" s="13"/>
      <c r="AB26" s="139"/>
      <c r="AC26" s="237">
        <f t="shared" si="2"/>
        <v>0</v>
      </c>
      <c r="AD26" s="195">
        <f t="shared" si="2"/>
        <v>0</v>
      </c>
      <c r="AE26" s="134"/>
      <c r="AG26" s="130"/>
      <c r="AH26" s="130"/>
      <c r="AI26" s="130"/>
    </row>
    <row r="27" spans="2:35" s="129" customFormat="1" ht="15" customHeight="1" x14ac:dyDescent="0.25">
      <c r="B27" s="135"/>
      <c r="C27" s="138"/>
      <c r="D27" s="234"/>
      <c r="E27" s="13"/>
      <c r="F27" s="234"/>
      <c r="G27" s="13"/>
      <c r="H27" s="234"/>
      <c r="I27" s="13"/>
      <c r="J27" s="234"/>
      <c r="K27" s="13"/>
      <c r="L27" s="234"/>
      <c r="M27" s="13"/>
      <c r="N27" s="234"/>
      <c r="O27" s="13"/>
      <c r="P27" s="234"/>
      <c r="Q27" s="13"/>
      <c r="R27" s="234"/>
      <c r="S27" s="13"/>
      <c r="T27" s="234"/>
      <c r="U27" s="13"/>
      <c r="V27" s="234"/>
      <c r="W27" s="13"/>
      <c r="X27" s="234"/>
      <c r="Y27" s="13"/>
      <c r="Z27" s="234"/>
      <c r="AA27" s="13"/>
      <c r="AB27" s="139"/>
      <c r="AC27" s="237">
        <f t="shared" ref="AC27:AD34" si="3">IFERROR(SUM(D27,F27,H27,J27,L27,N27,P27,R27,T27,V27,X27,Z27),0)</f>
        <v>0</v>
      </c>
      <c r="AD27" s="195">
        <f t="shared" si="3"/>
        <v>0</v>
      </c>
      <c r="AE27" s="134"/>
      <c r="AG27" s="130"/>
      <c r="AH27" s="130"/>
      <c r="AI27" s="130"/>
    </row>
    <row r="28" spans="2:35" s="129" customFormat="1" ht="15" customHeight="1" x14ac:dyDescent="0.25">
      <c r="B28" s="135"/>
      <c r="C28" s="140"/>
      <c r="D28" s="234"/>
      <c r="E28" s="13"/>
      <c r="F28" s="234"/>
      <c r="G28" s="13"/>
      <c r="H28" s="234"/>
      <c r="I28" s="13"/>
      <c r="J28" s="234"/>
      <c r="K28" s="13"/>
      <c r="L28" s="234"/>
      <c r="M28" s="13"/>
      <c r="N28" s="234"/>
      <c r="O28" s="13"/>
      <c r="P28" s="234"/>
      <c r="Q28" s="13"/>
      <c r="R28" s="234"/>
      <c r="S28" s="13"/>
      <c r="T28" s="234"/>
      <c r="U28" s="13"/>
      <c r="V28" s="234"/>
      <c r="W28" s="13"/>
      <c r="X28" s="234"/>
      <c r="Y28" s="13"/>
      <c r="Z28" s="234"/>
      <c r="AA28" s="13"/>
      <c r="AB28" s="139"/>
      <c r="AC28" s="237">
        <f t="shared" si="3"/>
        <v>0</v>
      </c>
      <c r="AD28" s="195">
        <f t="shared" si="3"/>
        <v>0</v>
      </c>
      <c r="AE28" s="134"/>
      <c r="AG28" s="130"/>
      <c r="AH28" s="130"/>
      <c r="AI28" s="130"/>
    </row>
    <row r="29" spans="2:35" s="129" customFormat="1" ht="15" customHeight="1" x14ac:dyDescent="0.25">
      <c r="B29" s="135"/>
      <c r="C29" s="140"/>
      <c r="D29" s="234"/>
      <c r="E29" s="13"/>
      <c r="F29" s="234"/>
      <c r="G29" s="13"/>
      <c r="H29" s="234"/>
      <c r="I29" s="13"/>
      <c r="J29" s="234"/>
      <c r="K29" s="13"/>
      <c r="L29" s="234"/>
      <c r="M29" s="13"/>
      <c r="N29" s="234"/>
      <c r="O29" s="13"/>
      <c r="P29" s="234"/>
      <c r="Q29" s="13"/>
      <c r="R29" s="234"/>
      <c r="S29" s="13"/>
      <c r="T29" s="234"/>
      <c r="U29" s="13"/>
      <c r="V29" s="234"/>
      <c r="W29" s="13"/>
      <c r="X29" s="234"/>
      <c r="Y29" s="13"/>
      <c r="Z29" s="234"/>
      <c r="AA29" s="13"/>
      <c r="AB29" s="139"/>
      <c r="AC29" s="237">
        <f t="shared" si="3"/>
        <v>0</v>
      </c>
      <c r="AD29" s="195">
        <f t="shared" si="3"/>
        <v>0</v>
      </c>
      <c r="AE29" s="134"/>
      <c r="AG29" s="130"/>
      <c r="AH29" s="130"/>
      <c r="AI29" s="130"/>
    </row>
    <row r="30" spans="2:35" s="129" customFormat="1" ht="15" customHeight="1" x14ac:dyDescent="0.25">
      <c r="B30" s="135"/>
      <c r="C30" s="140"/>
      <c r="D30" s="234"/>
      <c r="E30" s="13"/>
      <c r="F30" s="234"/>
      <c r="G30" s="13"/>
      <c r="H30" s="234"/>
      <c r="I30" s="13"/>
      <c r="J30" s="234"/>
      <c r="K30" s="13"/>
      <c r="L30" s="234"/>
      <c r="M30" s="13"/>
      <c r="N30" s="234"/>
      <c r="O30" s="13"/>
      <c r="P30" s="234"/>
      <c r="Q30" s="13"/>
      <c r="R30" s="234"/>
      <c r="S30" s="13"/>
      <c r="T30" s="234"/>
      <c r="U30" s="13"/>
      <c r="V30" s="234"/>
      <c r="W30" s="13"/>
      <c r="X30" s="234"/>
      <c r="Y30" s="13"/>
      <c r="Z30" s="234"/>
      <c r="AA30" s="13"/>
      <c r="AB30" s="139"/>
      <c r="AC30" s="237">
        <f t="shared" si="3"/>
        <v>0</v>
      </c>
      <c r="AD30" s="195">
        <f t="shared" si="3"/>
        <v>0</v>
      </c>
      <c r="AE30" s="134"/>
      <c r="AG30" s="130"/>
      <c r="AH30" s="130"/>
      <c r="AI30" s="130"/>
    </row>
    <row r="31" spans="2:35" s="129" customFormat="1" ht="15" customHeight="1" x14ac:dyDescent="0.25">
      <c r="B31" s="135"/>
      <c r="C31" s="141"/>
      <c r="D31" s="234"/>
      <c r="E31" s="13"/>
      <c r="F31" s="234"/>
      <c r="G31" s="13"/>
      <c r="H31" s="234"/>
      <c r="I31" s="13"/>
      <c r="J31" s="234"/>
      <c r="K31" s="13"/>
      <c r="L31" s="234"/>
      <c r="M31" s="13"/>
      <c r="N31" s="234"/>
      <c r="O31" s="13"/>
      <c r="P31" s="234"/>
      <c r="Q31" s="13"/>
      <c r="R31" s="234"/>
      <c r="S31" s="13"/>
      <c r="T31" s="234"/>
      <c r="U31" s="13"/>
      <c r="V31" s="234"/>
      <c r="W31" s="13"/>
      <c r="X31" s="234"/>
      <c r="Y31" s="13"/>
      <c r="Z31" s="234"/>
      <c r="AA31" s="13"/>
      <c r="AB31" s="139"/>
      <c r="AC31" s="237">
        <f t="shared" si="3"/>
        <v>0</v>
      </c>
      <c r="AD31" s="195">
        <f t="shared" si="3"/>
        <v>0</v>
      </c>
      <c r="AE31" s="134"/>
      <c r="AG31" s="130"/>
      <c r="AH31" s="130"/>
      <c r="AI31" s="130"/>
    </row>
    <row r="32" spans="2:35" s="129" customFormat="1" ht="15" customHeight="1" x14ac:dyDescent="0.3">
      <c r="B32" s="135"/>
      <c r="C32" s="140"/>
      <c r="D32" s="234"/>
      <c r="E32" s="13"/>
      <c r="F32" s="234"/>
      <c r="G32" s="13"/>
      <c r="H32" s="234"/>
      <c r="I32" s="13"/>
      <c r="J32" s="234"/>
      <c r="K32" s="13"/>
      <c r="L32" s="234"/>
      <c r="M32" s="13"/>
      <c r="N32" s="234"/>
      <c r="O32" s="13"/>
      <c r="P32" s="234"/>
      <c r="Q32" s="13"/>
      <c r="R32" s="234"/>
      <c r="S32" s="13"/>
      <c r="T32" s="234"/>
      <c r="U32" s="13"/>
      <c r="V32" s="234"/>
      <c r="W32" s="13"/>
      <c r="X32" s="234"/>
      <c r="Y32" s="13"/>
      <c r="Z32" s="234"/>
      <c r="AA32" s="13"/>
      <c r="AB32" s="139"/>
      <c r="AC32" s="237">
        <f t="shared" si="3"/>
        <v>0</v>
      </c>
      <c r="AD32" s="195">
        <f t="shared" si="3"/>
        <v>0</v>
      </c>
      <c r="AE32" s="134"/>
    </row>
    <row r="33" spans="2:31" s="129" customFormat="1" ht="15" customHeight="1" x14ac:dyDescent="0.3">
      <c r="B33" s="135"/>
      <c r="C33" s="140"/>
      <c r="D33" s="234"/>
      <c r="E33" s="13"/>
      <c r="F33" s="234"/>
      <c r="G33" s="13"/>
      <c r="H33" s="234"/>
      <c r="I33" s="13"/>
      <c r="J33" s="234"/>
      <c r="K33" s="13"/>
      <c r="L33" s="234"/>
      <c r="M33" s="13"/>
      <c r="N33" s="234"/>
      <c r="O33" s="13"/>
      <c r="P33" s="234"/>
      <c r="Q33" s="13"/>
      <c r="R33" s="234"/>
      <c r="S33" s="13"/>
      <c r="T33" s="234"/>
      <c r="U33" s="13"/>
      <c r="V33" s="234"/>
      <c r="W33" s="13"/>
      <c r="X33" s="234"/>
      <c r="Y33" s="13"/>
      <c r="Z33" s="234"/>
      <c r="AA33" s="13"/>
      <c r="AB33" s="139"/>
      <c r="AC33" s="237">
        <f t="shared" si="3"/>
        <v>0</v>
      </c>
      <c r="AD33" s="195">
        <f t="shared" si="3"/>
        <v>0</v>
      </c>
      <c r="AE33" s="134"/>
    </row>
    <row r="34" spans="2:31" s="129" customFormat="1" ht="15" customHeight="1" x14ac:dyDescent="0.3">
      <c r="B34" s="135"/>
      <c r="C34" s="140"/>
      <c r="D34" s="234"/>
      <c r="E34" s="13"/>
      <c r="F34" s="234"/>
      <c r="G34" s="13"/>
      <c r="H34" s="234"/>
      <c r="I34" s="13"/>
      <c r="J34" s="234"/>
      <c r="K34" s="13"/>
      <c r="L34" s="234"/>
      <c r="M34" s="13"/>
      <c r="N34" s="234"/>
      <c r="O34" s="13"/>
      <c r="P34" s="234"/>
      <c r="Q34" s="13"/>
      <c r="R34" s="234"/>
      <c r="S34" s="13"/>
      <c r="T34" s="234"/>
      <c r="U34" s="13"/>
      <c r="V34" s="234"/>
      <c r="W34" s="13"/>
      <c r="X34" s="234"/>
      <c r="Y34" s="13"/>
      <c r="Z34" s="234"/>
      <c r="AA34" s="13"/>
      <c r="AB34" s="139"/>
      <c r="AC34" s="237">
        <f t="shared" si="3"/>
        <v>0</v>
      </c>
      <c r="AD34" s="195">
        <f t="shared" si="3"/>
        <v>0</v>
      </c>
      <c r="AE34" s="134"/>
    </row>
    <row r="35" spans="2:31" s="129" customFormat="1" ht="15" customHeight="1" x14ac:dyDescent="0.3">
      <c r="B35" s="135"/>
      <c r="C35" s="140"/>
      <c r="D35" s="234"/>
      <c r="E35" s="13"/>
      <c r="F35" s="234"/>
      <c r="G35" s="13"/>
      <c r="H35" s="234"/>
      <c r="I35" s="13"/>
      <c r="J35" s="234"/>
      <c r="K35" s="13"/>
      <c r="L35" s="234"/>
      <c r="M35" s="13"/>
      <c r="N35" s="234"/>
      <c r="O35" s="13"/>
      <c r="P35" s="234"/>
      <c r="Q35" s="13"/>
      <c r="R35" s="234"/>
      <c r="S35" s="13"/>
      <c r="T35" s="234"/>
      <c r="U35" s="13"/>
      <c r="V35" s="234"/>
      <c r="W35" s="13"/>
      <c r="X35" s="234"/>
      <c r="Y35" s="13"/>
      <c r="Z35" s="234"/>
      <c r="AA35" s="13"/>
      <c r="AB35" s="139"/>
      <c r="AC35" s="237"/>
      <c r="AD35" s="195"/>
      <c r="AE35" s="134"/>
    </row>
    <row r="36" spans="2:31" s="129" customFormat="1" ht="15" customHeight="1" x14ac:dyDescent="0.3">
      <c r="B36" s="135"/>
      <c r="C36" s="140"/>
      <c r="D36" s="234"/>
      <c r="E36" s="13"/>
      <c r="F36" s="234"/>
      <c r="G36" s="13"/>
      <c r="H36" s="234"/>
      <c r="I36" s="13"/>
      <c r="J36" s="234"/>
      <c r="K36" s="13"/>
      <c r="L36" s="234"/>
      <c r="M36" s="13"/>
      <c r="N36" s="234"/>
      <c r="O36" s="13"/>
      <c r="P36" s="234"/>
      <c r="Q36" s="13"/>
      <c r="R36" s="234"/>
      <c r="S36" s="13"/>
      <c r="T36" s="234"/>
      <c r="U36" s="13"/>
      <c r="V36" s="234"/>
      <c r="W36" s="13"/>
      <c r="X36" s="234"/>
      <c r="Y36" s="13"/>
      <c r="Z36" s="234"/>
      <c r="AA36" s="13"/>
      <c r="AB36" s="139"/>
      <c r="AC36" s="237"/>
      <c r="AD36" s="195"/>
      <c r="AE36" s="134"/>
    </row>
    <row r="37" spans="2:31" s="129" customFormat="1" ht="15" customHeight="1" x14ac:dyDescent="0.3">
      <c r="B37" s="135"/>
      <c r="C37" s="140"/>
      <c r="D37" s="234"/>
      <c r="E37" s="13"/>
      <c r="F37" s="234"/>
      <c r="G37" s="13"/>
      <c r="H37" s="234"/>
      <c r="I37" s="13"/>
      <c r="J37" s="234"/>
      <c r="K37" s="13"/>
      <c r="L37" s="234"/>
      <c r="M37" s="13"/>
      <c r="N37" s="234"/>
      <c r="O37" s="13"/>
      <c r="P37" s="234"/>
      <c r="Q37" s="13"/>
      <c r="R37" s="234"/>
      <c r="S37" s="13"/>
      <c r="T37" s="234"/>
      <c r="U37" s="13"/>
      <c r="V37" s="234"/>
      <c r="W37" s="13"/>
      <c r="X37" s="234"/>
      <c r="Y37" s="13"/>
      <c r="Z37" s="234"/>
      <c r="AA37" s="13"/>
      <c r="AB37" s="139"/>
      <c r="AC37" s="237"/>
      <c r="AD37" s="195"/>
      <c r="AE37" s="134"/>
    </row>
    <row r="38" spans="2:31" s="129" customFormat="1" ht="15" customHeight="1" x14ac:dyDescent="0.3">
      <c r="B38" s="135"/>
      <c r="C38" s="140"/>
      <c r="D38" s="234"/>
      <c r="E38" s="13"/>
      <c r="F38" s="234"/>
      <c r="G38" s="13"/>
      <c r="H38" s="234"/>
      <c r="I38" s="13"/>
      <c r="J38" s="234"/>
      <c r="K38" s="13"/>
      <c r="L38" s="234"/>
      <c r="M38" s="13"/>
      <c r="N38" s="234"/>
      <c r="O38" s="13"/>
      <c r="P38" s="234"/>
      <c r="Q38" s="13"/>
      <c r="R38" s="234"/>
      <c r="S38" s="13"/>
      <c r="T38" s="234"/>
      <c r="U38" s="13"/>
      <c r="V38" s="234"/>
      <c r="W38" s="13"/>
      <c r="X38" s="234"/>
      <c r="Y38" s="13"/>
      <c r="Z38" s="234"/>
      <c r="AA38" s="13"/>
      <c r="AB38" s="139"/>
      <c r="AC38" s="237">
        <f t="shared" ref="AC38:AD46" si="4">IFERROR(SUM(D38,F38,H38,J38,L38,N38,P38,R38,T38,V38,X38,Z38),0)</f>
        <v>0</v>
      </c>
      <c r="AD38" s="195">
        <f t="shared" si="4"/>
        <v>0</v>
      </c>
      <c r="AE38" s="134"/>
    </row>
    <row r="39" spans="2:31" s="129" customFormat="1" ht="15" customHeight="1" x14ac:dyDescent="0.3">
      <c r="B39" s="135"/>
      <c r="C39" s="140"/>
      <c r="D39" s="234"/>
      <c r="E39" s="13"/>
      <c r="F39" s="234"/>
      <c r="G39" s="13"/>
      <c r="H39" s="234"/>
      <c r="I39" s="13"/>
      <c r="J39" s="234"/>
      <c r="K39" s="13"/>
      <c r="L39" s="234"/>
      <c r="M39" s="13"/>
      <c r="N39" s="234"/>
      <c r="O39" s="13"/>
      <c r="P39" s="234"/>
      <c r="Q39" s="13"/>
      <c r="R39" s="234"/>
      <c r="S39" s="13"/>
      <c r="T39" s="234"/>
      <c r="U39" s="13"/>
      <c r="V39" s="234"/>
      <c r="W39" s="13"/>
      <c r="X39" s="234"/>
      <c r="Y39" s="13"/>
      <c r="Z39" s="234"/>
      <c r="AA39" s="13"/>
      <c r="AB39" s="139"/>
      <c r="AC39" s="237">
        <f t="shared" si="4"/>
        <v>0</v>
      </c>
      <c r="AD39" s="195">
        <f t="shared" si="4"/>
        <v>0</v>
      </c>
      <c r="AE39" s="134"/>
    </row>
    <row r="40" spans="2:31" s="129" customFormat="1" ht="15" customHeight="1" x14ac:dyDescent="0.3">
      <c r="B40" s="135"/>
      <c r="C40" s="140"/>
      <c r="D40" s="234"/>
      <c r="E40" s="13"/>
      <c r="F40" s="234"/>
      <c r="G40" s="13"/>
      <c r="H40" s="234"/>
      <c r="I40" s="13"/>
      <c r="J40" s="234"/>
      <c r="K40" s="13"/>
      <c r="L40" s="234"/>
      <c r="M40" s="13"/>
      <c r="N40" s="234"/>
      <c r="O40" s="13"/>
      <c r="P40" s="234"/>
      <c r="Q40" s="13"/>
      <c r="R40" s="234"/>
      <c r="S40" s="13"/>
      <c r="T40" s="234"/>
      <c r="U40" s="13"/>
      <c r="V40" s="234"/>
      <c r="W40" s="13"/>
      <c r="X40" s="234"/>
      <c r="Y40" s="13"/>
      <c r="Z40" s="234"/>
      <c r="AA40" s="13"/>
      <c r="AB40" s="139"/>
      <c r="AC40" s="237">
        <f t="shared" si="4"/>
        <v>0</v>
      </c>
      <c r="AD40" s="195">
        <f t="shared" si="4"/>
        <v>0</v>
      </c>
      <c r="AE40" s="134"/>
    </row>
    <row r="41" spans="2:31" s="129" customFormat="1" ht="15" customHeight="1" x14ac:dyDescent="0.3">
      <c r="B41" s="135"/>
      <c r="C41" s="140"/>
      <c r="D41" s="234"/>
      <c r="E41" s="13"/>
      <c r="F41" s="234"/>
      <c r="G41" s="13"/>
      <c r="H41" s="234"/>
      <c r="I41" s="13"/>
      <c r="J41" s="234"/>
      <c r="K41" s="13"/>
      <c r="L41" s="234"/>
      <c r="M41" s="13"/>
      <c r="N41" s="234"/>
      <c r="O41" s="13"/>
      <c r="P41" s="234"/>
      <c r="Q41" s="13"/>
      <c r="R41" s="234"/>
      <c r="S41" s="13"/>
      <c r="T41" s="234"/>
      <c r="U41" s="13"/>
      <c r="V41" s="234"/>
      <c r="W41" s="13"/>
      <c r="X41" s="234"/>
      <c r="Y41" s="13"/>
      <c r="Z41" s="234"/>
      <c r="AA41" s="13"/>
      <c r="AB41" s="139"/>
      <c r="AC41" s="237">
        <f t="shared" si="4"/>
        <v>0</v>
      </c>
      <c r="AD41" s="195">
        <f t="shared" si="4"/>
        <v>0</v>
      </c>
      <c r="AE41" s="134"/>
    </row>
    <row r="42" spans="2:31" s="129" customFormat="1" ht="15" customHeight="1" x14ac:dyDescent="0.3">
      <c r="B42" s="135"/>
      <c r="C42" s="140"/>
      <c r="D42" s="234"/>
      <c r="E42" s="13"/>
      <c r="F42" s="234"/>
      <c r="G42" s="13"/>
      <c r="H42" s="234"/>
      <c r="I42" s="13"/>
      <c r="J42" s="234"/>
      <c r="K42" s="13"/>
      <c r="L42" s="234"/>
      <c r="M42" s="13"/>
      <c r="N42" s="234"/>
      <c r="O42" s="13"/>
      <c r="P42" s="234"/>
      <c r="Q42" s="13"/>
      <c r="R42" s="234"/>
      <c r="S42" s="13"/>
      <c r="T42" s="234"/>
      <c r="U42" s="13"/>
      <c r="V42" s="234"/>
      <c r="W42" s="13"/>
      <c r="X42" s="234"/>
      <c r="Y42" s="13"/>
      <c r="Z42" s="234"/>
      <c r="AA42" s="13"/>
      <c r="AB42" s="139"/>
      <c r="AC42" s="237">
        <f t="shared" si="4"/>
        <v>0</v>
      </c>
      <c r="AD42" s="195">
        <f t="shared" si="4"/>
        <v>0</v>
      </c>
      <c r="AE42" s="134"/>
    </row>
    <row r="43" spans="2:31" s="129" customFormat="1" ht="15" customHeight="1" x14ac:dyDescent="0.3">
      <c r="B43" s="135"/>
      <c r="C43" s="140"/>
      <c r="D43" s="234"/>
      <c r="E43" s="13"/>
      <c r="F43" s="234"/>
      <c r="G43" s="13"/>
      <c r="H43" s="234"/>
      <c r="I43" s="13"/>
      <c r="J43" s="234"/>
      <c r="K43" s="13"/>
      <c r="L43" s="234"/>
      <c r="M43" s="13"/>
      <c r="N43" s="234"/>
      <c r="O43" s="13"/>
      <c r="P43" s="234"/>
      <c r="Q43" s="13"/>
      <c r="R43" s="234"/>
      <c r="S43" s="13"/>
      <c r="T43" s="234"/>
      <c r="U43" s="13"/>
      <c r="V43" s="234"/>
      <c r="W43" s="13"/>
      <c r="X43" s="234"/>
      <c r="Y43" s="13"/>
      <c r="Z43" s="234"/>
      <c r="AA43" s="13"/>
      <c r="AB43" s="139"/>
      <c r="AC43" s="237">
        <f t="shared" si="4"/>
        <v>0</v>
      </c>
      <c r="AD43" s="195">
        <f t="shared" si="4"/>
        <v>0</v>
      </c>
      <c r="AE43" s="134"/>
    </row>
    <row r="44" spans="2:31" s="129" customFormat="1" ht="15" customHeight="1" x14ac:dyDescent="0.3">
      <c r="B44" s="135"/>
      <c r="C44" s="140"/>
      <c r="D44" s="234"/>
      <c r="E44" s="13"/>
      <c r="F44" s="234"/>
      <c r="G44" s="13"/>
      <c r="H44" s="234"/>
      <c r="I44" s="13"/>
      <c r="J44" s="234"/>
      <c r="K44" s="13"/>
      <c r="L44" s="234"/>
      <c r="M44" s="13"/>
      <c r="N44" s="234"/>
      <c r="O44" s="13"/>
      <c r="P44" s="234"/>
      <c r="Q44" s="13"/>
      <c r="R44" s="234"/>
      <c r="S44" s="13"/>
      <c r="T44" s="234"/>
      <c r="U44" s="13"/>
      <c r="V44" s="234"/>
      <c r="W44" s="13"/>
      <c r="X44" s="234"/>
      <c r="Y44" s="13"/>
      <c r="Z44" s="234"/>
      <c r="AA44" s="13"/>
      <c r="AB44" s="139"/>
      <c r="AC44" s="237">
        <f t="shared" si="4"/>
        <v>0</v>
      </c>
      <c r="AD44" s="195">
        <f t="shared" si="4"/>
        <v>0</v>
      </c>
      <c r="AE44" s="134"/>
    </row>
    <row r="45" spans="2:31" s="129" customFormat="1" ht="15" customHeight="1" x14ac:dyDescent="0.3">
      <c r="B45" s="135"/>
      <c r="C45" s="140"/>
      <c r="D45" s="234"/>
      <c r="E45" s="13"/>
      <c r="F45" s="234"/>
      <c r="G45" s="13"/>
      <c r="H45" s="234"/>
      <c r="I45" s="13"/>
      <c r="J45" s="234"/>
      <c r="K45" s="13"/>
      <c r="L45" s="234"/>
      <c r="M45" s="13"/>
      <c r="N45" s="234"/>
      <c r="O45" s="13"/>
      <c r="P45" s="234"/>
      <c r="Q45" s="13"/>
      <c r="R45" s="234"/>
      <c r="S45" s="13"/>
      <c r="T45" s="234"/>
      <c r="U45" s="13"/>
      <c r="V45" s="234"/>
      <c r="W45" s="13"/>
      <c r="X45" s="234"/>
      <c r="Y45" s="13"/>
      <c r="Z45" s="234"/>
      <c r="AA45" s="13"/>
      <c r="AB45" s="139"/>
      <c r="AC45" s="237">
        <f t="shared" si="4"/>
        <v>0</v>
      </c>
      <c r="AD45" s="195">
        <f t="shared" si="4"/>
        <v>0</v>
      </c>
      <c r="AE45" s="134"/>
    </row>
    <row r="46" spans="2:31" s="129" customFormat="1" ht="15" customHeight="1" x14ac:dyDescent="0.3">
      <c r="B46" s="135"/>
      <c r="C46" s="140"/>
      <c r="D46" s="234"/>
      <c r="E46" s="13"/>
      <c r="F46" s="234"/>
      <c r="G46" s="13"/>
      <c r="H46" s="234"/>
      <c r="I46" s="13"/>
      <c r="J46" s="234"/>
      <c r="K46" s="13"/>
      <c r="L46" s="234"/>
      <c r="M46" s="13"/>
      <c r="N46" s="234"/>
      <c r="O46" s="13"/>
      <c r="P46" s="234"/>
      <c r="Q46" s="13"/>
      <c r="R46" s="234"/>
      <c r="S46" s="13"/>
      <c r="T46" s="234"/>
      <c r="U46" s="13"/>
      <c r="V46" s="234"/>
      <c r="W46" s="13"/>
      <c r="X46" s="234"/>
      <c r="Y46" s="13"/>
      <c r="Z46" s="234"/>
      <c r="AA46" s="13"/>
      <c r="AB46" s="139"/>
      <c r="AC46" s="237">
        <f t="shared" si="4"/>
        <v>0</v>
      </c>
      <c r="AD46" s="195">
        <f t="shared" si="4"/>
        <v>0</v>
      </c>
      <c r="AE46" s="134"/>
    </row>
    <row r="47" spans="2:31" s="129" customFormat="1" ht="15" customHeight="1" x14ac:dyDescent="0.3">
      <c r="B47" s="135"/>
      <c r="C47" s="140"/>
      <c r="D47" s="234"/>
      <c r="E47" s="13"/>
      <c r="F47" s="234"/>
      <c r="G47" s="13"/>
      <c r="H47" s="234"/>
      <c r="I47" s="13"/>
      <c r="J47" s="234"/>
      <c r="K47" s="13"/>
      <c r="L47" s="234"/>
      <c r="M47" s="13"/>
      <c r="N47" s="234"/>
      <c r="O47" s="13"/>
      <c r="P47" s="234"/>
      <c r="Q47" s="13"/>
      <c r="R47" s="234"/>
      <c r="S47" s="13"/>
      <c r="T47" s="234"/>
      <c r="U47" s="13"/>
      <c r="V47" s="234"/>
      <c r="W47" s="13"/>
      <c r="X47" s="234"/>
      <c r="Y47" s="13"/>
      <c r="Z47" s="234"/>
      <c r="AA47" s="13"/>
      <c r="AB47" s="139"/>
      <c r="AC47" s="236">
        <f t="shared" ref="AC47:AD49" si="5">IFERROR(SUM(D47,F47,H47,J47,L47,N47,P47,R47,T47,V47,X47,Z47),0)</f>
        <v>0</v>
      </c>
      <c r="AD47" s="196">
        <f t="shared" si="5"/>
        <v>0</v>
      </c>
      <c r="AE47" s="134"/>
    </row>
    <row r="48" spans="2:31" s="129" customFormat="1" ht="15" customHeight="1" x14ac:dyDescent="0.3">
      <c r="B48" s="135"/>
      <c r="C48" s="140"/>
      <c r="D48" s="234"/>
      <c r="E48" s="13"/>
      <c r="F48" s="234"/>
      <c r="G48" s="13"/>
      <c r="H48" s="234"/>
      <c r="I48" s="13"/>
      <c r="J48" s="234"/>
      <c r="K48" s="13"/>
      <c r="L48" s="234"/>
      <c r="M48" s="13"/>
      <c r="N48" s="234"/>
      <c r="O48" s="13"/>
      <c r="P48" s="234"/>
      <c r="Q48" s="13"/>
      <c r="R48" s="234"/>
      <c r="S48" s="13"/>
      <c r="T48" s="234"/>
      <c r="U48" s="13"/>
      <c r="V48" s="234"/>
      <c r="W48" s="13"/>
      <c r="X48" s="234"/>
      <c r="Y48" s="13"/>
      <c r="Z48" s="234"/>
      <c r="AA48" s="13"/>
      <c r="AB48" s="139"/>
      <c r="AC48" s="236">
        <f t="shared" si="5"/>
        <v>0</v>
      </c>
      <c r="AD48" s="196">
        <f t="shared" si="5"/>
        <v>0</v>
      </c>
      <c r="AE48" s="134"/>
    </row>
    <row r="49" spans="2:31" s="129" customFormat="1" ht="15" customHeight="1" collapsed="1" x14ac:dyDescent="0.3">
      <c r="B49" s="135"/>
      <c r="C49" s="142"/>
      <c r="D49" s="235"/>
      <c r="E49" s="14"/>
      <c r="F49" s="235"/>
      <c r="G49" s="14"/>
      <c r="H49" s="235"/>
      <c r="I49" s="14"/>
      <c r="J49" s="235"/>
      <c r="K49" s="14"/>
      <c r="L49" s="235"/>
      <c r="M49" s="14"/>
      <c r="N49" s="235"/>
      <c r="O49" s="14"/>
      <c r="P49" s="235"/>
      <c r="Q49" s="14"/>
      <c r="R49" s="235"/>
      <c r="S49" s="14"/>
      <c r="T49" s="235"/>
      <c r="U49" s="14"/>
      <c r="V49" s="235"/>
      <c r="W49" s="14"/>
      <c r="X49" s="235"/>
      <c r="Y49" s="14"/>
      <c r="Z49" s="235"/>
      <c r="AA49" s="14"/>
      <c r="AB49" s="139"/>
      <c r="AC49" s="238">
        <f t="shared" si="5"/>
        <v>0</v>
      </c>
      <c r="AD49" s="197">
        <f t="shared" si="5"/>
        <v>0</v>
      </c>
      <c r="AE49" s="134"/>
    </row>
    <row r="50" spans="2:31" s="129" customFormat="1" ht="15" customHeight="1" x14ac:dyDescent="0.3">
      <c r="B50" s="132"/>
      <c r="C50" s="136"/>
      <c r="AE50" s="134"/>
    </row>
    <row r="51" spans="2:31" s="2" customFormat="1" ht="15" customHeight="1" x14ac:dyDescent="0.3">
      <c r="B51" s="185"/>
      <c r="C51" s="359" t="s">
        <v>77</v>
      </c>
      <c r="D51" s="359"/>
      <c r="E51" s="359"/>
      <c r="F51" s="359"/>
      <c r="G51" s="359"/>
      <c r="H51" s="359"/>
      <c r="I51" s="359"/>
      <c r="J51" s="359"/>
      <c r="K51" s="359"/>
      <c r="L51" s="359"/>
      <c r="M51" s="359"/>
      <c r="N51" s="359"/>
      <c r="O51" s="359"/>
      <c r="P51" s="359"/>
      <c r="Q51" s="359"/>
      <c r="R51" s="359"/>
      <c r="S51" s="359"/>
      <c r="T51" s="359"/>
      <c r="U51" s="359"/>
      <c r="V51" s="359"/>
      <c r="W51" s="359"/>
      <c r="X51" s="359"/>
      <c r="Y51" s="359"/>
      <c r="Z51" s="359"/>
      <c r="AA51" s="359"/>
      <c r="AB51" s="359"/>
      <c r="AC51" s="359"/>
      <c r="AD51" s="360"/>
      <c r="AE51" s="4"/>
    </row>
    <row r="52" spans="2:31" s="2" customFormat="1" ht="15" customHeight="1" x14ac:dyDescent="0.3">
      <c r="B52" s="185"/>
      <c r="C52" s="362"/>
      <c r="D52" s="362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2"/>
      <c r="Z52" s="362"/>
      <c r="AA52" s="362"/>
      <c r="AB52" s="362"/>
      <c r="AC52" s="362"/>
      <c r="AD52" s="363"/>
      <c r="AE52" s="4"/>
    </row>
    <row r="53" spans="2:31" s="2" customFormat="1" ht="15" customHeight="1" x14ac:dyDescent="0.3">
      <c r="B53" s="185"/>
      <c r="C53" s="369" t="s">
        <v>20</v>
      </c>
      <c r="D53" s="367" t="s">
        <v>5</v>
      </c>
      <c r="E53" s="368"/>
      <c r="F53" s="367" t="s">
        <v>6</v>
      </c>
      <c r="G53" s="368"/>
      <c r="H53" s="367" t="s">
        <v>7</v>
      </c>
      <c r="I53" s="368"/>
      <c r="J53" s="367" t="s">
        <v>8</v>
      </c>
      <c r="K53" s="368"/>
      <c r="L53" s="367" t="s">
        <v>9</v>
      </c>
      <c r="M53" s="368"/>
      <c r="N53" s="367" t="s">
        <v>10</v>
      </c>
      <c r="O53" s="368"/>
      <c r="P53" s="367" t="s">
        <v>11</v>
      </c>
      <c r="Q53" s="368"/>
      <c r="R53" s="367" t="s">
        <v>12</v>
      </c>
      <c r="S53" s="368"/>
      <c r="T53" s="367" t="s">
        <v>13</v>
      </c>
      <c r="U53" s="368"/>
      <c r="V53" s="367" t="s">
        <v>14</v>
      </c>
      <c r="W53" s="368"/>
      <c r="X53" s="367" t="s">
        <v>15</v>
      </c>
      <c r="Y53" s="368"/>
      <c r="Z53" s="367" t="s">
        <v>16</v>
      </c>
      <c r="AA53" s="368"/>
      <c r="AB53" s="186"/>
      <c r="AC53" s="367" t="s">
        <v>17</v>
      </c>
      <c r="AD53" s="368"/>
      <c r="AE53" s="4"/>
    </row>
    <row r="54" spans="2:31" s="2" customFormat="1" ht="15" customHeight="1" x14ac:dyDescent="0.3">
      <c r="B54" s="185"/>
      <c r="C54" s="369"/>
      <c r="D54" s="232" t="s">
        <v>18</v>
      </c>
      <c r="E54" s="233" t="s">
        <v>19</v>
      </c>
      <c r="F54" s="232" t="s">
        <v>18</v>
      </c>
      <c r="G54" s="233" t="s">
        <v>19</v>
      </c>
      <c r="H54" s="232" t="s">
        <v>18</v>
      </c>
      <c r="I54" s="233" t="s">
        <v>19</v>
      </c>
      <c r="J54" s="232" t="s">
        <v>18</v>
      </c>
      <c r="K54" s="233" t="s">
        <v>19</v>
      </c>
      <c r="L54" s="232" t="s">
        <v>18</v>
      </c>
      <c r="M54" s="233" t="s">
        <v>19</v>
      </c>
      <c r="N54" s="232" t="s">
        <v>18</v>
      </c>
      <c r="O54" s="233" t="s">
        <v>19</v>
      </c>
      <c r="P54" s="232" t="s">
        <v>18</v>
      </c>
      <c r="Q54" s="233" t="s">
        <v>19</v>
      </c>
      <c r="R54" s="232" t="s">
        <v>18</v>
      </c>
      <c r="S54" s="233" t="s">
        <v>19</v>
      </c>
      <c r="T54" s="232" t="s">
        <v>18</v>
      </c>
      <c r="U54" s="233" t="s">
        <v>19</v>
      </c>
      <c r="V54" s="232" t="s">
        <v>18</v>
      </c>
      <c r="W54" s="233" t="s">
        <v>19</v>
      </c>
      <c r="X54" s="232" t="s">
        <v>18</v>
      </c>
      <c r="Y54" s="233" t="s">
        <v>19</v>
      </c>
      <c r="Z54" s="232" t="s">
        <v>18</v>
      </c>
      <c r="AA54" s="233" t="s">
        <v>19</v>
      </c>
      <c r="AB54" s="187"/>
      <c r="AC54" s="232" t="s">
        <v>18</v>
      </c>
      <c r="AD54" s="233" t="s">
        <v>19</v>
      </c>
      <c r="AE54" s="4"/>
    </row>
    <row r="55" spans="2:31" s="2" customFormat="1" ht="15" customHeight="1" x14ac:dyDescent="0.3">
      <c r="B55" s="185"/>
      <c r="C55" s="369"/>
      <c r="D55" s="188">
        <f t="shared" ref="D55:AA55" si="6">IFERROR(SUM(D56:D69),0)</f>
        <v>0</v>
      </c>
      <c r="E55" s="189">
        <f t="shared" si="6"/>
        <v>0</v>
      </c>
      <c r="F55" s="188">
        <f t="shared" si="6"/>
        <v>0</v>
      </c>
      <c r="G55" s="189">
        <f t="shared" si="6"/>
        <v>0</v>
      </c>
      <c r="H55" s="188">
        <f t="shared" si="6"/>
        <v>0</v>
      </c>
      <c r="I55" s="189">
        <f t="shared" si="6"/>
        <v>0</v>
      </c>
      <c r="J55" s="188">
        <f t="shared" si="6"/>
        <v>0</v>
      </c>
      <c r="K55" s="189">
        <f t="shared" si="6"/>
        <v>0</v>
      </c>
      <c r="L55" s="188">
        <f t="shared" si="6"/>
        <v>0</v>
      </c>
      <c r="M55" s="189">
        <f t="shared" si="6"/>
        <v>0</v>
      </c>
      <c r="N55" s="188">
        <f t="shared" si="6"/>
        <v>0</v>
      </c>
      <c r="O55" s="189">
        <f t="shared" si="6"/>
        <v>0</v>
      </c>
      <c r="P55" s="188">
        <f t="shared" si="6"/>
        <v>0</v>
      </c>
      <c r="Q55" s="189">
        <f t="shared" si="6"/>
        <v>0</v>
      </c>
      <c r="R55" s="188">
        <f t="shared" si="6"/>
        <v>0</v>
      </c>
      <c r="S55" s="189">
        <f t="shared" si="6"/>
        <v>0</v>
      </c>
      <c r="T55" s="188">
        <f t="shared" si="6"/>
        <v>0</v>
      </c>
      <c r="U55" s="189">
        <f t="shared" si="6"/>
        <v>0</v>
      </c>
      <c r="V55" s="188">
        <f t="shared" si="6"/>
        <v>0</v>
      </c>
      <c r="W55" s="189">
        <f t="shared" si="6"/>
        <v>0</v>
      </c>
      <c r="X55" s="188">
        <f t="shared" si="6"/>
        <v>0</v>
      </c>
      <c r="Y55" s="189">
        <f t="shared" si="6"/>
        <v>0</v>
      </c>
      <c r="Z55" s="188">
        <f t="shared" si="6"/>
        <v>0</v>
      </c>
      <c r="AA55" s="189">
        <f t="shared" si="6"/>
        <v>0</v>
      </c>
      <c r="AB55" s="192"/>
      <c r="AC55" s="188">
        <f>IFERROR(SUM(AC56:AC69),0)</f>
        <v>0</v>
      </c>
      <c r="AD55" s="189">
        <f>IFERROR(SUM(AD56:AD69),0)</f>
        <v>0</v>
      </c>
      <c r="AE55" s="4"/>
    </row>
    <row r="56" spans="2:31" s="129" customFormat="1" ht="15" customHeight="1" x14ac:dyDescent="0.3">
      <c r="B56" s="135"/>
      <c r="C56" s="143"/>
      <c r="D56" s="234"/>
      <c r="E56" s="13"/>
      <c r="F56" s="234"/>
      <c r="G56" s="13"/>
      <c r="H56" s="234"/>
      <c r="I56" s="13"/>
      <c r="J56" s="234"/>
      <c r="K56" s="13"/>
      <c r="L56" s="234"/>
      <c r="M56" s="13"/>
      <c r="N56" s="234"/>
      <c r="O56" s="13"/>
      <c r="P56" s="234"/>
      <c r="Q56" s="13"/>
      <c r="R56" s="234"/>
      <c r="S56" s="13"/>
      <c r="T56" s="234"/>
      <c r="U56" s="13"/>
      <c r="V56" s="234"/>
      <c r="W56" s="13"/>
      <c r="X56" s="234"/>
      <c r="Y56" s="13"/>
      <c r="Z56" s="234"/>
      <c r="AA56" s="13"/>
      <c r="AB56" s="139"/>
      <c r="AC56" s="239">
        <f>IFERROR(SUM(D56,F56,H56,J56,L56,N56,P56,R56,T56,V56,X56,Z56),0)</f>
        <v>0</v>
      </c>
      <c r="AD56" s="194">
        <f>IFERROR(SUM(E56,G56,I56,K56,M56,O56,Q56,S56,U56,W56,Y56,AA56),0)</f>
        <v>0</v>
      </c>
      <c r="AE56" s="134"/>
    </row>
    <row r="57" spans="2:31" s="129" customFormat="1" ht="15" customHeight="1" x14ac:dyDescent="0.3">
      <c r="B57" s="135"/>
      <c r="C57" s="140"/>
      <c r="D57" s="234"/>
      <c r="E57" s="13"/>
      <c r="F57" s="234"/>
      <c r="G57" s="13"/>
      <c r="H57" s="234"/>
      <c r="I57" s="13"/>
      <c r="J57" s="234"/>
      <c r="K57" s="13"/>
      <c r="L57" s="234"/>
      <c r="M57" s="13"/>
      <c r="N57" s="234"/>
      <c r="O57" s="13"/>
      <c r="P57" s="234"/>
      <c r="Q57" s="13"/>
      <c r="R57" s="234"/>
      <c r="S57" s="13"/>
      <c r="T57" s="234"/>
      <c r="U57" s="13"/>
      <c r="V57" s="234"/>
      <c r="W57" s="13"/>
      <c r="X57" s="234"/>
      <c r="Y57" s="13"/>
      <c r="Z57" s="234"/>
      <c r="AA57" s="13"/>
      <c r="AB57" s="139"/>
      <c r="AC57" s="237">
        <f t="shared" ref="AC57:AD59" si="7">IFERROR(SUM(D57,F57,H57,J57,L57,N57,P57,R57,T57,V57,X57,Z57),0)</f>
        <v>0</v>
      </c>
      <c r="AD57" s="195">
        <f t="shared" si="7"/>
        <v>0</v>
      </c>
      <c r="AE57" s="134"/>
    </row>
    <row r="58" spans="2:31" s="129" customFormat="1" ht="15" customHeight="1" x14ac:dyDescent="0.3">
      <c r="B58" s="135"/>
      <c r="C58" s="140"/>
      <c r="D58" s="234"/>
      <c r="E58" s="13"/>
      <c r="F58" s="234"/>
      <c r="G58" s="13"/>
      <c r="H58" s="234"/>
      <c r="I58" s="13"/>
      <c r="J58" s="234"/>
      <c r="K58" s="13"/>
      <c r="L58" s="234"/>
      <c r="M58" s="13"/>
      <c r="N58" s="234"/>
      <c r="O58" s="13"/>
      <c r="P58" s="234"/>
      <c r="Q58" s="13"/>
      <c r="R58" s="234"/>
      <c r="S58" s="13"/>
      <c r="T58" s="234"/>
      <c r="U58" s="13"/>
      <c r="V58" s="234"/>
      <c r="W58" s="13"/>
      <c r="X58" s="234"/>
      <c r="Y58" s="13"/>
      <c r="Z58" s="234"/>
      <c r="AA58" s="13"/>
      <c r="AB58" s="139"/>
      <c r="AC58" s="237">
        <f t="shared" si="7"/>
        <v>0</v>
      </c>
      <c r="AD58" s="195">
        <f t="shared" si="7"/>
        <v>0</v>
      </c>
      <c r="AE58" s="134"/>
    </row>
    <row r="59" spans="2:31" s="129" customFormat="1" ht="15" customHeight="1" x14ac:dyDescent="0.3">
      <c r="B59" s="135"/>
      <c r="C59" s="140"/>
      <c r="D59" s="234"/>
      <c r="E59" s="13"/>
      <c r="F59" s="234"/>
      <c r="G59" s="13"/>
      <c r="H59" s="234"/>
      <c r="I59" s="13"/>
      <c r="J59" s="234"/>
      <c r="K59" s="13"/>
      <c r="L59" s="234"/>
      <c r="M59" s="13"/>
      <c r="N59" s="234"/>
      <c r="O59" s="13"/>
      <c r="P59" s="234"/>
      <c r="Q59" s="13"/>
      <c r="R59" s="234"/>
      <c r="S59" s="13"/>
      <c r="T59" s="234"/>
      <c r="U59" s="13"/>
      <c r="V59" s="234"/>
      <c r="W59" s="13"/>
      <c r="X59" s="234"/>
      <c r="Y59" s="13"/>
      <c r="Z59" s="234"/>
      <c r="AA59" s="13"/>
      <c r="AB59" s="139"/>
      <c r="AC59" s="237">
        <f t="shared" si="7"/>
        <v>0</v>
      </c>
      <c r="AD59" s="195">
        <f t="shared" si="7"/>
        <v>0</v>
      </c>
      <c r="AE59" s="134"/>
    </row>
    <row r="60" spans="2:31" s="129" customFormat="1" ht="15" customHeight="1" x14ac:dyDescent="0.3">
      <c r="B60" s="135"/>
      <c r="C60" s="140"/>
      <c r="D60" s="234"/>
      <c r="E60" s="13"/>
      <c r="F60" s="234"/>
      <c r="G60" s="13"/>
      <c r="H60" s="234"/>
      <c r="I60" s="13"/>
      <c r="J60" s="234"/>
      <c r="K60" s="13"/>
      <c r="L60" s="234"/>
      <c r="M60" s="13"/>
      <c r="N60" s="234"/>
      <c r="O60" s="13"/>
      <c r="P60" s="234"/>
      <c r="Q60" s="13"/>
      <c r="R60" s="234"/>
      <c r="S60" s="13"/>
      <c r="T60" s="234"/>
      <c r="U60" s="13"/>
      <c r="V60" s="234"/>
      <c r="W60" s="13"/>
      <c r="X60" s="234"/>
      <c r="Y60" s="13"/>
      <c r="Z60" s="234"/>
      <c r="AA60" s="13"/>
      <c r="AB60" s="139"/>
      <c r="AC60" s="237">
        <f t="shared" ref="AC60:AC68" si="8">IFERROR(SUM(D60,F60,H60,J60,L60,N60,P60,R60,T60,V60,X60,Z60),0)</f>
        <v>0</v>
      </c>
      <c r="AD60" s="195">
        <f t="shared" ref="AD60:AD68" si="9">IFERROR(SUM(E60,G60,I60,K60,M60,O60,Q60,S60,U60,W60,Y60,AA60),0)</f>
        <v>0</v>
      </c>
      <c r="AE60" s="134"/>
    </row>
    <row r="61" spans="2:31" s="129" customFormat="1" ht="15" customHeight="1" x14ac:dyDescent="0.3">
      <c r="B61" s="135"/>
      <c r="C61" s="140"/>
      <c r="D61" s="234"/>
      <c r="E61" s="13"/>
      <c r="F61" s="234"/>
      <c r="G61" s="13"/>
      <c r="H61" s="234"/>
      <c r="I61" s="13"/>
      <c r="J61" s="234"/>
      <c r="K61" s="13"/>
      <c r="L61" s="234"/>
      <c r="M61" s="13"/>
      <c r="N61" s="234"/>
      <c r="O61" s="13"/>
      <c r="P61" s="234"/>
      <c r="Q61" s="13"/>
      <c r="R61" s="234"/>
      <c r="S61" s="13"/>
      <c r="T61" s="234"/>
      <c r="U61" s="13"/>
      <c r="V61" s="234"/>
      <c r="W61" s="13"/>
      <c r="X61" s="234"/>
      <c r="Y61" s="13"/>
      <c r="Z61" s="234"/>
      <c r="AA61" s="13"/>
      <c r="AB61" s="139"/>
      <c r="AC61" s="237">
        <f t="shared" si="8"/>
        <v>0</v>
      </c>
      <c r="AD61" s="195">
        <f t="shared" si="9"/>
        <v>0</v>
      </c>
      <c r="AE61" s="134"/>
    </row>
    <row r="62" spans="2:31" s="129" customFormat="1" ht="15" customHeight="1" x14ac:dyDescent="0.3">
      <c r="B62" s="135"/>
      <c r="C62" s="140"/>
      <c r="D62" s="234"/>
      <c r="E62" s="13"/>
      <c r="F62" s="234"/>
      <c r="G62" s="13"/>
      <c r="H62" s="234"/>
      <c r="I62" s="13"/>
      <c r="J62" s="234"/>
      <c r="K62" s="13"/>
      <c r="L62" s="234"/>
      <c r="M62" s="13"/>
      <c r="N62" s="234"/>
      <c r="O62" s="13"/>
      <c r="P62" s="234"/>
      <c r="Q62" s="13"/>
      <c r="R62" s="234"/>
      <c r="S62" s="13"/>
      <c r="T62" s="234"/>
      <c r="U62" s="13"/>
      <c r="V62" s="234"/>
      <c r="W62" s="13"/>
      <c r="X62" s="234"/>
      <c r="Y62" s="13"/>
      <c r="Z62" s="234"/>
      <c r="AA62" s="13"/>
      <c r="AB62" s="139"/>
      <c r="AC62" s="237">
        <f t="shared" si="8"/>
        <v>0</v>
      </c>
      <c r="AD62" s="195">
        <f t="shared" si="9"/>
        <v>0</v>
      </c>
      <c r="AE62" s="134"/>
    </row>
    <row r="63" spans="2:31" s="129" customFormat="1" ht="15" customHeight="1" x14ac:dyDescent="0.3">
      <c r="B63" s="135"/>
      <c r="C63" s="140"/>
      <c r="D63" s="234"/>
      <c r="E63" s="13"/>
      <c r="F63" s="234"/>
      <c r="G63" s="13"/>
      <c r="H63" s="234"/>
      <c r="I63" s="13"/>
      <c r="J63" s="234"/>
      <c r="K63" s="13"/>
      <c r="L63" s="234"/>
      <c r="M63" s="13"/>
      <c r="N63" s="234"/>
      <c r="O63" s="13"/>
      <c r="P63" s="234"/>
      <c r="Q63" s="13"/>
      <c r="R63" s="234"/>
      <c r="S63" s="13"/>
      <c r="T63" s="234"/>
      <c r="U63" s="13"/>
      <c r="V63" s="234"/>
      <c r="W63" s="13"/>
      <c r="X63" s="234"/>
      <c r="Y63" s="13"/>
      <c r="Z63" s="234"/>
      <c r="AA63" s="13"/>
      <c r="AB63" s="139"/>
      <c r="AC63" s="237">
        <f t="shared" si="8"/>
        <v>0</v>
      </c>
      <c r="AD63" s="195">
        <f t="shared" si="9"/>
        <v>0</v>
      </c>
      <c r="AE63" s="134"/>
    </row>
    <row r="64" spans="2:31" s="129" customFormat="1" ht="15" customHeight="1" x14ac:dyDescent="0.3">
      <c r="B64" s="135"/>
      <c r="C64" s="140"/>
      <c r="D64" s="234"/>
      <c r="E64" s="13"/>
      <c r="F64" s="234"/>
      <c r="G64" s="13"/>
      <c r="H64" s="234"/>
      <c r="I64" s="13"/>
      <c r="J64" s="234"/>
      <c r="K64" s="13"/>
      <c r="L64" s="234"/>
      <c r="M64" s="13"/>
      <c r="N64" s="234"/>
      <c r="O64" s="13"/>
      <c r="P64" s="234"/>
      <c r="Q64" s="13"/>
      <c r="R64" s="234"/>
      <c r="S64" s="13"/>
      <c r="T64" s="234"/>
      <c r="U64" s="13"/>
      <c r="V64" s="234"/>
      <c r="W64" s="13"/>
      <c r="X64" s="234"/>
      <c r="Y64" s="13"/>
      <c r="Z64" s="234"/>
      <c r="AA64" s="13"/>
      <c r="AB64" s="139"/>
      <c r="AC64" s="237">
        <f t="shared" si="8"/>
        <v>0</v>
      </c>
      <c r="AD64" s="195">
        <f t="shared" si="9"/>
        <v>0</v>
      </c>
      <c r="AE64" s="134"/>
    </row>
    <row r="65" spans="2:31" s="129" customFormat="1" ht="15" customHeight="1" x14ac:dyDescent="0.3">
      <c r="B65" s="135"/>
      <c r="C65" s="140"/>
      <c r="D65" s="234"/>
      <c r="E65" s="13"/>
      <c r="F65" s="234"/>
      <c r="G65" s="13"/>
      <c r="H65" s="234"/>
      <c r="I65" s="13"/>
      <c r="J65" s="234"/>
      <c r="K65" s="13"/>
      <c r="L65" s="234"/>
      <c r="M65" s="13"/>
      <c r="N65" s="234"/>
      <c r="O65" s="13"/>
      <c r="P65" s="234"/>
      <c r="Q65" s="13"/>
      <c r="R65" s="234"/>
      <c r="S65" s="13"/>
      <c r="T65" s="234"/>
      <c r="U65" s="13"/>
      <c r="V65" s="234"/>
      <c r="W65" s="13"/>
      <c r="X65" s="234"/>
      <c r="Y65" s="13"/>
      <c r="Z65" s="234"/>
      <c r="AA65" s="13"/>
      <c r="AB65" s="139"/>
      <c r="AC65" s="237">
        <f t="shared" si="8"/>
        <v>0</v>
      </c>
      <c r="AD65" s="195">
        <f t="shared" si="9"/>
        <v>0</v>
      </c>
      <c r="AE65" s="134"/>
    </row>
    <row r="66" spans="2:31" s="129" customFormat="1" ht="15" customHeight="1" x14ac:dyDescent="0.3">
      <c r="B66" s="135"/>
      <c r="C66" s="140"/>
      <c r="D66" s="234"/>
      <c r="E66" s="13"/>
      <c r="F66" s="234"/>
      <c r="G66" s="13"/>
      <c r="H66" s="234"/>
      <c r="I66" s="13"/>
      <c r="J66" s="234"/>
      <c r="K66" s="13"/>
      <c r="L66" s="234"/>
      <c r="M66" s="13"/>
      <c r="N66" s="234"/>
      <c r="O66" s="13"/>
      <c r="P66" s="234"/>
      <c r="Q66" s="13"/>
      <c r="R66" s="234"/>
      <c r="S66" s="13"/>
      <c r="T66" s="234"/>
      <c r="U66" s="13"/>
      <c r="V66" s="234"/>
      <c r="W66" s="13"/>
      <c r="X66" s="234"/>
      <c r="Y66" s="13"/>
      <c r="Z66" s="234"/>
      <c r="AA66" s="13"/>
      <c r="AB66" s="139"/>
      <c r="AC66" s="237">
        <f t="shared" si="8"/>
        <v>0</v>
      </c>
      <c r="AD66" s="195">
        <f t="shared" si="9"/>
        <v>0</v>
      </c>
      <c r="AE66" s="134"/>
    </row>
    <row r="67" spans="2:31" s="129" customFormat="1" ht="15" customHeight="1" x14ac:dyDescent="0.3">
      <c r="B67" s="135"/>
      <c r="C67" s="140"/>
      <c r="D67" s="234"/>
      <c r="E67" s="13"/>
      <c r="F67" s="234"/>
      <c r="G67" s="13"/>
      <c r="H67" s="234"/>
      <c r="I67" s="13"/>
      <c r="J67" s="234"/>
      <c r="K67" s="13"/>
      <c r="L67" s="234"/>
      <c r="M67" s="13"/>
      <c r="N67" s="234"/>
      <c r="O67" s="13"/>
      <c r="P67" s="234"/>
      <c r="Q67" s="13"/>
      <c r="R67" s="234"/>
      <c r="S67" s="13"/>
      <c r="T67" s="234"/>
      <c r="U67" s="13"/>
      <c r="V67" s="234"/>
      <c r="W67" s="13"/>
      <c r="X67" s="234"/>
      <c r="Y67" s="13"/>
      <c r="Z67" s="234"/>
      <c r="AA67" s="13"/>
      <c r="AB67" s="139"/>
      <c r="AC67" s="237">
        <f t="shared" si="8"/>
        <v>0</v>
      </c>
      <c r="AD67" s="195">
        <f t="shared" si="9"/>
        <v>0</v>
      </c>
      <c r="AE67" s="134"/>
    </row>
    <row r="68" spans="2:31" s="129" customFormat="1" ht="15" customHeight="1" x14ac:dyDescent="0.3">
      <c r="B68" s="135"/>
      <c r="C68" s="140"/>
      <c r="D68" s="234"/>
      <c r="E68" s="13"/>
      <c r="F68" s="234"/>
      <c r="G68" s="13"/>
      <c r="H68" s="234"/>
      <c r="I68" s="13"/>
      <c r="J68" s="234"/>
      <c r="K68" s="13"/>
      <c r="L68" s="234"/>
      <c r="M68" s="13"/>
      <c r="N68" s="234"/>
      <c r="O68" s="13"/>
      <c r="P68" s="234"/>
      <c r="Q68" s="13"/>
      <c r="R68" s="234"/>
      <c r="S68" s="13"/>
      <c r="T68" s="234"/>
      <c r="U68" s="13"/>
      <c r="V68" s="234"/>
      <c r="W68" s="13"/>
      <c r="X68" s="234"/>
      <c r="Y68" s="13"/>
      <c r="Z68" s="234"/>
      <c r="AA68" s="13"/>
      <c r="AB68" s="139"/>
      <c r="AC68" s="237">
        <f t="shared" si="8"/>
        <v>0</v>
      </c>
      <c r="AD68" s="195">
        <f t="shared" si="9"/>
        <v>0</v>
      </c>
      <c r="AE68" s="134"/>
    </row>
    <row r="69" spans="2:31" s="129" customFormat="1" ht="15" customHeight="1" x14ac:dyDescent="0.3">
      <c r="B69" s="135"/>
      <c r="C69" s="142"/>
      <c r="D69" s="235"/>
      <c r="E69" s="14"/>
      <c r="F69" s="235"/>
      <c r="G69" s="14"/>
      <c r="H69" s="235"/>
      <c r="I69" s="14"/>
      <c r="J69" s="235"/>
      <c r="K69" s="14"/>
      <c r="L69" s="235"/>
      <c r="M69" s="14"/>
      <c r="N69" s="235"/>
      <c r="O69" s="14"/>
      <c r="P69" s="235"/>
      <c r="Q69" s="14"/>
      <c r="R69" s="235"/>
      <c r="S69" s="14"/>
      <c r="T69" s="235"/>
      <c r="U69" s="14"/>
      <c r="V69" s="235"/>
      <c r="W69" s="14"/>
      <c r="X69" s="235"/>
      <c r="Y69" s="14"/>
      <c r="Z69" s="235"/>
      <c r="AA69" s="14"/>
      <c r="AB69" s="139"/>
      <c r="AC69" s="238">
        <f t="shared" ref="AC69:AD69" si="10">IFERROR(SUM(D69,F69,H69,J69,L69,N69,P69,R69,T69,V69,X69,Z69),0)</f>
        <v>0</v>
      </c>
      <c r="AD69" s="197">
        <f t="shared" si="10"/>
        <v>0</v>
      </c>
      <c r="AE69" s="134"/>
    </row>
    <row r="70" spans="2:31" s="129" customFormat="1" ht="15" customHeight="1" x14ac:dyDescent="0.3">
      <c r="B70" s="132"/>
      <c r="C70" s="136"/>
      <c r="AE70" s="134"/>
    </row>
    <row r="71" spans="2:31" s="2" customFormat="1" ht="15" customHeight="1" x14ac:dyDescent="0.3">
      <c r="B71" s="185"/>
      <c r="C71" s="358" t="s">
        <v>24</v>
      </c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  <c r="AB71" s="359"/>
      <c r="AC71" s="359"/>
      <c r="AD71" s="360"/>
      <c r="AE71" s="4"/>
    </row>
    <row r="72" spans="2:31" s="2" customFormat="1" ht="15" customHeight="1" x14ac:dyDescent="0.3">
      <c r="B72" s="185"/>
      <c r="C72" s="361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  <c r="AC72" s="362"/>
      <c r="AD72" s="363"/>
      <c r="AE72" s="4"/>
    </row>
    <row r="73" spans="2:31" s="2" customFormat="1" ht="15" customHeight="1" x14ac:dyDescent="0.3">
      <c r="B73" s="185"/>
      <c r="C73" s="364" t="s">
        <v>20</v>
      </c>
      <c r="D73" s="367" t="s">
        <v>5</v>
      </c>
      <c r="E73" s="368"/>
      <c r="F73" s="367" t="s">
        <v>6</v>
      </c>
      <c r="G73" s="368"/>
      <c r="H73" s="367" t="s">
        <v>7</v>
      </c>
      <c r="I73" s="368"/>
      <c r="J73" s="367" t="s">
        <v>8</v>
      </c>
      <c r="K73" s="368"/>
      <c r="L73" s="367" t="s">
        <v>9</v>
      </c>
      <c r="M73" s="368"/>
      <c r="N73" s="367" t="s">
        <v>10</v>
      </c>
      <c r="O73" s="368"/>
      <c r="P73" s="367" t="s">
        <v>11</v>
      </c>
      <c r="Q73" s="368"/>
      <c r="R73" s="367" t="s">
        <v>12</v>
      </c>
      <c r="S73" s="368"/>
      <c r="T73" s="367" t="s">
        <v>13</v>
      </c>
      <c r="U73" s="368"/>
      <c r="V73" s="367" t="s">
        <v>14</v>
      </c>
      <c r="W73" s="368"/>
      <c r="X73" s="367" t="s">
        <v>15</v>
      </c>
      <c r="Y73" s="368"/>
      <c r="Z73" s="367" t="s">
        <v>16</v>
      </c>
      <c r="AA73" s="368"/>
      <c r="AB73" s="186"/>
      <c r="AC73" s="367" t="s">
        <v>17</v>
      </c>
      <c r="AD73" s="368"/>
      <c r="AE73" s="4"/>
    </row>
    <row r="74" spans="2:31" s="2" customFormat="1" ht="15" customHeight="1" x14ac:dyDescent="0.3">
      <c r="B74" s="185"/>
      <c r="C74" s="365"/>
      <c r="D74" s="232" t="s">
        <v>18</v>
      </c>
      <c r="E74" s="233" t="s">
        <v>19</v>
      </c>
      <c r="F74" s="232" t="s">
        <v>18</v>
      </c>
      <c r="G74" s="233" t="s">
        <v>19</v>
      </c>
      <c r="H74" s="232" t="s">
        <v>18</v>
      </c>
      <c r="I74" s="233" t="s">
        <v>19</v>
      </c>
      <c r="J74" s="232" t="s">
        <v>18</v>
      </c>
      <c r="K74" s="233" t="s">
        <v>19</v>
      </c>
      <c r="L74" s="232" t="s">
        <v>18</v>
      </c>
      <c r="M74" s="233" t="s">
        <v>19</v>
      </c>
      <c r="N74" s="232" t="s">
        <v>18</v>
      </c>
      <c r="O74" s="233" t="s">
        <v>19</v>
      </c>
      <c r="P74" s="232" t="s">
        <v>18</v>
      </c>
      <c r="Q74" s="233" t="s">
        <v>19</v>
      </c>
      <c r="R74" s="232" t="s">
        <v>18</v>
      </c>
      <c r="S74" s="233" t="s">
        <v>19</v>
      </c>
      <c r="T74" s="232" t="s">
        <v>18</v>
      </c>
      <c r="U74" s="233" t="s">
        <v>19</v>
      </c>
      <c r="V74" s="232" t="s">
        <v>18</v>
      </c>
      <c r="W74" s="233" t="s">
        <v>19</v>
      </c>
      <c r="X74" s="232" t="s">
        <v>18</v>
      </c>
      <c r="Y74" s="233" t="s">
        <v>19</v>
      </c>
      <c r="Z74" s="232" t="s">
        <v>18</v>
      </c>
      <c r="AA74" s="233" t="s">
        <v>19</v>
      </c>
      <c r="AB74" s="187"/>
      <c r="AC74" s="232" t="s">
        <v>18</v>
      </c>
      <c r="AD74" s="233" t="s">
        <v>19</v>
      </c>
      <c r="AE74" s="4"/>
    </row>
    <row r="75" spans="2:31" s="2" customFormat="1" ht="15" customHeight="1" x14ac:dyDescent="0.3">
      <c r="B75" s="185"/>
      <c r="C75" s="366"/>
      <c r="D75" s="188">
        <f t="shared" ref="D75:AA75" si="11">IFERROR(SUM(D76:D85),0)</f>
        <v>0</v>
      </c>
      <c r="E75" s="189">
        <f t="shared" si="11"/>
        <v>0</v>
      </c>
      <c r="F75" s="188">
        <f t="shared" si="11"/>
        <v>0</v>
      </c>
      <c r="G75" s="189">
        <f t="shared" si="11"/>
        <v>0</v>
      </c>
      <c r="H75" s="188">
        <f t="shared" si="11"/>
        <v>0</v>
      </c>
      <c r="I75" s="189">
        <f t="shared" si="11"/>
        <v>0</v>
      </c>
      <c r="J75" s="188">
        <f t="shared" si="11"/>
        <v>0</v>
      </c>
      <c r="K75" s="189">
        <f t="shared" si="11"/>
        <v>0</v>
      </c>
      <c r="L75" s="188">
        <f t="shared" si="11"/>
        <v>0</v>
      </c>
      <c r="M75" s="189">
        <f t="shared" si="11"/>
        <v>0</v>
      </c>
      <c r="N75" s="188">
        <f t="shared" si="11"/>
        <v>0</v>
      </c>
      <c r="O75" s="189">
        <f t="shared" si="11"/>
        <v>0</v>
      </c>
      <c r="P75" s="188">
        <f t="shared" si="11"/>
        <v>0</v>
      </c>
      <c r="Q75" s="189">
        <f t="shared" si="11"/>
        <v>0</v>
      </c>
      <c r="R75" s="188">
        <f t="shared" si="11"/>
        <v>0</v>
      </c>
      <c r="S75" s="189">
        <f t="shared" si="11"/>
        <v>0</v>
      </c>
      <c r="T75" s="188">
        <f t="shared" si="11"/>
        <v>0</v>
      </c>
      <c r="U75" s="189">
        <f t="shared" si="11"/>
        <v>0</v>
      </c>
      <c r="V75" s="188">
        <f t="shared" si="11"/>
        <v>0</v>
      </c>
      <c r="W75" s="189">
        <f t="shared" si="11"/>
        <v>0</v>
      </c>
      <c r="X75" s="188">
        <f t="shared" si="11"/>
        <v>0</v>
      </c>
      <c r="Y75" s="189">
        <f t="shared" si="11"/>
        <v>0</v>
      </c>
      <c r="Z75" s="188">
        <f t="shared" si="11"/>
        <v>0</v>
      </c>
      <c r="AA75" s="189">
        <f t="shared" si="11"/>
        <v>0</v>
      </c>
      <c r="AB75" s="193"/>
      <c r="AC75" s="188">
        <f>IFERROR(SUM(AC76:AC85),0)</f>
        <v>0</v>
      </c>
      <c r="AD75" s="189">
        <f>IFERROR(SUM(AD76:AD85),0)</f>
        <v>0</v>
      </c>
      <c r="AE75" s="4"/>
    </row>
    <row r="76" spans="2:31" s="129" customFormat="1" ht="15" customHeight="1" x14ac:dyDescent="0.3">
      <c r="B76" s="135"/>
      <c r="C76" s="140"/>
      <c r="D76" s="234"/>
      <c r="E76" s="13"/>
      <c r="F76" s="234"/>
      <c r="G76" s="13"/>
      <c r="H76" s="234"/>
      <c r="I76" s="13"/>
      <c r="J76" s="234"/>
      <c r="K76" s="13"/>
      <c r="L76" s="234"/>
      <c r="M76" s="13"/>
      <c r="N76" s="234"/>
      <c r="O76" s="13"/>
      <c r="P76" s="234"/>
      <c r="Q76" s="13"/>
      <c r="R76" s="234"/>
      <c r="S76" s="13"/>
      <c r="T76" s="234"/>
      <c r="U76" s="13"/>
      <c r="V76" s="234"/>
      <c r="W76" s="13"/>
      <c r="X76" s="234"/>
      <c r="Y76" s="13"/>
      <c r="Z76" s="234"/>
      <c r="AA76" s="13"/>
      <c r="AB76" s="139"/>
      <c r="AC76" s="237">
        <f>IFERROR(SUM(D76,F76,H76,J76,L76,N76,P76,R76,T76,V76,X76,Z76),0)</f>
        <v>0</v>
      </c>
      <c r="AD76" s="195">
        <f>IFERROR(SUM(E76,G76,I76,K76,M76,O76,Q76,S76,U76,W76,Y76,AA76),0)</f>
        <v>0</v>
      </c>
      <c r="AE76" s="134"/>
    </row>
    <row r="77" spans="2:31" s="129" customFormat="1" ht="15" customHeight="1" x14ac:dyDescent="0.3">
      <c r="B77" s="135"/>
      <c r="C77" s="140"/>
      <c r="D77" s="234"/>
      <c r="E77" s="13"/>
      <c r="F77" s="234"/>
      <c r="G77" s="13"/>
      <c r="H77" s="234"/>
      <c r="I77" s="13"/>
      <c r="J77" s="234"/>
      <c r="K77" s="13"/>
      <c r="L77" s="234"/>
      <c r="M77" s="13"/>
      <c r="N77" s="234"/>
      <c r="O77" s="13"/>
      <c r="P77" s="234"/>
      <c r="Q77" s="13"/>
      <c r="R77" s="234"/>
      <c r="S77" s="13"/>
      <c r="T77" s="234"/>
      <c r="U77" s="13"/>
      <c r="V77" s="234"/>
      <c r="W77" s="13"/>
      <c r="X77" s="234"/>
      <c r="Y77" s="13"/>
      <c r="Z77" s="234"/>
      <c r="AA77" s="13"/>
      <c r="AB77" s="139"/>
      <c r="AC77" s="237">
        <f t="shared" ref="AC77:AD84" si="12">IFERROR(SUM(D77,F77,H77,J77,L77,N77,P77,R77,T77,V77,X77,Z77),0)</f>
        <v>0</v>
      </c>
      <c r="AD77" s="195">
        <f t="shared" si="12"/>
        <v>0</v>
      </c>
      <c r="AE77" s="134"/>
    </row>
    <row r="78" spans="2:31" s="129" customFormat="1" ht="15" customHeight="1" x14ac:dyDescent="0.3">
      <c r="B78" s="135"/>
      <c r="C78" s="140"/>
      <c r="D78" s="234"/>
      <c r="E78" s="13"/>
      <c r="F78" s="234"/>
      <c r="G78" s="13"/>
      <c r="H78" s="234"/>
      <c r="I78" s="13"/>
      <c r="J78" s="234"/>
      <c r="K78" s="13"/>
      <c r="L78" s="234"/>
      <c r="M78" s="13"/>
      <c r="N78" s="234"/>
      <c r="O78" s="13"/>
      <c r="P78" s="234"/>
      <c r="Q78" s="13"/>
      <c r="R78" s="234"/>
      <c r="S78" s="13"/>
      <c r="T78" s="234"/>
      <c r="U78" s="13"/>
      <c r="V78" s="234"/>
      <c r="W78" s="13"/>
      <c r="X78" s="234"/>
      <c r="Y78" s="13"/>
      <c r="Z78" s="234"/>
      <c r="AA78" s="13"/>
      <c r="AB78" s="139"/>
      <c r="AC78" s="237">
        <f t="shared" si="12"/>
        <v>0</v>
      </c>
      <c r="AD78" s="195">
        <f t="shared" si="12"/>
        <v>0</v>
      </c>
      <c r="AE78" s="134"/>
    </row>
    <row r="79" spans="2:31" s="129" customFormat="1" ht="15" customHeight="1" x14ac:dyDescent="0.3">
      <c r="B79" s="135"/>
      <c r="C79" s="140"/>
      <c r="D79" s="234"/>
      <c r="E79" s="13"/>
      <c r="F79" s="234"/>
      <c r="G79" s="13"/>
      <c r="H79" s="234"/>
      <c r="I79" s="13"/>
      <c r="J79" s="234"/>
      <c r="K79" s="13"/>
      <c r="L79" s="234"/>
      <c r="M79" s="13"/>
      <c r="N79" s="234"/>
      <c r="O79" s="13"/>
      <c r="P79" s="234"/>
      <c r="Q79" s="13"/>
      <c r="R79" s="234"/>
      <c r="S79" s="13"/>
      <c r="T79" s="234"/>
      <c r="U79" s="13"/>
      <c r="V79" s="234"/>
      <c r="W79" s="13"/>
      <c r="X79" s="234"/>
      <c r="Y79" s="13"/>
      <c r="Z79" s="234"/>
      <c r="AA79" s="13"/>
      <c r="AB79" s="139"/>
      <c r="AC79" s="237">
        <f t="shared" si="12"/>
        <v>0</v>
      </c>
      <c r="AD79" s="195">
        <f t="shared" si="12"/>
        <v>0</v>
      </c>
      <c r="AE79" s="134"/>
    </row>
    <row r="80" spans="2:31" s="129" customFormat="1" ht="15" customHeight="1" x14ac:dyDescent="0.3">
      <c r="B80" s="135"/>
      <c r="C80" s="140"/>
      <c r="D80" s="234"/>
      <c r="E80" s="13"/>
      <c r="F80" s="234"/>
      <c r="G80" s="13"/>
      <c r="H80" s="234"/>
      <c r="I80" s="13"/>
      <c r="J80" s="234"/>
      <c r="K80" s="13"/>
      <c r="L80" s="234"/>
      <c r="M80" s="13"/>
      <c r="N80" s="234"/>
      <c r="O80" s="13"/>
      <c r="P80" s="234"/>
      <c r="Q80" s="13"/>
      <c r="R80" s="234"/>
      <c r="S80" s="13"/>
      <c r="T80" s="234"/>
      <c r="U80" s="13"/>
      <c r="V80" s="234"/>
      <c r="W80" s="13"/>
      <c r="X80" s="234"/>
      <c r="Y80" s="13"/>
      <c r="Z80" s="234"/>
      <c r="AA80" s="13"/>
      <c r="AB80" s="139"/>
      <c r="AC80" s="237">
        <f t="shared" si="12"/>
        <v>0</v>
      </c>
      <c r="AD80" s="195">
        <f t="shared" si="12"/>
        <v>0</v>
      </c>
      <c r="AE80" s="134"/>
    </row>
    <row r="81" spans="2:31" s="129" customFormat="1" ht="15" customHeight="1" x14ac:dyDescent="0.3">
      <c r="B81" s="135"/>
      <c r="C81" s="140"/>
      <c r="D81" s="234"/>
      <c r="E81" s="13"/>
      <c r="F81" s="234"/>
      <c r="G81" s="13"/>
      <c r="H81" s="234"/>
      <c r="I81" s="13"/>
      <c r="J81" s="234"/>
      <c r="K81" s="13"/>
      <c r="L81" s="234"/>
      <c r="M81" s="13"/>
      <c r="N81" s="234"/>
      <c r="O81" s="13"/>
      <c r="P81" s="234"/>
      <c r="Q81" s="13"/>
      <c r="R81" s="234"/>
      <c r="S81" s="13"/>
      <c r="T81" s="234"/>
      <c r="U81" s="13"/>
      <c r="V81" s="234"/>
      <c r="W81" s="13"/>
      <c r="X81" s="234"/>
      <c r="Y81" s="13"/>
      <c r="Z81" s="234"/>
      <c r="AA81" s="13"/>
      <c r="AB81" s="139"/>
      <c r="AC81" s="237">
        <f t="shared" si="12"/>
        <v>0</v>
      </c>
      <c r="AD81" s="195">
        <f t="shared" si="12"/>
        <v>0</v>
      </c>
      <c r="AE81" s="134"/>
    </row>
    <row r="82" spans="2:31" s="129" customFormat="1" ht="15" customHeight="1" x14ac:dyDescent="0.3">
      <c r="B82" s="135"/>
      <c r="C82" s="140"/>
      <c r="D82" s="234"/>
      <c r="E82" s="13"/>
      <c r="F82" s="234"/>
      <c r="G82" s="13"/>
      <c r="H82" s="234"/>
      <c r="I82" s="13"/>
      <c r="J82" s="234"/>
      <c r="K82" s="13"/>
      <c r="L82" s="234"/>
      <c r="M82" s="13"/>
      <c r="N82" s="234"/>
      <c r="O82" s="13"/>
      <c r="P82" s="234"/>
      <c r="Q82" s="13"/>
      <c r="R82" s="234"/>
      <c r="S82" s="13"/>
      <c r="T82" s="234"/>
      <c r="U82" s="13"/>
      <c r="V82" s="234"/>
      <c r="W82" s="13"/>
      <c r="X82" s="234"/>
      <c r="Y82" s="13"/>
      <c r="Z82" s="234"/>
      <c r="AA82" s="13"/>
      <c r="AB82" s="139"/>
      <c r="AC82" s="237">
        <f t="shared" si="12"/>
        <v>0</v>
      </c>
      <c r="AD82" s="195">
        <f t="shared" si="12"/>
        <v>0</v>
      </c>
      <c r="AE82" s="134"/>
    </row>
    <row r="83" spans="2:31" s="129" customFormat="1" ht="15" customHeight="1" x14ac:dyDescent="0.3">
      <c r="B83" s="135"/>
      <c r="C83" s="140"/>
      <c r="D83" s="234"/>
      <c r="E83" s="13"/>
      <c r="F83" s="234"/>
      <c r="G83" s="13"/>
      <c r="H83" s="234"/>
      <c r="I83" s="13"/>
      <c r="J83" s="234"/>
      <c r="K83" s="13"/>
      <c r="L83" s="234"/>
      <c r="M83" s="13"/>
      <c r="N83" s="234"/>
      <c r="O83" s="13"/>
      <c r="P83" s="234"/>
      <c r="Q83" s="13"/>
      <c r="R83" s="234"/>
      <c r="S83" s="13"/>
      <c r="T83" s="234"/>
      <c r="U83" s="13"/>
      <c r="V83" s="234"/>
      <c r="W83" s="13"/>
      <c r="X83" s="234"/>
      <c r="Y83" s="13"/>
      <c r="Z83" s="234"/>
      <c r="AA83" s="13"/>
      <c r="AB83" s="139"/>
      <c r="AC83" s="237">
        <f t="shared" si="12"/>
        <v>0</v>
      </c>
      <c r="AD83" s="195">
        <f t="shared" si="12"/>
        <v>0</v>
      </c>
      <c r="AE83" s="134"/>
    </row>
    <row r="84" spans="2:31" s="129" customFormat="1" ht="15" customHeight="1" x14ac:dyDescent="0.3">
      <c r="B84" s="135"/>
      <c r="C84" s="140"/>
      <c r="D84" s="234"/>
      <c r="E84" s="13"/>
      <c r="F84" s="234"/>
      <c r="G84" s="13"/>
      <c r="H84" s="234"/>
      <c r="I84" s="13"/>
      <c r="J84" s="234"/>
      <c r="K84" s="13"/>
      <c r="L84" s="234"/>
      <c r="M84" s="13"/>
      <c r="N84" s="234"/>
      <c r="O84" s="13"/>
      <c r="P84" s="234"/>
      <c r="Q84" s="13"/>
      <c r="R84" s="234"/>
      <c r="S84" s="13"/>
      <c r="T84" s="234"/>
      <c r="U84" s="13"/>
      <c r="V84" s="234"/>
      <c r="W84" s="13"/>
      <c r="X84" s="234"/>
      <c r="Y84" s="13"/>
      <c r="Z84" s="234"/>
      <c r="AA84" s="13"/>
      <c r="AB84" s="139"/>
      <c r="AC84" s="237">
        <f t="shared" si="12"/>
        <v>0</v>
      </c>
      <c r="AD84" s="195">
        <f t="shared" si="12"/>
        <v>0</v>
      </c>
      <c r="AE84" s="134"/>
    </row>
    <row r="85" spans="2:31" s="129" customFormat="1" ht="15" customHeight="1" collapsed="1" x14ac:dyDescent="0.3">
      <c r="B85" s="135"/>
      <c r="C85" s="142"/>
      <c r="D85" s="235"/>
      <c r="E85" s="14"/>
      <c r="F85" s="235"/>
      <c r="G85" s="14"/>
      <c r="H85" s="235"/>
      <c r="I85" s="14"/>
      <c r="J85" s="235"/>
      <c r="K85" s="14"/>
      <c r="L85" s="235"/>
      <c r="M85" s="14"/>
      <c r="N85" s="235"/>
      <c r="O85" s="14"/>
      <c r="P85" s="235"/>
      <c r="Q85" s="14"/>
      <c r="R85" s="235"/>
      <c r="S85" s="14"/>
      <c r="T85" s="235"/>
      <c r="U85" s="14"/>
      <c r="V85" s="235"/>
      <c r="W85" s="14"/>
      <c r="X85" s="235"/>
      <c r="Y85" s="14"/>
      <c r="Z85" s="235"/>
      <c r="AA85" s="14"/>
      <c r="AB85" s="144"/>
      <c r="AC85" s="238">
        <f t="shared" ref="AC85:AD85" si="13">IFERROR(SUM(D85,F85,H85,J85,L85,N85,P85,R85,T85,V85,X85,Z85),0)</f>
        <v>0</v>
      </c>
      <c r="AD85" s="197">
        <f t="shared" si="13"/>
        <v>0</v>
      </c>
      <c r="AE85" s="134"/>
    </row>
    <row r="86" spans="2:31" s="129" customFormat="1" ht="15" customHeight="1" x14ac:dyDescent="0.3">
      <c r="B86" s="145"/>
      <c r="C86" s="146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47"/>
    </row>
    <row r="87" spans="2:31" s="129" customFormat="1" ht="15" customHeight="1" x14ac:dyDescent="0.3">
      <c r="B87" s="148"/>
      <c r="C87" s="133"/>
      <c r="AE87" s="134"/>
    </row>
    <row r="88" spans="2:31" s="129" customFormat="1" ht="15" customHeight="1" x14ac:dyDescent="0.3">
      <c r="B88" s="132"/>
      <c r="C88" s="371" t="s">
        <v>122</v>
      </c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  <c r="AA88" s="371"/>
      <c r="AB88" s="371"/>
      <c r="AC88" s="371"/>
      <c r="AD88" s="371"/>
      <c r="AE88" s="134"/>
    </row>
    <row r="89" spans="2:31" s="129" customFormat="1" ht="15" customHeight="1" x14ac:dyDescent="0.25">
      <c r="B89" s="145"/>
      <c r="C89" s="149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47"/>
    </row>
    <row r="90" spans="2:31" s="129" customFormat="1" ht="15" customHeight="1" x14ac:dyDescent="0.3">
      <c r="C90" s="133"/>
    </row>
    <row r="91" spans="2:31" s="129" customFormat="1" ht="15" customHeight="1" x14ac:dyDescent="0.3">
      <c r="C91" s="133"/>
    </row>
    <row r="92" spans="2:31" s="129" customFormat="1" ht="15" customHeight="1" x14ac:dyDescent="0.3">
      <c r="C92" s="133"/>
    </row>
    <row r="93" spans="2:31" s="129" customFormat="1" ht="15" customHeight="1" x14ac:dyDescent="0.3">
      <c r="C93" s="133"/>
    </row>
    <row r="94" spans="2:31" s="129" customFormat="1" ht="15" customHeight="1" x14ac:dyDescent="0.3"/>
    <row r="95" spans="2:31" s="129" customFormat="1" ht="15" customHeight="1" x14ac:dyDescent="0.3">
      <c r="C95" s="133"/>
    </row>
    <row r="96" spans="2:31" s="129" customFormat="1" ht="15" customHeight="1" x14ac:dyDescent="0.3">
      <c r="C96" s="133"/>
    </row>
    <row r="97" spans="3:3" s="129" customFormat="1" ht="15" customHeight="1" x14ac:dyDescent="0.3">
      <c r="C97" s="133"/>
    </row>
    <row r="98" spans="3:3" s="129" customFormat="1" ht="15" customHeight="1" x14ac:dyDescent="0.3">
      <c r="C98" s="133"/>
    </row>
    <row r="99" spans="3:3" s="129" customFormat="1" ht="15" customHeight="1" x14ac:dyDescent="0.3">
      <c r="C99" s="133"/>
    </row>
    <row r="100" spans="3:3" s="129" customFormat="1" ht="15" customHeight="1" x14ac:dyDescent="0.3">
      <c r="C100" s="133"/>
    </row>
    <row r="101" spans="3:3" s="129" customFormat="1" ht="15" customHeight="1" x14ac:dyDescent="0.3">
      <c r="C101" s="133"/>
    </row>
    <row r="102" spans="3:3" s="129" customFormat="1" ht="15" customHeight="1" x14ac:dyDescent="0.3">
      <c r="C102" s="133"/>
    </row>
    <row r="103" spans="3:3" s="129" customFormat="1" ht="15" customHeight="1" x14ac:dyDescent="0.3">
      <c r="C103" s="133"/>
    </row>
    <row r="104" spans="3:3" s="129" customFormat="1" ht="15" customHeight="1" x14ac:dyDescent="0.3">
      <c r="C104" s="133"/>
    </row>
    <row r="105" spans="3:3" s="129" customFormat="1" ht="15" customHeight="1" x14ac:dyDescent="0.3">
      <c r="C105" s="133"/>
    </row>
    <row r="106" spans="3:3" s="129" customFormat="1" ht="15" customHeight="1" x14ac:dyDescent="0.3">
      <c r="C106" s="133"/>
    </row>
    <row r="107" spans="3:3" s="129" customFormat="1" ht="15" customHeight="1" x14ac:dyDescent="0.3">
      <c r="C107" s="133"/>
    </row>
    <row r="108" spans="3:3" s="129" customFormat="1" ht="15" customHeight="1" x14ac:dyDescent="0.3">
      <c r="C108" s="133"/>
    </row>
    <row r="109" spans="3:3" s="129" customFormat="1" ht="15" customHeight="1" x14ac:dyDescent="0.3">
      <c r="C109" s="133"/>
    </row>
    <row r="110" spans="3:3" s="129" customFormat="1" ht="15" customHeight="1" x14ac:dyDescent="0.3">
      <c r="C110" s="133"/>
    </row>
    <row r="111" spans="3:3" s="129" customFormat="1" ht="15" customHeight="1" x14ac:dyDescent="0.3">
      <c r="C111" s="133"/>
    </row>
    <row r="112" spans="3:3" s="129" customFormat="1" ht="15" customHeight="1" x14ac:dyDescent="0.3">
      <c r="C112" s="133"/>
    </row>
    <row r="113" spans="3:3" s="129" customFormat="1" ht="15" customHeight="1" x14ac:dyDescent="0.3">
      <c r="C113" s="133"/>
    </row>
    <row r="114" spans="3:3" s="129" customFormat="1" ht="15" customHeight="1" x14ac:dyDescent="0.3">
      <c r="C114" s="133"/>
    </row>
    <row r="115" spans="3:3" s="129" customFormat="1" ht="15" customHeight="1" x14ac:dyDescent="0.3">
      <c r="C115" s="133"/>
    </row>
    <row r="116" spans="3:3" s="129" customFormat="1" ht="15" customHeight="1" x14ac:dyDescent="0.3">
      <c r="C116" s="133"/>
    </row>
    <row r="117" spans="3:3" s="129" customFormat="1" ht="15" customHeight="1" x14ac:dyDescent="0.3">
      <c r="C117" s="133"/>
    </row>
    <row r="118" spans="3:3" s="129" customFormat="1" ht="15" customHeight="1" x14ac:dyDescent="0.3">
      <c r="C118" s="133"/>
    </row>
    <row r="119" spans="3:3" s="129" customFormat="1" ht="15" customHeight="1" x14ac:dyDescent="0.3">
      <c r="C119" s="133"/>
    </row>
    <row r="120" spans="3:3" s="129" customFormat="1" ht="15" customHeight="1" x14ac:dyDescent="0.3">
      <c r="C120" s="133"/>
    </row>
    <row r="121" spans="3:3" s="129" customFormat="1" ht="15" customHeight="1" x14ac:dyDescent="0.3">
      <c r="C121" s="133"/>
    </row>
    <row r="122" spans="3:3" s="129" customFormat="1" ht="15" customHeight="1" x14ac:dyDescent="0.3">
      <c r="C122" s="133"/>
    </row>
    <row r="123" spans="3:3" s="129" customFormat="1" ht="15" customHeight="1" x14ac:dyDescent="0.3">
      <c r="C123" s="133"/>
    </row>
    <row r="124" spans="3:3" s="129" customFormat="1" ht="15" customHeight="1" x14ac:dyDescent="0.3">
      <c r="C124" s="133"/>
    </row>
    <row r="125" spans="3:3" s="129" customFormat="1" ht="15" customHeight="1" x14ac:dyDescent="0.3">
      <c r="C125" s="133"/>
    </row>
    <row r="126" spans="3:3" s="129" customFormat="1" ht="15" customHeight="1" x14ac:dyDescent="0.3">
      <c r="C126" s="133"/>
    </row>
    <row r="127" spans="3:3" s="129" customFormat="1" ht="15" customHeight="1" x14ac:dyDescent="0.3">
      <c r="C127" s="133"/>
    </row>
    <row r="128" spans="3:3" s="129" customFormat="1" ht="15" customHeight="1" x14ac:dyDescent="0.3">
      <c r="C128" s="133"/>
    </row>
    <row r="129" spans="3:3" s="129" customFormat="1" ht="15" customHeight="1" x14ac:dyDescent="0.3">
      <c r="C129" s="133"/>
    </row>
    <row r="130" spans="3:3" s="129" customFormat="1" ht="15" customHeight="1" x14ac:dyDescent="0.3">
      <c r="C130" s="133"/>
    </row>
    <row r="131" spans="3:3" s="129" customFormat="1" ht="15" customHeight="1" x14ac:dyDescent="0.3">
      <c r="C131" s="133"/>
    </row>
    <row r="132" spans="3:3" s="129" customFormat="1" ht="15" customHeight="1" x14ac:dyDescent="0.3">
      <c r="C132" s="133"/>
    </row>
    <row r="133" spans="3:3" s="129" customFormat="1" ht="15" customHeight="1" x14ac:dyDescent="0.3">
      <c r="C133" s="133"/>
    </row>
    <row r="134" spans="3:3" s="129" customFormat="1" ht="15" customHeight="1" x14ac:dyDescent="0.3">
      <c r="C134" s="133"/>
    </row>
    <row r="135" spans="3:3" s="129" customFormat="1" ht="15" customHeight="1" x14ac:dyDescent="0.3">
      <c r="C135" s="133"/>
    </row>
    <row r="136" spans="3:3" s="129" customFormat="1" ht="15" customHeight="1" x14ac:dyDescent="0.3">
      <c r="C136" s="133"/>
    </row>
    <row r="137" spans="3:3" s="129" customFormat="1" ht="15" customHeight="1" x14ac:dyDescent="0.3">
      <c r="C137" s="133"/>
    </row>
    <row r="138" spans="3:3" s="129" customFormat="1" ht="15" customHeight="1" x14ac:dyDescent="0.3">
      <c r="C138" s="133"/>
    </row>
    <row r="139" spans="3:3" s="129" customFormat="1" ht="15" customHeight="1" x14ac:dyDescent="0.3">
      <c r="C139" s="133"/>
    </row>
    <row r="140" spans="3:3" s="129" customFormat="1" ht="15" customHeight="1" x14ac:dyDescent="0.3">
      <c r="C140" s="133"/>
    </row>
  </sheetData>
  <sheetProtection formatCells="0" formatColumns="0" formatRows="0" sort="0" autoFilter="0" pivotTables="0"/>
  <mergeCells count="63">
    <mergeCell ref="C88:AD88"/>
    <mergeCell ref="B2:C9"/>
    <mergeCell ref="D2:Z9"/>
    <mergeCell ref="C12:AD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R20:S20"/>
    <mergeCell ref="C14:C15"/>
    <mergeCell ref="AC14:AD14"/>
    <mergeCell ref="P53:Q53"/>
    <mergeCell ref="R53:S53"/>
    <mergeCell ref="T53:U53"/>
    <mergeCell ref="Z14:AA14"/>
    <mergeCell ref="C18:AD19"/>
    <mergeCell ref="C20:C22"/>
    <mergeCell ref="D20:E20"/>
    <mergeCell ref="F20:G20"/>
    <mergeCell ref="H20:I20"/>
    <mergeCell ref="J20:K20"/>
    <mergeCell ref="L20:M20"/>
    <mergeCell ref="N20:O20"/>
    <mergeCell ref="AC20:AD20"/>
    <mergeCell ref="P20:Q20"/>
    <mergeCell ref="X20:Y20"/>
    <mergeCell ref="C51:AD52"/>
    <mergeCell ref="C53:C55"/>
    <mergeCell ref="D53:E53"/>
    <mergeCell ref="F53:G53"/>
    <mergeCell ref="H53:I53"/>
    <mergeCell ref="J53:K53"/>
    <mergeCell ref="L53:M53"/>
    <mergeCell ref="T20:U20"/>
    <mergeCell ref="N53:O53"/>
    <mergeCell ref="Z53:AA53"/>
    <mergeCell ref="Z20:AA20"/>
    <mergeCell ref="AC53:AD53"/>
    <mergeCell ref="V53:W53"/>
    <mergeCell ref="X53:Y53"/>
    <mergeCell ref="V20:W20"/>
    <mergeCell ref="C71:AD72"/>
    <mergeCell ref="C73:C75"/>
    <mergeCell ref="D73:E73"/>
    <mergeCell ref="F73:G73"/>
    <mergeCell ref="H73:I73"/>
    <mergeCell ref="AC73:AD73"/>
    <mergeCell ref="P73:Q73"/>
    <mergeCell ref="R73:S73"/>
    <mergeCell ref="T73:U73"/>
    <mergeCell ref="V73:W73"/>
    <mergeCell ref="X73:Y73"/>
    <mergeCell ref="Z73:AA73"/>
    <mergeCell ref="J73:K73"/>
    <mergeCell ref="L73:M73"/>
    <mergeCell ref="N73:O73"/>
  </mergeCells>
  <conditionalFormatting sqref="D16">
    <cfRule type="cellIs" dxfId="208" priority="162" operator="equal">
      <formula>0</formula>
    </cfRule>
  </conditionalFormatting>
  <conditionalFormatting sqref="D22">
    <cfRule type="cellIs" dxfId="207" priority="160" operator="equal">
      <formula>0</formula>
    </cfRule>
  </conditionalFormatting>
  <conditionalFormatting sqref="D54">
    <cfRule type="cellIs" dxfId="206" priority="123" operator="equal">
      <formula>0</formula>
    </cfRule>
  </conditionalFormatting>
  <conditionalFormatting sqref="D74">
    <cfRule type="cellIs" dxfId="205" priority="57" operator="equal">
      <formula>0</formula>
    </cfRule>
  </conditionalFormatting>
  <conditionalFormatting sqref="E16">
    <cfRule type="cellIs" dxfId="204" priority="161" operator="equal">
      <formula>0</formula>
    </cfRule>
  </conditionalFormatting>
  <conditionalFormatting sqref="E22">
    <cfRule type="cellIs" dxfId="203" priority="165" operator="equal">
      <formula>0</formula>
    </cfRule>
  </conditionalFormatting>
  <conditionalFormatting sqref="E23:E49 G23:G49 I23:I49 K23:K49 M23:M49 O23:O49 Q23:Q49 S23:S49 U23:U49 W23:W49 Y23:Y49 AA23:AA49 E56:E69 G56:G69 I56:I69 K56:K69 M56:M69 O56:O69 Q56:Q69 S56:S69 U56:U69 W56:W69 Y56:Y69 AA56:AA69 E76:E85 G76:G85 I76:I85 K76:K85 M76:M85 O76:O85 Q76:Q85 S76:S85 U76:U85 W76:W85 Y76:Y85 AA76:AA85">
    <cfRule type="cellIs" dxfId="202" priority="240" operator="equal">
      <formula>D23</formula>
    </cfRule>
    <cfRule type="cellIs" dxfId="201" priority="238" operator="greaterThan">
      <formula>D23</formula>
    </cfRule>
    <cfRule type="cellIs" dxfId="200" priority="239" operator="lessThan">
      <formula>D23</formula>
    </cfRule>
  </conditionalFormatting>
  <conditionalFormatting sqref="E54">
    <cfRule type="cellIs" dxfId="199" priority="126" operator="equal">
      <formula>0</formula>
    </cfRule>
  </conditionalFormatting>
  <conditionalFormatting sqref="E74">
    <cfRule type="cellIs" dxfId="198" priority="62" operator="equal">
      <formula>0</formula>
    </cfRule>
  </conditionalFormatting>
  <conditionalFormatting sqref="F16">
    <cfRule type="cellIs" dxfId="197" priority="159" operator="equal">
      <formula>0</formula>
    </cfRule>
  </conditionalFormatting>
  <conditionalFormatting sqref="F22 H22 J22 L22 N22 P22 R22 T22 V22 X22 Z22">
    <cfRule type="cellIs" dxfId="196" priority="133" operator="equal">
      <formula>0</formula>
    </cfRule>
  </conditionalFormatting>
  <conditionalFormatting sqref="F54">
    <cfRule type="cellIs" dxfId="195" priority="121" operator="equal">
      <formula>0</formula>
    </cfRule>
  </conditionalFormatting>
  <conditionalFormatting sqref="F74">
    <cfRule type="cellIs" dxfId="194" priority="61" operator="equal">
      <formula>0</formula>
    </cfRule>
  </conditionalFormatting>
  <conditionalFormatting sqref="G16">
    <cfRule type="cellIs" dxfId="193" priority="158" operator="equal">
      <formula>0</formula>
    </cfRule>
  </conditionalFormatting>
  <conditionalFormatting sqref="G22 I22 K22 M22 O22 Q22 S22 U22 W22 Y22 AA22">
    <cfRule type="cellIs" dxfId="192" priority="134" operator="equal">
      <formula>0</formula>
    </cfRule>
  </conditionalFormatting>
  <conditionalFormatting sqref="G54">
    <cfRule type="cellIs" dxfId="191" priority="122" operator="equal">
      <formula>0</formula>
    </cfRule>
  </conditionalFormatting>
  <conditionalFormatting sqref="G74">
    <cfRule type="cellIs" dxfId="190" priority="60" operator="equal">
      <formula>0</formula>
    </cfRule>
  </conditionalFormatting>
  <conditionalFormatting sqref="H16">
    <cfRule type="cellIs" dxfId="189" priority="157" operator="equal">
      <formula>0</formula>
    </cfRule>
  </conditionalFormatting>
  <conditionalFormatting sqref="H54">
    <cfRule type="cellIs" dxfId="188" priority="119" operator="equal">
      <formula>0</formula>
    </cfRule>
  </conditionalFormatting>
  <conditionalFormatting sqref="H74">
    <cfRule type="cellIs" dxfId="187" priority="56" operator="equal">
      <formula>0</formula>
    </cfRule>
  </conditionalFormatting>
  <conditionalFormatting sqref="I16">
    <cfRule type="cellIs" dxfId="186" priority="156" operator="equal">
      <formula>0</formula>
    </cfRule>
  </conditionalFormatting>
  <conditionalFormatting sqref="I54">
    <cfRule type="cellIs" dxfId="185" priority="120" operator="equal">
      <formula>0</formula>
    </cfRule>
  </conditionalFormatting>
  <conditionalFormatting sqref="I74">
    <cfRule type="cellIs" dxfId="184" priority="55" operator="equal">
      <formula>0</formula>
    </cfRule>
  </conditionalFormatting>
  <conditionalFormatting sqref="J16">
    <cfRule type="cellIs" dxfId="183" priority="155" operator="equal">
      <formula>0</formula>
    </cfRule>
  </conditionalFormatting>
  <conditionalFormatting sqref="J54">
    <cfRule type="cellIs" dxfId="182" priority="117" operator="equal">
      <formula>0</formula>
    </cfRule>
  </conditionalFormatting>
  <conditionalFormatting sqref="J74">
    <cfRule type="cellIs" dxfId="181" priority="54" operator="equal">
      <formula>0</formula>
    </cfRule>
  </conditionalFormatting>
  <conditionalFormatting sqref="K16">
    <cfRule type="cellIs" dxfId="180" priority="154" operator="equal">
      <formula>0</formula>
    </cfRule>
  </conditionalFormatting>
  <conditionalFormatting sqref="K54">
    <cfRule type="cellIs" dxfId="179" priority="118" operator="equal">
      <formula>0</formula>
    </cfRule>
  </conditionalFormatting>
  <conditionalFormatting sqref="K74">
    <cfRule type="cellIs" dxfId="178" priority="53" operator="equal">
      <formula>0</formula>
    </cfRule>
  </conditionalFormatting>
  <conditionalFormatting sqref="L16">
    <cfRule type="cellIs" dxfId="177" priority="153" operator="equal">
      <formula>0</formula>
    </cfRule>
  </conditionalFormatting>
  <conditionalFormatting sqref="L54">
    <cfRule type="cellIs" dxfId="176" priority="115" operator="equal">
      <formula>0</formula>
    </cfRule>
  </conditionalFormatting>
  <conditionalFormatting sqref="L74">
    <cfRule type="cellIs" dxfId="175" priority="52" operator="equal">
      <formula>0</formula>
    </cfRule>
  </conditionalFormatting>
  <conditionalFormatting sqref="M16">
    <cfRule type="cellIs" dxfId="174" priority="152" operator="equal">
      <formula>0</formula>
    </cfRule>
  </conditionalFormatting>
  <conditionalFormatting sqref="M54">
    <cfRule type="cellIs" dxfId="173" priority="116" operator="equal">
      <formula>0</formula>
    </cfRule>
  </conditionalFormatting>
  <conditionalFormatting sqref="M74">
    <cfRule type="cellIs" dxfId="172" priority="51" operator="equal">
      <formula>0</formula>
    </cfRule>
  </conditionalFormatting>
  <conditionalFormatting sqref="N16">
    <cfRule type="cellIs" dxfId="171" priority="151" operator="equal">
      <formula>0</formula>
    </cfRule>
  </conditionalFormatting>
  <conditionalFormatting sqref="N54">
    <cfRule type="cellIs" dxfId="170" priority="113" operator="equal">
      <formula>0</formula>
    </cfRule>
  </conditionalFormatting>
  <conditionalFormatting sqref="N74">
    <cfRule type="cellIs" dxfId="169" priority="50" operator="equal">
      <formula>0</formula>
    </cfRule>
  </conditionalFormatting>
  <conditionalFormatting sqref="O16">
    <cfRule type="cellIs" dxfId="168" priority="150" operator="equal">
      <formula>0</formula>
    </cfRule>
  </conditionalFormatting>
  <conditionalFormatting sqref="O54">
    <cfRule type="cellIs" dxfId="167" priority="114" operator="equal">
      <formula>0</formula>
    </cfRule>
  </conditionalFormatting>
  <conditionalFormatting sqref="O74">
    <cfRule type="cellIs" dxfId="166" priority="49" operator="equal">
      <formula>0</formula>
    </cfRule>
  </conditionalFormatting>
  <conditionalFormatting sqref="P16">
    <cfRule type="cellIs" dxfId="165" priority="149" operator="equal">
      <formula>0</formula>
    </cfRule>
  </conditionalFormatting>
  <conditionalFormatting sqref="P54">
    <cfRule type="cellIs" dxfId="164" priority="111" operator="equal">
      <formula>0</formula>
    </cfRule>
  </conditionalFormatting>
  <conditionalFormatting sqref="P74">
    <cfRule type="cellIs" dxfId="163" priority="48" operator="equal">
      <formula>0</formula>
    </cfRule>
  </conditionalFormatting>
  <conditionalFormatting sqref="Q16">
    <cfRule type="cellIs" dxfId="162" priority="148" operator="equal">
      <formula>0</formula>
    </cfRule>
  </conditionalFormatting>
  <conditionalFormatting sqref="Q54">
    <cfRule type="cellIs" dxfId="161" priority="112" operator="equal">
      <formula>0</formula>
    </cfRule>
  </conditionalFormatting>
  <conditionalFormatting sqref="Q74">
    <cfRule type="cellIs" dxfId="160" priority="47" operator="equal">
      <formula>0</formula>
    </cfRule>
  </conditionalFormatting>
  <conditionalFormatting sqref="R16">
    <cfRule type="cellIs" dxfId="159" priority="147" operator="equal">
      <formula>0</formula>
    </cfRule>
  </conditionalFormatting>
  <conditionalFormatting sqref="R54">
    <cfRule type="cellIs" dxfId="158" priority="109" operator="equal">
      <formula>0</formula>
    </cfRule>
  </conditionalFormatting>
  <conditionalFormatting sqref="R74">
    <cfRule type="cellIs" dxfId="157" priority="46" operator="equal">
      <formula>0</formula>
    </cfRule>
  </conditionalFormatting>
  <conditionalFormatting sqref="S16">
    <cfRule type="cellIs" dxfId="156" priority="146" operator="equal">
      <formula>0</formula>
    </cfRule>
  </conditionalFormatting>
  <conditionalFormatting sqref="S54">
    <cfRule type="cellIs" dxfId="155" priority="110" operator="equal">
      <formula>0</formula>
    </cfRule>
  </conditionalFormatting>
  <conditionalFormatting sqref="S74">
    <cfRule type="cellIs" dxfId="154" priority="45" operator="equal">
      <formula>0</formula>
    </cfRule>
  </conditionalFormatting>
  <conditionalFormatting sqref="T16">
    <cfRule type="cellIs" dxfId="153" priority="145" operator="equal">
      <formula>0</formula>
    </cfRule>
  </conditionalFormatting>
  <conditionalFormatting sqref="T54">
    <cfRule type="cellIs" dxfId="152" priority="107" operator="equal">
      <formula>0</formula>
    </cfRule>
  </conditionalFormatting>
  <conditionalFormatting sqref="T74">
    <cfRule type="cellIs" dxfId="151" priority="44" operator="equal">
      <formula>0</formula>
    </cfRule>
  </conditionalFormatting>
  <conditionalFormatting sqref="U16">
    <cfRule type="cellIs" dxfId="150" priority="144" operator="equal">
      <formula>0</formula>
    </cfRule>
  </conditionalFormatting>
  <conditionalFormatting sqref="U54">
    <cfRule type="cellIs" dxfId="149" priority="108" operator="equal">
      <formula>0</formula>
    </cfRule>
  </conditionalFormatting>
  <conditionalFormatting sqref="U74">
    <cfRule type="cellIs" dxfId="148" priority="43" operator="equal">
      <formula>0</formula>
    </cfRule>
  </conditionalFormatting>
  <conditionalFormatting sqref="V16">
    <cfRule type="cellIs" dxfId="147" priority="143" operator="equal">
      <formula>0</formula>
    </cfRule>
  </conditionalFormatting>
  <conditionalFormatting sqref="V54">
    <cfRule type="cellIs" dxfId="146" priority="105" operator="equal">
      <formula>0</formula>
    </cfRule>
  </conditionalFormatting>
  <conditionalFormatting sqref="V74">
    <cfRule type="cellIs" dxfId="145" priority="42" operator="equal">
      <formula>0</formula>
    </cfRule>
  </conditionalFormatting>
  <conditionalFormatting sqref="W16">
    <cfRule type="cellIs" dxfId="144" priority="142" operator="equal">
      <formula>0</formula>
    </cfRule>
  </conditionalFormatting>
  <conditionalFormatting sqref="W54">
    <cfRule type="cellIs" dxfId="143" priority="106" operator="equal">
      <formula>0</formula>
    </cfRule>
  </conditionalFormatting>
  <conditionalFormatting sqref="W74">
    <cfRule type="cellIs" dxfId="142" priority="41" operator="equal">
      <formula>0</formula>
    </cfRule>
  </conditionalFormatting>
  <conditionalFormatting sqref="X16">
    <cfRule type="cellIs" dxfId="141" priority="141" operator="equal">
      <formula>0</formula>
    </cfRule>
  </conditionalFormatting>
  <conditionalFormatting sqref="X54">
    <cfRule type="cellIs" dxfId="140" priority="103" operator="equal">
      <formula>0</formula>
    </cfRule>
  </conditionalFormatting>
  <conditionalFormatting sqref="X74">
    <cfRule type="cellIs" dxfId="139" priority="40" operator="equal">
      <formula>0</formula>
    </cfRule>
  </conditionalFormatting>
  <conditionalFormatting sqref="Y16">
    <cfRule type="cellIs" dxfId="138" priority="140" operator="equal">
      <formula>0</formula>
    </cfRule>
  </conditionalFormatting>
  <conditionalFormatting sqref="Y54">
    <cfRule type="cellIs" dxfId="137" priority="104" operator="equal">
      <formula>0</formula>
    </cfRule>
  </conditionalFormatting>
  <conditionalFormatting sqref="Y74">
    <cfRule type="cellIs" dxfId="136" priority="39" operator="equal">
      <formula>0</formula>
    </cfRule>
  </conditionalFormatting>
  <conditionalFormatting sqref="Z16">
    <cfRule type="cellIs" dxfId="135" priority="139" operator="equal">
      <formula>0</formula>
    </cfRule>
  </conditionalFormatting>
  <conditionalFormatting sqref="Z54">
    <cfRule type="cellIs" dxfId="134" priority="101" operator="equal">
      <formula>0</formula>
    </cfRule>
  </conditionalFormatting>
  <conditionalFormatting sqref="Z74">
    <cfRule type="cellIs" dxfId="133" priority="38" operator="equal">
      <formula>0</formula>
    </cfRule>
  </conditionalFormatting>
  <conditionalFormatting sqref="AA16">
    <cfRule type="cellIs" dxfId="132" priority="138" operator="equal">
      <formula>0</formula>
    </cfRule>
  </conditionalFormatting>
  <conditionalFormatting sqref="AA54">
    <cfRule type="cellIs" dxfId="131" priority="102" operator="equal">
      <formula>0</formula>
    </cfRule>
  </conditionalFormatting>
  <conditionalFormatting sqref="AA74">
    <cfRule type="cellIs" dxfId="130" priority="37" operator="equal">
      <formula>0</formula>
    </cfRule>
  </conditionalFormatting>
  <conditionalFormatting sqref="AC16">
    <cfRule type="cellIs" dxfId="129" priority="130" operator="equal">
      <formula>0</formula>
    </cfRule>
  </conditionalFormatting>
  <conditionalFormatting sqref="AC22:AC49">
    <cfRule type="cellIs" dxfId="128" priority="131" operator="equal">
      <formula>0</formula>
    </cfRule>
  </conditionalFormatting>
  <conditionalFormatting sqref="AC54:AC69">
    <cfRule type="cellIs" dxfId="127" priority="125" operator="equal">
      <formula>0</formula>
    </cfRule>
  </conditionalFormatting>
  <conditionalFormatting sqref="AC74:AC85">
    <cfRule type="cellIs" dxfId="126" priority="59" operator="equal">
      <formula>0</formula>
    </cfRule>
  </conditionalFormatting>
  <conditionalFormatting sqref="AD16">
    <cfRule type="cellIs" dxfId="125" priority="129" operator="equal">
      <formula>0</formula>
    </cfRule>
  </conditionalFormatting>
  <conditionalFormatting sqref="AD22:AD49">
    <cfRule type="cellIs" dxfId="124" priority="132" operator="equal">
      <formula>0</formula>
    </cfRule>
  </conditionalFormatting>
  <conditionalFormatting sqref="AD54:AD69">
    <cfRule type="cellIs" dxfId="123" priority="124" operator="equal">
      <formula>0</formula>
    </cfRule>
  </conditionalFormatting>
  <conditionalFormatting sqref="AD74:AD85">
    <cfRule type="cellIs" dxfId="122" priority="58" operator="equal">
      <formula>0</formula>
    </cfRule>
  </conditionalFormatting>
  <hyperlinks>
    <hyperlink ref="C88" r:id="rId1" display="This work is licensed under a Creative Commons Attribution-NonCommercial 4.0 International License." xr:uid="{87F98D42-ABDF-423C-A1A6-C634DDCB8F5C}"/>
  </hyperlinks>
  <printOptions horizontalCentered="1" verticalCentered="1"/>
  <pageMargins left="0" right="0" top="0" bottom="0" header="0" footer="0"/>
  <pageSetup paperSize="9" scale="17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A67C6C8-5B14-474B-BF8B-5C8DCAB896CB}">
          <x14:formula1>
            <xm:f>'CADASTRO DE ITENS'!$D$16:$D$79</xm:f>
          </x14:formula1>
          <xm:sqref>C23:C49</xm:sqref>
        </x14:dataValidation>
        <x14:dataValidation type="list" allowBlank="1" showInputMessage="1" showErrorMessage="1" xr:uid="{01F4F693-AE18-4FD3-8FA7-36EBC9780FC8}">
          <x14:formula1>
            <xm:f>'CADASTRO DE ITENS'!$G$16:$G$79</xm:f>
          </x14:formula1>
          <xm:sqref>C56:C69</xm:sqref>
        </x14:dataValidation>
        <x14:dataValidation type="list" allowBlank="1" showInputMessage="1" showErrorMessage="1" xr:uid="{9AD7024E-3343-4743-ACAB-9F80D418E663}">
          <x14:formula1>
            <xm:f>'CADASTRO DE ITENS'!$K$16:$K$79</xm:f>
          </x14:formula1>
          <xm:sqref>C76:C85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4F7F-0179-4C7E-B17F-D452311AC786}">
  <sheetPr>
    <tabColor theme="5" tint="0.39997558519241921"/>
    <outlinePr summaryBelow="0"/>
    <pageSetUpPr fitToPage="1"/>
  </sheetPr>
  <dimension ref="B1:AJ210"/>
  <sheetViews>
    <sheetView showGridLines="0" tabSelected="1" topLeftCell="U138" zoomScale="160" zoomScaleNormal="160" zoomScaleSheetLayoutView="115" zoomScalePageLayoutView="55" workbookViewId="0">
      <selection activeCell="AE145" sqref="AE145"/>
    </sheetView>
  </sheetViews>
  <sheetFormatPr defaultColWidth="8.6640625" defaultRowHeight="15" customHeight="1" x14ac:dyDescent="0.25"/>
  <cols>
    <col min="1" max="1" width="1.44140625" style="130" customWidth="1"/>
    <col min="2" max="2" width="2.109375" style="129" customWidth="1"/>
    <col min="3" max="3" width="37.6640625" style="150" bestFit="1" customWidth="1"/>
    <col min="4" max="4" width="23" style="150" customWidth="1"/>
    <col min="5" max="27" width="12" style="130" customWidth="1"/>
    <col min="28" max="28" width="13.109375" style="130" customWidth="1"/>
    <col min="29" max="29" width="3.33203125" style="130" customWidth="1"/>
    <col min="30" max="31" width="13.109375" style="130" customWidth="1"/>
    <col min="32" max="33" width="3.33203125" style="129" customWidth="1"/>
    <col min="34" max="16384" width="8.6640625" style="130"/>
  </cols>
  <sheetData>
    <row r="1" spans="2:33" s="3" customFormat="1" ht="15" customHeight="1" x14ac:dyDescent="0.25">
      <c r="B1" s="2"/>
      <c r="C1" s="170"/>
      <c r="D1" s="170"/>
      <c r="AF1" s="2"/>
      <c r="AG1" s="2"/>
    </row>
    <row r="2" spans="2:33" s="3" customFormat="1" ht="7.5" customHeight="1" x14ac:dyDescent="0.25">
      <c r="B2" s="372"/>
      <c r="C2" s="373"/>
      <c r="D2" s="295" t="s">
        <v>174</v>
      </c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7"/>
      <c r="AB2" s="172" t="s">
        <v>1</v>
      </c>
      <c r="AC2" s="173"/>
      <c r="AD2" s="173"/>
      <c r="AE2" s="1"/>
      <c r="AF2" s="171"/>
      <c r="AG2" s="2"/>
    </row>
    <row r="3" spans="2:33" s="3" customFormat="1" ht="15" customHeight="1" x14ac:dyDescent="0.25">
      <c r="B3" s="374"/>
      <c r="C3" s="375"/>
      <c r="D3" s="298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300"/>
      <c r="AB3" s="175" t="s">
        <v>173</v>
      </c>
      <c r="AC3" s="176"/>
      <c r="AD3" s="176"/>
      <c r="AE3" s="5"/>
      <c r="AF3" s="177"/>
      <c r="AG3" s="2"/>
    </row>
    <row r="4" spans="2:33" s="3" customFormat="1" ht="7.5" customHeight="1" x14ac:dyDescent="0.25">
      <c r="B4" s="374"/>
      <c r="C4" s="375"/>
      <c r="D4" s="298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300"/>
      <c r="AB4" s="172" t="s">
        <v>2</v>
      </c>
      <c r="AC4" s="173"/>
      <c r="AD4" s="173"/>
      <c r="AE4" s="1"/>
      <c r="AF4" s="178"/>
      <c r="AG4" s="2"/>
    </row>
    <row r="5" spans="2:33" s="3" customFormat="1" ht="15" customHeight="1" x14ac:dyDescent="0.25">
      <c r="B5" s="374"/>
      <c r="C5" s="375"/>
      <c r="D5" s="298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300"/>
      <c r="AB5" s="179" t="s">
        <v>0</v>
      </c>
      <c r="AC5" s="176"/>
      <c r="AD5" s="176"/>
      <c r="AE5" s="5"/>
      <c r="AF5" s="177"/>
      <c r="AG5" s="2"/>
    </row>
    <row r="6" spans="2:33" s="3" customFormat="1" ht="7.5" customHeight="1" x14ac:dyDescent="0.25">
      <c r="B6" s="374"/>
      <c r="C6" s="375"/>
      <c r="D6" s="298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300"/>
      <c r="AB6" s="172" t="s">
        <v>3</v>
      </c>
      <c r="AC6" s="173"/>
      <c r="AD6" s="173"/>
      <c r="AE6" s="1"/>
      <c r="AF6" s="178"/>
      <c r="AG6" s="2"/>
    </row>
    <row r="7" spans="2:33" s="3" customFormat="1" ht="15" customHeight="1" x14ac:dyDescent="0.25">
      <c r="B7" s="374"/>
      <c r="C7" s="375"/>
      <c r="D7" s="298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300"/>
      <c r="AB7" s="180">
        <v>45763</v>
      </c>
      <c r="AC7" s="176"/>
      <c r="AD7" s="176"/>
      <c r="AE7" s="5"/>
      <c r="AF7" s="177"/>
      <c r="AG7" s="2"/>
    </row>
    <row r="8" spans="2:33" s="3" customFormat="1" ht="7.5" customHeight="1" x14ac:dyDescent="0.25">
      <c r="B8" s="374"/>
      <c r="C8" s="375"/>
      <c r="D8" s="298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300"/>
      <c r="AB8" s="172" t="s">
        <v>4</v>
      </c>
      <c r="AC8" s="173"/>
      <c r="AD8" s="173"/>
      <c r="AE8" s="1"/>
      <c r="AF8" s="178"/>
      <c r="AG8" s="2"/>
    </row>
    <row r="9" spans="2:33" s="3" customFormat="1" ht="15" customHeight="1" x14ac:dyDescent="0.25">
      <c r="B9" s="376"/>
      <c r="C9" s="377"/>
      <c r="D9" s="301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3"/>
      <c r="AB9" s="179" t="s">
        <v>185</v>
      </c>
      <c r="AC9" s="176"/>
      <c r="AD9" s="176"/>
      <c r="AE9" s="5"/>
      <c r="AF9" s="177"/>
      <c r="AG9" s="2"/>
    </row>
    <row r="10" spans="2:33" s="3" customFormat="1" ht="15" customHeight="1" x14ac:dyDescent="0.25">
      <c r="B10" s="7"/>
      <c r="C10" s="7"/>
      <c r="D10" s="7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2"/>
      <c r="AC10" s="183"/>
      <c r="AD10" s="183"/>
      <c r="AE10" s="8"/>
      <c r="AF10" s="184"/>
      <c r="AG10" s="2"/>
    </row>
    <row r="11" spans="2:33" s="2" customFormat="1" ht="15" customHeight="1" x14ac:dyDescent="0.3">
      <c r="B11" s="174"/>
      <c r="C11" s="9"/>
      <c r="D11" s="9"/>
      <c r="AF11" s="4"/>
    </row>
    <row r="12" spans="2:33" s="2" customFormat="1" ht="15" customHeight="1" x14ac:dyDescent="0.3">
      <c r="B12" s="185"/>
      <c r="C12" s="378" t="s">
        <v>25</v>
      </c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80"/>
      <c r="AF12" s="4"/>
    </row>
    <row r="13" spans="2:33" s="2" customFormat="1" ht="15" customHeight="1" x14ac:dyDescent="0.3">
      <c r="B13" s="185"/>
      <c r="C13" s="381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2"/>
      <c r="AD13" s="382"/>
      <c r="AE13" s="383"/>
      <c r="AF13" s="4"/>
    </row>
    <row r="14" spans="2:33" s="2" customFormat="1" ht="15" customHeight="1" x14ac:dyDescent="0.3">
      <c r="B14" s="185"/>
      <c r="C14" s="384"/>
      <c r="D14" s="385"/>
      <c r="E14" s="367" t="s">
        <v>5</v>
      </c>
      <c r="F14" s="368"/>
      <c r="G14" s="367" t="s">
        <v>6</v>
      </c>
      <c r="H14" s="368"/>
      <c r="I14" s="367" t="s">
        <v>7</v>
      </c>
      <c r="J14" s="368"/>
      <c r="K14" s="367" t="s">
        <v>8</v>
      </c>
      <c r="L14" s="368"/>
      <c r="M14" s="367" t="s">
        <v>9</v>
      </c>
      <c r="N14" s="368"/>
      <c r="O14" s="367" t="s">
        <v>10</v>
      </c>
      <c r="P14" s="368"/>
      <c r="Q14" s="367" t="s">
        <v>11</v>
      </c>
      <c r="R14" s="368"/>
      <c r="S14" s="367" t="s">
        <v>12</v>
      </c>
      <c r="T14" s="368"/>
      <c r="U14" s="367" t="s">
        <v>13</v>
      </c>
      <c r="V14" s="368"/>
      <c r="W14" s="367" t="s">
        <v>14</v>
      </c>
      <c r="X14" s="368"/>
      <c r="Y14" s="367" t="s">
        <v>15</v>
      </c>
      <c r="Z14" s="368"/>
      <c r="AA14" s="367" t="s">
        <v>16</v>
      </c>
      <c r="AB14" s="368"/>
      <c r="AC14" s="186"/>
      <c r="AD14" s="367" t="s">
        <v>17</v>
      </c>
      <c r="AE14" s="368"/>
      <c r="AF14" s="4"/>
    </row>
    <row r="15" spans="2:33" s="2" customFormat="1" ht="15" customHeight="1" x14ac:dyDescent="0.3">
      <c r="B15" s="185"/>
      <c r="C15" s="384"/>
      <c r="D15" s="385"/>
      <c r="E15" s="232" t="s">
        <v>18</v>
      </c>
      <c r="F15" s="233" t="s">
        <v>19</v>
      </c>
      <c r="G15" s="232" t="s">
        <v>18</v>
      </c>
      <c r="H15" s="233" t="s">
        <v>19</v>
      </c>
      <c r="I15" s="232" t="s">
        <v>18</v>
      </c>
      <c r="J15" s="233" t="s">
        <v>19</v>
      </c>
      <c r="K15" s="232" t="s">
        <v>18</v>
      </c>
      <c r="L15" s="233" t="s">
        <v>19</v>
      </c>
      <c r="M15" s="232" t="s">
        <v>18</v>
      </c>
      <c r="N15" s="233" t="s">
        <v>19</v>
      </c>
      <c r="O15" s="232" t="s">
        <v>18</v>
      </c>
      <c r="P15" s="233" t="s">
        <v>19</v>
      </c>
      <c r="Q15" s="232" t="s">
        <v>18</v>
      </c>
      <c r="R15" s="233" t="s">
        <v>19</v>
      </c>
      <c r="S15" s="232" t="s">
        <v>18</v>
      </c>
      <c r="T15" s="233" t="s">
        <v>19</v>
      </c>
      <c r="U15" s="232" t="s">
        <v>18</v>
      </c>
      <c r="V15" s="233" t="s">
        <v>19</v>
      </c>
      <c r="W15" s="232" t="s">
        <v>18</v>
      </c>
      <c r="X15" s="233" t="s">
        <v>19</v>
      </c>
      <c r="Y15" s="232" t="s">
        <v>18</v>
      </c>
      <c r="Z15" s="233" t="s">
        <v>19</v>
      </c>
      <c r="AA15" s="232" t="s">
        <v>18</v>
      </c>
      <c r="AB15" s="233" t="s">
        <v>19</v>
      </c>
      <c r="AC15" s="187"/>
      <c r="AD15" s="232" t="s">
        <v>18</v>
      </c>
      <c r="AE15" s="233" t="s">
        <v>19</v>
      </c>
      <c r="AF15" s="4"/>
    </row>
    <row r="16" spans="2:33" s="2" customFormat="1" ht="15" customHeight="1" x14ac:dyDescent="0.3">
      <c r="B16" s="185"/>
      <c r="C16" s="386" t="s">
        <v>88</v>
      </c>
      <c r="D16" s="387"/>
      <c r="E16" s="188">
        <f t="shared" ref="E16:AB16" si="0">IFERROR(SUM(E22,E88,E145,E114),0)</f>
        <v>0</v>
      </c>
      <c r="F16" s="189">
        <f t="shared" si="0"/>
        <v>0</v>
      </c>
      <c r="G16" s="188">
        <f t="shared" si="0"/>
        <v>0</v>
      </c>
      <c r="H16" s="189">
        <f t="shared" si="0"/>
        <v>0</v>
      </c>
      <c r="I16" s="188">
        <f t="shared" si="0"/>
        <v>0</v>
      </c>
      <c r="J16" s="189">
        <f t="shared" si="0"/>
        <v>0</v>
      </c>
      <c r="K16" s="188">
        <f t="shared" si="0"/>
        <v>0</v>
      </c>
      <c r="L16" s="189">
        <f t="shared" si="0"/>
        <v>0</v>
      </c>
      <c r="M16" s="188">
        <f t="shared" si="0"/>
        <v>0</v>
      </c>
      <c r="N16" s="189">
        <f t="shared" si="0"/>
        <v>0</v>
      </c>
      <c r="O16" s="188">
        <f t="shared" si="0"/>
        <v>0</v>
      </c>
      <c r="P16" s="189">
        <f t="shared" si="0"/>
        <v>0</v>
      </c>
      <c r="Q16" s="188">
        <f t="shared" si="0"/>
        <v>0</v>
      </c>
      <c r="R16" s="189">
        <f t="shared" si="0"/>
        <v>0</v>
      </c>
      <c r="S16" s="188">
        <f t="shared" si="0"/>
        <v>0</v>
      </c>
      <c r="T16" s="189">
        <f t="shared" si="0"/>
        <v>0</v>
      </c>
      <c r="U16" s="188">
        <f t="shared" si="0"/>
        <v>0</v>
      </c>
      <c r="V16" s="189">
        <f t="shared" si="0"/>
        <v>0</v>
      </c>
      <c r="W16" s="188">
        <f t="shared" si="0"/>
        <v>0</v>
      </c>
      <c r="X16" s="189">
        <f t="shared" si="0"/>
        <v>0</v>
      </c>
      <c r="Y16" s="188">
        <f t="shared" si="0"/>
        <v>0</v>
      </c>
      <c r="Z16" s="189">
        <f t="shared" si="0"/>
        <v>0</v>
      </c>
      <c r="AA16" s="188">
        <f t="shared" si="0"/>
        <v>0</v>
      </c>
      <c r="AB16" s="189">
        <f t="shared" si="0"/>
        <v>0</v>
      </c>
      <c r="AC16" s="190"/>
      <c r="AD16" s="188">
        <f>IFERROR(SUM(E16,G16,I16,K16,M16,O16,Q16,S16,U16,W16,Y16,AA16),0)</f>
        <v>0</v>
      </c>
      <c r="AE16" s="189">
        <f>IFERROR(SUM(F16,H16,J16,L16,N16,P16,R16,T16,V16,X16,Z16,AB16),0)</f>
        <v>0</v>
      </c>
      <c r="AF16" s="4"/>
    </row>
    <row r="17" spans="2:32" s="2" customFormat="1" ht="7.5" customHeight="1" x14ac:dyDescent="0.3">
      <c r="B17" s="174"/>
      <c r="C17" s="10"/>
      <c r="D17" s="15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"/>
    </row>
    <row r="18" spans="2:32" s="2" customFormat="1" ht="15" customHeight="1" x14ac:dyDescent="0.3">
      <c r="B18" s="185"/>
      <c r="C18" s="359" t="s">
        <v>99</v>
      </c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59"/>
      <c r="AC18" s="359"/>
      <c r="AD18" s="359"/>
      <c r="AE18" s="360"/>
      <c r="AF18" s="4"/>
    </row>
    <row r="19" spans="2:32" s="2" customFormat="1" ht="15" customHeight="1" x14ac:dyDescent="0.3">
      <c r="B19" s="185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/>
      <c r="AE19" s="363"/>
      <c r="AF19" s="4"/>
    </row>
    <row r="20" spans="2:32" s="2" customFormat="1" ht="15" customHeight="1" x14ac:dyDescent="0.3">
      <c r="B20" s="185"/>
      <c r="C20" s="388" t="s">
        <v>128</v>
      </c>
      <c r="D20" s="389" t="s">
        <v>20</v>
      </c>
      <c r="E20" s="367" t="s">
        <v>5</v>
      </c>
      <c r="F20" s="368"/>
      <c r="G20" s="367" t="s">
        <v>6</v>
      </c>
      <c r="H20" s="368"/>
      <c r="I20" s="367" t="s">
        <v>7</v>
      </c>
      <c r="J20" s="368"/>
      <c r="K20" s="367" t="s">
        <v>8</v>
      </c>
      <c r="L20" s="368"/>
      <c r="M20" s="367" t="s">
        <v>9</v>
      </c>
      <c r="N20" s="368"/>
      <c r="O20" s="367" t="s">
        <v>10</v>
      </c>
      <c r="P20" s="368"/>
      <c r="Q20" s="367" t="s">
        <v>11</v>
      </c>
      <c r="R20" s="368"/>
      <c r="S20" s="367" t="s">
        <v>12</v>
      </c>
      <c r="T20" s="368"/>
      <c r="U20" s="367" t="s">
        <v>13</v>
      </c>
      <c r="V20" s="368"/>
      <c r="W20" s="367" t="s">
        <v>14</v>
      </c>
      <c r="X20" s="368"/>
      <c r="Y20" s="367" t="s">
        <v>15</v>
      </c>
      <c r="Z20" s="368"/>
      <c r="AA20" s="367" t="s">
        <v>16</v>
      </c>
      <c r="AB20" s="368"/>
      <c r="AC20" s="186"/>
      <c r="AD20" s="367" t="s">
        <v>17</v>
      </c>
      <c r="AE20" s="368"/>
      <c r="AF20" s="4"/>
    </row>
    <row r="21" spans="2:32" s="2" customFormat="1" ht="15" customHeight="1" x14ac:dyDescent="0.3">
      <c r="B21" s="185"/>
      <c r="C21" s="388"/>
      <c r="D21" s="389"/>
      <c r="E21" s="232" t="s">
        <v>18</v>
      </c>
      <c r="F21" s="233" t="s">
        <v>19</v>
      </c>
      <c r="G21" s="232" t="s">
        <v>18</v>
      </c>
      <c r="H21" s="233" t="s">
        <v>19</v>
      </c>
      <c r="I21" s="232" t="s">
        <v>18</v>
      </c>
      <c r="J21" s="233" t="s">
        <v>19</v>
      </c>
      <c r="K21" s="232" t="s">
        <v>18</v>
      </c>
      <c r="L21" s="233" t="s">
        <v>19</v>
      </c>
      <c r="M21" s="232" t="s">
        <v>18</v>
      </c>
      <c r="N21" s="233" t="s">
        <v>19</v>
      </c>
      <c r="O21" s="232" t="s">
        <v>18</v>
      </c>
      <c r="P21" s="233" t="s">
        <v>19</v>
      </c>
      <c r="Q21" s="232" t="s">
        <v>18</v>
      </c>
      <c r="R21" s="233" t="s">
        <v>19</v>
      </c>
      <c r="S21" s="232" t="s">
        <v>18</v>
      </c>
      <c r="T21" s="233" t="s">
        <v>19</v>
      </c>
      <c r="U21" s="232" t="s">
        <v>18</v>
      </c>
      <c r="V21" s="233" t="s">
        <v>19</v>
      </c>
      <c r="W21" s="232" t="s">
        <v>18</v>
      </c>
      <c r="X21" s="233" t="s">
        <v>19</v>
      </c>
      <c r="Y21" s="232" t="s">
        <v>18</v>
      </c>
      <c r="Z21" s="233" t="s">
        <v>19</v>
      </c>
      <c r="AA21" s="232" t="s">
        <v>18</v>
      </c>
      <c r="AB21" s="233" t="s">
        <v>19</v>
      </c>
      <c r="AC21" s="187"/>
      <c r="AD21" s="232" t="s">
        <v>18</v>
      </c>
      <c r="AE21" s="233" t="s">
        <v>19</v>
      </c>
      <c r="AF21" s="4"/>
    </row>
    <row r="22" spans="2:32" s="2" customFormat="1" ht="15" customHeight="1" x14ac:dyDescent="0.3">
      <c r="B22" s="185"/>
      <c r="C22" s="388"/>
      <c r="D22" s="389"/>
      <c r="E22" s="188">
        <f t="shared" ref="E22:AB22" si="1">IFERROR(SUM(E23:E82),0)</f>
        <v>0</v>
      </c>
      <c r="F22" s="189">
        <f t="shared" si="1"/>
        <v>0</v>
      </c>
      <c r="G22" s="188">
        <f t="shared" si="1"/>
        <v>0</v>
      </c>
      <c r="H22" s="189">
        <f t="shared" si="1"/>
        <v>0</v>
      </c>
      <c r="I22" s="188">
        <f t="shared" si="1"/>
        <v>0</v>
      </c>
      <c r="J22" s="189">
        <f t="shared" si="1"/>
        <v>0</v>
      </c>
      <c r="K22" s="188">
        <f t="shared" si="1"/>
        <v>0</v>
      </c>
      <c r="L22" s="189">
        <f t="shared" si="1"/>
        <v>0</v>
      </c>
      <c r="M22" s="188">
        <f t="shared" si="1"/>
        <v>0</v>
      </c>
      <c r="N22" s="189">
        <f t="shared" si="1"/>
        <v>0</v>
      </c>
      <c r="O22" s="188">
        <f t="shared" si="1"/>
        <v>0</v>
      </c>
      <c r="P22" s="189">
        <f t="shared" si="1"/>
        <v>0</v>
      </c>
      <c r="Q22" s="188">
        <f t="shared" si="1"/>
        <v>0</v>
      </c>
      <c r="R22" s="189">
        <f t="shared" si="1"/>
        <v>0</v>
      </c>
      <c r="S22" s="188">
        <f t="shared" si="1"/>
        <v>0</v>
      </c>
      <c r="T22" s="189">
        <f t="shared" si="1"/>
        <v>0</v>
      </c>
      <c r="U22" s="188">
        <f t="shared" si="1"/>
        <v>0</v>
      </c>
      <c r="V22" s="189">
        <f t="shared" si="1"/>
        <v>0</v>
      </c>
      <c r="W22" s="188">
        <f t="shared" si="1"/>
        <v>0</v>
      </c>
      <c r="X22" s="189">
        <f t="shared" si="1"/>
        <v>0</v>
      </c>
      <c r="Y22" s="188">
        <f t="shared" si="1"/>
        <v>0</v>
      </c>
      <c r="Z22" s="189">
        <f t="shared" si="1"/>
        <v>0</v>
      </c>
      <c r="AA22" s="188">
        <f t="shared" si="1"/>
        <v>0</v>
      </c>
      <c r="AB22" s="189">
        <f t="shared" si="1"/>
        <v>0</v>
      </c>
      <c r="AC22" s="192"/>
      <c r="AD22" s="188">
        <f>IFERROR(SUM(AD23:AD82),0)</f>
        <v>0</v>
      </c>
      <c r="AE22" s="189">
        <f>IFERROR(SUM(AE23:AE82),0)</f>
        <v>0</v>
      </c>
      <c r="AF22" s="4"/>
    </row>
    <row r="23" spans="2:32" ht="15" customHeight="1" x14ac:dyDescent="0.25">
      <c r="B23" s="135"/>
      <c r="C23" s="151"/>
      <c r="D23" s="152"/>
      <c r="E23" s="240"/>
      <c r="F23" s="12"/>
      <c r="G23" s="240"/>
      <c r="H23" s="12"/>
      <c r="I23" s="240"/>
      <c r="J23" s="12"/>
      <c r="K23" s="240"/>
      <c r="L23" s="12"/>
      <c r="M23" s="240"/>
      <c r="N23" s="12"/>
      <c r="O23" s="240"/>
      <c r="P23" s="12"/>
      <c r="Q23" s="240"/>
      <c r="R23" s="12"/>
      <c r="S23" s="240"/>
      <c r="T23" s="12"/>
      <c r="U23" s="240"/>
      <c r="V23" s="12"/>
      <c r="W23" s="240"/>
      <c r="X23" s="12"/>
      <c r="Y23" s="240"/>
      <c r="Z23" s="12"/>
      <c r="AA23" s="240"/>
      <c r="AB23" s="12"/>
      <c r="AC23" s="139"/>
      <c r="AD23" s="236">
        <f t="shared" ref="AD23:AE23" si="2">IFERROR(SUM(E23,G23,I23,K23,M23,O23,Q23,S23,U23,W23,Y23,AA23),0)</f>
        <v>0</v>
      </c>
      <c r="AE23" s="196">
        <f t="shared" si="2"/>
        <v>0</v>
      </c>
      <c r="AF23" s="134"/>
    </row>
    <row r="24" spans="2:32" ht="15" customHeight="1" x14ac:dyDescent="0.25">
      <c r="B24" s="135"/>
      <c r="C24" s="151"/>
      <c r="D24" s="152"/>
      <c r="E24" s="234"/>
      <c r="F24" s="13"/>
      <c r="G24" s="234"/>
      <c r="H24" s="13"/>
      <c r="I24" s="234"/>
      <c r="J24" s="13"/>
      <c r="K24" s="234"/>
      <c r="L24" s="13"/>
      <c r="M24" s="234"/>
      <c r="N24" s="13"/>
      <c r="O24" s="234"/>
      <c r="P24" s="13"/>
      <c r="Q24" s="234"/>
      <c r="R24" s="13"/>
      <c r="S24" s="234"/>
      <c r="T24" s="13"/>
      <c r="U24" s="234"/>
      <c r="V24" s="13"/>
      <c r="W24" s="234"/>
      <c r="X24" s="13"/>
      <c r="Y24" s="234"/>
      <c r="Z24" s="13"/>
      <c r="AA24" s="234"/>
      <c r="AB24" s="13"/>
      <c r="AC24" s="139"/>
      <c r="AD24" s="236">
        <f t="shared" ref="AD24:AD47" si="3">IFERROR(SUM(E24,G24,I24,K24,M24,O24,Q24,S24,U24,W24,Y24,AA24),0)</f>
        <v>0</v>
      </c>
      <c r="AE24" s="196">
        <f t="shared" ref="AE24:AE47" si="4">IFERROR(SUM(F24,H24,J24,L24,N24,P24,R24,T24,V24,X24,Z24,AB24),0)</f>
        <v>0</v>
      </c>
      <c r="AF24" s="134"/>
    </row>
    <row r="25" spans="2:32" ht="15" customHeight="1" x14ac:dyDescent="0.25">
      <c r="B25" s="135"/>
      <c r="C25" s="151"/>
      <c r="D25" s="152"/>
      <c r="E25" s="234"/>
      <c r="F25" s="13"/>
      <c r="G25" s="234"/>
      <c r="H25" s="13"/>
      <c r="I25" s="234"/>
      <c r="J25" s="13"/>
      <c r="K25" s="234"/>
      <c r="L25" s="13"/>
      <c r="M25" s="234"/>
      <c r="N25" s="13"/>
      <c r="O25" s="234"/>
      <c r="P25" s="13"/>
      <c r="Q25" s="234"/>
      <c r="R25" s="13"/>
      <c r="S25" s="234"/>
      <c r="T25" s="13"/>
      <c r="U25" s="234"/>
      <c r="V25" s="13"/>
      <c r="W25" s="234"/>
      <c r="X25" s="13"/>
      <c r="Y25" s="234"/>
      <c r="Z25" s="13"/>
      <c r="AA25" s="234"/>
      <c r="AB25" s="13"/>
      <c r="AC25" s="139"/>
      <c r="AD25" s="236">
        <f t="shared" si="3"/>
        <v>0</v>
      </c>
      <c r="AE25" s="196">
        <f t="shared" si="4"/>
        <v>0</v>
      </c>
      <c r="AF25" s="134"/>
    </row>
    <row r="26" spans="2:32" ht="15" customHeight="1" x14ac:dyDescent="0.25">
      <c r="B26" s="135"/>
      <c r="C26" s="151"/>
      <c r="D26" s="152"/>
      <c r="E26" s="234"/>
      <c r="F26" s="13"/>
      <c r="G26" s="234"/>
      <c r="H26" s="13"/>
      <c r="I26" s="234"/>
      <c r="J26" s="13"/>
      <c r="K26" s="234"/>
      <c r="L26" s="13"/>
      <c r="M26" s="234"/>
      <c r="N26" s="13"/>
      <c r="O26" s="234"/>
      <c r="P26" s="13"/>
      <c r="Q26" s="234"/>
      <c r="R26" s="13"/>
      <c r="S26" s="234"/>
      <c r="T26" s="13"/>
      <c r="U26" s="234"/>
      <c r="V26" s="13"/>
      <c r="W26" s="234"/>
      <c r="X26" s="13"/>
      <c r="Y26" s="234"/>
      <c r="Z26" s="13"/>
      <c r="AA26" s="234"/>
      <c r="AB26" s="13"/>
      <c r="AC26" s="139"/>
      <c r="AD26" s="237">
        <f t="shared" si="3"/>
        <v>0</v>
      </c>
      <c r="AE26" s="195">
        <f t="shared" si="4"/>
        <v>0</v>
      </c>
      <c r="AF26" s="134"/>
    </row>
    <row r="27" spans="2:32" ht="15" customHeight="1" x14ac:dyDescent="0.25">
      <c r="B27" s="135"/>
      <c r="C27" s="151"/>
      <c r="D27" s="152"/>
      <c r="E27" s="234"/>
      <c r="F27" s="13"/>
      <c r="G27" s="234"/>
      <c r="H27" s="13"/>
      <c r="I27" s="234"/>
      <c r="J27" s="13"/>
      <c r="K27" s="234"/>
      <c r="L27" s="13"/>
      <c r="M27" s="234"/>
      <c r="N27" s="13"/>
      <c r="O27" s="234"/>
      <c r="P27" s="13"/>
      <c r="Q27" s="234"/>
      <c r="R27" s="13"/>
      <c r="S27" s="234"/>
      <c r="T27" s="13"/>
      <c r="U27" s="234"/>
      <c r="V27" s="13"/>
      <c r="W27" s="234"/>
      <c r="X27" s="13"/>
      <c r="Y27" s="234"/>
      <c r="Z27" s="13"/>
      <c r="AA27" s="234"/>
      <c r="AB27" s="13"/>
      <c r="AC27" s="139"/>
      <c r="AD27" s="237">
        <f t="shared" si="3"/>
        <v>0</v>
      </c>
      <c r="AE27" s="195">
        <f t="shared" si="4"/>
        <v>0</v>
      </c>
      <c r="AF27" s="134"/>
    </row>
    <row r="28" spans="2:32" ht="15" customHeight="1" x14ac:dyDescent="0.25">
      <c r="B28" s="135"/>
      <c r="C28" s="151"/>
      <c r="D28" s="152"/>
      <c r="E28" s="234"/>
      <c r="F28" s="13"/>
      <c r="G28" s="234"/>
      <c r="H28" s="13"/>
      <c r="I28" s="234"/>
      <c r="J28" s="13"/>
      <c r="K28" s="234"/>
      <c r="L28" s="13"/>
      <c r="M28" s="234"/>
      <c r="N28" s="13"/>
      <c r="O28" s="234"/>
      <c r="P28" s="13"/>
      <c r="Q28" s="234"/>
      <c r="R28" s="13"/>
      <c r="S28" s="234"/>
      <c r="T28" s="13"/>
      <c r="U28" s="234"/>
      <c r="V28" s="13"/>
      <c r="W28" s="234"/>
      <c r="X28" s="13"/>
      <c r="Y28" s="234"/>
      <c r="Z28" s="13"/>
      <c r="AA28" s="234"/>
      <c r="AB28" s="13"/>
      <c r="AC28" s="139"/>
      <c r="AD28" s="237">
        <f t="shared" si="3"/>
        <v>0</v>
      </c>
      <c r="AE28" s="195">
        <f t="shared" si="4"/>
        <v>0</v>
      </c>
      <c r="AF28" s="134"/>
    </row>
    <row r="29" spans="2:32" ht="15" customHeight="1" x14ac:dyDescent="0.25">
      <c r="B29" s="135"/>
      <c r="C29" s="151"/>
      <c r="D29" s="152"/>
      <c r="E29" s="234"/>
      <c r="F29" s="13"/>
      <c r="G29" s="234"/>
      <c r="H29" s="13"/>
      <c r="I29" s="234"/>
      <c r="J29" s="13"/>
      <c r="K29" s="234"/>
      <c r="L29" s="13"/>
      <c r="M29" s="234"/>
      <c r="N29" s="13"/>
      <c r="O29" s="234"/>
      <c r="P29" s="13"/>
      <c r="Q29" s="234"/>
      <c r="R29" s="13"/>
      <c r="S29" s="234"/>
      <c r="T29" s="13"/>
      <c r="U29" s="234"/>
      <c r="V29" s="13"/>
      <c r="W29" s="234"/>
      <c r="X29" s="13"/>
      <c r="Y29" s="234"/>
      <c r="Z29" s="13"/>
      <c r="AA29" s="234"/>
      <c r="AB29" s="13"/>
      <c r="AC29" s="139"/>
      <c r="AD29" s="237">
        <f t="shared" si="3"/>
        <v>0</v>
      </c>
      <c r="AE29" s="195">
        <f t="shared" si="4"/>
        <v>0</v>
      </c>
      <c r="AF29" s="134"/>
    </row>
    <row r="30" spans="2:32" ht="15" customHeight="1" x14ac:dyDescent="0.25">
      <c r="B30" s="135"/>
      <c r="C30" s="151"/>
      <c r="D30" s="152"/>
      <c r="E30" s="234"/>
      <c r="F30" s="13"/>
      <c r="G30" s="234"/>
      <c r="H30" s="13"/>
      <c r="I30" s="234"/>
      <c r="J30" s="13"/>
      <c r="K30" s="234"/>
      <c r="L30" s="13"/>
      <c r="M30" s="234"/>
      <c r="N30" s="13"/>
      <c r="O30" s="234"/>
      <c r="P30" s="13"/>
      <c r="Q30" s="234"/>
      <c r="R30" s="13"/>
      <c r="S30" s="234"/>
      <c r="T30" s="13"/>
      <c r="U30" s="234"/>
      <c r="V30" s="13"/>
      <c r="W30" s="234"/>
      <c r="X30" s="13"/>
      <c r="Y30" s="234"/>
      <c r="Z30" s="13"/>
      <c r="AA30" s="234"/>
      <c r="AB30" s="13"/>
      <c r="AC30" s="139"/>
      <c r="AD30" s="237">
        <f t="shared" si="3"/>
        <v>0</v>
      </c>
      <c r="AE30" s="195">
        <f t="shared" si="4"/>
        <v>0</v>
      </c>
      <c r="AF30" s="134"/>
    </row>
    <row r="31" spans="2:32" ht="15" customHeight="1" x14ac:dyDescent="0.25">
      <c r="B31" s="135"/>
      <c r="C31" s="151"/>
      <c r="D31" s="152"/>
      <c r="E31" s="234"/>
      <c r="F31" s="13"/>
      <c r="G31" s="234"/>
      <c r="H31" s="13"/>
      <c r="I31" s="234"/>
      <c r="J31" s="13"/>
      <c r="K31" s="234"/>
      <c r="L31" s="13"/>
      <c r="M31" s="234"/>
      <c r="N31" s="13"/>
      <c r="O31" s="234"/>
      <c r="P31" s="13"/>
      <c r="Q31" s="234"/>
      <c r="R31" s="13"/>
      <c r="S31" s="234"/>
      <c r="T31" s="13"/>
      <c r="U31" s="234"/>
      <c r="V31" s="13"/>
      <c r="W31" s="234"/>
      <c r="X31" s="13"/>
      <c r="Y31" s="234"/>
      <c r="Z31" s="13"/>
      <c r="AA31" s="234"/>
      <c r="AB31" s="13"/>
      <c r="AC31" s="139"/>
      <c r="AD31" s="237">
        <f t="shared" si="3"/>
        <v>0</v>
      </c>
      <c r="AE31" s="195">
        <f t="shared" si="4"/>
        <v>0</v>
      </c>
      <c r="AF31" s="134"/>
    </row>
    <row r="32" spans="2:32" ht="15" customHeight="1" x14ac:dyDescent="0.25">
      <c r="B32" s="135"/>
      <c r="C32" s="151"/>
      <c r="D32" s="152"/>
      <c r="E32" s="234"/>
      <c r="F32" s="13"/>
      <c r="G32" s="234"/>
      <c r="H32" s="13"/>
      <c r="I32" s="234"/>
      <c r="J32" s="13"/>
      <c r="K32" s="234"/>
      <c r="L32" s="13"/>
      <c r="M32" s="234"/>
      <c r="N32" s="13"/>
      <c r="O32" s="234"/>
      <c r="P32" s="13"/>
      <c r="Q32" s="234"/>
      <c r="R32" s="13"/>
      <c r="S32" s="234"/>
      <c r="T32" s="13"/>
      <c r="U32" s="234"/>
      <c r="V32" s="13"/>
      <c r="W32" s="234"/>
      <c r="X32" s="13"/>
      <c r="Y32" s="234"/>
      <c r="Z32" s="13"/>
      <c r="AA32" s="234"/>
      <c r="AB32" s="13"/>
      <c r="AC32" s="139"/>
      <c r="AD32" s="237">
        <f t="shared" ref="AD32:AD33" si="5">IFERROR(SUM(E32,G32,I32,K32,M32,O32,Q32,S32,U32,W32,Y32,AA32),0)</f>
        <v>0</v>
      </c>
      <c r="AE32" s="195">
        <f t="shared" ref="AE32:AE33" si="6">IFERROR(SUM(F32,H32,J32,L32,N32,P32,R32,T32,V32,X32,Z32,AB32),0)</f>
        <v>0</v>
      </c>
      <c r="AF32" s="134"/>
    </row>
    <row r="33" spans="2:32" ht="15" customHeight="1" x14ac:dyDescent="0.25">
      <c r="B33" s="135"/>
      <c r="C33" s="151"/>
      <c r="D33" s="152"/>
      <c r="E33" s="234"/>
      <c r="F33" s="13"/>
      <c r="G33" s="234"/>
      <c r="H33" s="13"/>
      <c r="I33" s="234"/>
      <c r="J33" s="13"/>
      <c r="K33" s="234"/>
      <c r="L33" s="13"/>
      <c r="M33" s="234"/>
      <c r="N33" s="13"/>
      <c r="O33" s="234"/>
      <c r="P33" s="13"/>
      <c r="Q33" s="234"/>
      <c r="R33" s="13"/>
      <c r="S33" s="234"/>
      <c r="T33" s="13"/>
      <c r="U33" s="234"/>
      <c r="V33" s="13"/>
      <c r="W33" s="234"/>
      <c r="X33" s="13"/>
      <c r="Y33" s="234"/>
      <c r="Z33" s="13"/>
      <c r="AA33" s="234"/>
      <c r="AB33" s="13"/>
      <c r="AC33" s="139"/>
      <c r="AD33" s="237">
        <f t="shared" si="5"/>
        <v>0</v>
      </c>
      <c r="AE33" s="195">
        <f t="shared" si="6"/>
        <v>0</v>
      </c>
      <c r="AF33" s="134"/>
    </row>
    <row r="34" spans="2:32" ht="15" customHeight="1" x14ac:dyDescent="0.25">
      <c r="B34" s="135"/>
      <c r="C34" s="151"/>
      <c r="D34" s="152"/>
      <c r="E34" s="234"/>
      <c r="F34" s="13"/>
      <c r="G34" s="234"/>
      <c r="H34" s="13"/>
      <c r="I34" s="234"/>
      <c r="J34" s="13"/>
      <c r="K34" s="234"/>
      <c r="L34" s="13"/>
      <c r="M34" s="234"/>
      <c r="N34" s="13"/>
      <c r="O34" s="234"/>
      <c r="P34" s="13"/>
      <c r="Q34" s="234"/>
      <c r="R34" s="13"/>
      <c r="S34" s="234"/>
      <c r="T34" s="13"/>
      <c r="U34" s="234"/>
      <c r="V34" s="13"/>
      <c r="W34" s="234"/>
      <c r="X34" s="13"/>
      <c r="Y34" s="234"/>
      <c r="Z34" s="13"/>
      <c r="AA34" s="234"/>
      <c r="AB34" s="13"/>
      <c r="AC34" s="139"/>
      <c r="AD34" s="237">
        <f t="shared" si="3"/>
        <v>0</v>
      </c>
      <c r="AE34" s="195">
        <f t="shared" si="4"/>
        <v>0</v>
      </c>
      <c r="AF34" s="134"/>
    </row>
    <row r="35" spans="2:32" ht="15" customHeight="1" x14ac:dyDescent="0.25">
      <c r="B35" s="135"/>
      <c r="C35" s="151"/>
      <c r="D35" s="152"/>
      <c r="E35" s="234"/>
      <c r="F35" s="13"/>
      <c r="G35" s="234"/>
      <c r="H35" s="13"/>
      <c r="I35" s="234"/>
      <c r="J35" s="13"/>
      <c r="K35" s="234"/>
      <c r="L35" s="13"/>
      <c r="M35" s="234"/>
      <c r="N35" s="13"/>
      <c r="O35" s="234"/>
      <c r="P35" s="13"/>
      <c r="Q35" s="234"/>
      <c r="R35" s="13"/>
      <c r="S35" s="234"/>
      <c r="T35" s="13"/>
      <c r="U35" s="234"/>
      <c r="V35" s="13"/>
      <c r="W35" s="234"/>
      <c r="X35" s="13"/>
      <c r="Y35" s="234"/>
      <c r="Z35" s="13"/>
      <c r="AA35" s="234"/>
      <c r="AB35" s="13"/>
      <c r="AC35" s="139"/>
      <c r="AD35" s="237">
        <f t="shared" si="3"/>
        <v>0</v>
      </c>
      <c r="AE35" s="195">
        <f t="shared" si="4"/>
        <v>0</v>
      </c>
      <c r="AF35" s="134"/>
    </row>
    <row r="36" spans="2:32" ht="15" customHeight="1" x14ac:dyDescent="0.25">
      <c r="B36" s="135"/>
      <c r="C36" s="153"/>
      <c r="D36" s="154"/>
      <c r="E36" s="234"/>
      <c r="F36" s="13"/>
      <c r="G36" s="234"/>
      <c r="H36" s="13"/>
      <c r="I36" s="234"/>
      <c r="J36" s="13"/>
      <c r="K36" s="234"/>
      <c r="L36" s="13"/>
      <c r="M36" s="234"/>
      <c r="N36" s="13"/>
      <c r="O36" s="234"/>
      <c r="P36" s="13"/>
      <c r="Q36" s="234"/>
      <c r="R36" s="13"/>
      <c r="S36" s="234"/>
      <c r="T36" s="13"/>
      <c r="U36" s="234"/>
      <c r="V36" s="13"/>
      <c r="W36" s="234"/>
      <c r="X36" s="13"/>
      <c r="Y36" s="234"/>
      <c r="Z36" s="13"/>
      <c r="AA36" s="234"/>
      <c r="AB36" s="13"/>
      <c r="AC36" s="139"/>
      <c r="AD36" s="237">
        <f t="shared" si="3"/>
        <v>0</v>
      </c>
      <c r="AE36" s="195">
        <f t="shared" si="4"/>
        <v>0</v>
      </c>
      <c r="AF36" s="134"/>
    </row>
    <row r="37" spans="2:32" ht="15" customHeight="1" x14ac:dyDescent="0.25">
      <c r="B37" s="135"/>
      <c r="C37" s="151"/>
      <c r="D37" s="152"/>
      <c r="E37" s="234"/>
      <c r="F37" s="13"/>
      <c r="G37" s="234"/>
      <c r="H37" s="13"/>
      <c r="I37" s="234"/>
      <c r="J37" s="13"/>
      <c r="K37" s="234"/>
      <c r="L37" s="13"/>
      <c r="M37" s="234"/>
      <c r="N37" s="13"/>
      <c r="O37" s="234"/>
      <c r="P37" s="13"/>
      <c r="Q37" s="234"/>
      <c r="R37" s="13"/>
      <c r="S37" s="234"/>
      <c r="T37" s="13"/>
      <c r="U37" s="234"/>
      <c r="V37" s="13"/>
      <c r="W37" s="234"/>
      <c r="X37" s="13"/>
      <c r="Y37" s="234"/>
      <c r="Z37" s="13"/>
      <c r="AA37" s="234"/>
      <c r="AB37" s="13"/>
      <c r="AC37" s="139"/>
      <c r="AD37" s="237">
        <f t="shared" si="3"/>
        <v>0</v>
      </c>
      <c r="AE37" s="195">
        <f t="shared" si="4"/>
        <v>0</v>
      </c>
      <c r="AF37" s="134"/>
    </row>
    <row r="38" spans="2:32" ht="15" customHeight="1" x14ac:dyDescent="0.25">
      <c r="B38" s="135"/>
      <c r="C38" s="155"/>
      <c r="D38" s="156"/>
      <c r="E38" s="234"/>
      <c r="F38" s="13"/>
      <c r="G38" s="234"/>
      <c r="H38" s="13"/>
      <c r="I38" s="234"/>
      <c r="J38" s="13"/>
      <c r="K38" s="234"/>
      <c r="L38" s="13"/>
      <c r="M38" s="234"/>
      <c r="N38" s="13"/>
      <c r="O38" s="234"/>
      <c r="P38" s="13"/>
      <c r="Q38" s="234"/>
      <c r="R38" s="13"/>
      <c r="S38" s="234"/>
      <c r="T38" s="13"/>
      <c r="U38" s="234"/>
      <c r="V38" s="13"/>
      <c r="W38" s="234"/>
      <c r="X38" s="13"/>
      <c r="Y38" s="234"/>
      <c r="Z38" s="13"/>
      <c r="AA38" s="234"/>
      <c r="AB38" s="13"/>
      <c r="AC38" s="139"/>
      <c r="AD38" s="237">
        <f t="shared" ref="AD38:AD39" si="7">IFERROR(SUM(E38,G38,I38,K38,M38,O38,Q38,S38,U38,W38,Y38,AA38),0)</f>
        <v>0</v>
      </c>
      <c r="AE38" s="195">
        <f t="shared" ref="AE38:AE39" si="8">IFERROR(SUM(F38,H38,J38,L38,N38,P38,R38,T38,V38,X38,Z38,AB38),0)</f>
        <v>0</v>
      </c>
      <c r="AF38" s="134"/>
    </row>
    <row r="39" spans="2:32" ht="15" customHeight="1" x14ac:dyDescent="0.25">
      <c r="B39" s="135"/>
      <c r="C39" s="155"/>
      <c r="D39" s="156"/>
      <c r="E39" s="234"/>
      <c r="F39" s="13"/>
      <c r="G39" s="234"/>
      <c r="H39" s="13"/>
      <c r="I39" s="234"/>
      <c r="J39" s="13"/>
      <c r="K39" s="234"/>
      <c r="L39" s="13"/>
      <c r="M39" s="234"/>
      <c r="N39" s="13"/>
      <c r="O39" s="234"/>
      <c r="P39" s="13"/>
      <c r="Q39" s="234"/>
      <c r="R39" s="13"/>
      <c r="S39" s="234"/>
      <c r="T39" s="13"/>
      <c r="U39" s="234"/>
      <c r="V39" s="13"/>
      <c r="W39" s="234"/>
      <c r="X39" s="13"/>
      <c r="Y39" s="234"/>
      <c r="Z39" s="13"/>
      <c r="AA39" s="234"/>
      <c r="AB39" s="13"/>
      <c r="AC39" s="139"/>
      <c r="AD39" s="237">
        <f t="shared" si="7"/>
        <v>0</v>
      </c>
      <c r="AE39" s="195">
        <f t="shared" si="8"/>
        <v>0</v>
      </c>
      <c r="AF39" s="134"/>
    </row>
    <row r="40" spans="2:32" ht="15" customHeight="1" x14ac:dyDescent="0.25">
      <c r="B40" s="135"/>
      <c r="C40" s="155"/>
      <c r="D40" s="156"/>
      <c r="E40" s="234"/>
      <c r="F40" s="13"/>
      <c r="G40" s="234"/>
      <c r="H40" s="13"/>
      <c r="I40" s="234"/>
      <c r="J40" s="13"/>
      <c r="K40" s="234"/>
      <c r="L40" s="13"/>
      <c r="M40" s="234"/>
      <c r="N40" s="13"/>
      <c r="O40" s="234"/>
      <c r="P40" s="13"/>
      <c r="Q40" s="234"/>
      <c r="R40" s="13"/>
      <c r="S40" s="234"/>
      <c r="T40" s="13"/>
      <c r="U40" s="234"/>
      <c r="V40" s="13"/>
      <c r="W40" s="234"/>
      <c r="X40" s="13"/>
      <c r="Y40" s="234"/>
      <c r="Z40" s="13"/>
      <c r="AA40" s="234"/>
      <c r="AB40" s="13"/>
      <c r="AC40" s="139"/>
      <c r="AD40" s="237">
        <f t="shared" ref="AD40:AD46" si="9">IFERROR(SUM(E40,G40,I40,K40,M40,O40,Q40,S40,U40,W40,Y40,AA40),0)</f>
        <v>0</v>
      </c>
      <c r="AE40" s="195">
        <f t="shared" ref="AE40:AE46" si="10">IFERROR(SUM(F40,H40,J40,L40,N40,P40,R40,T40,V40,X40,Z40,AB40),0)</f>
        <v>0</v>
      </c>
      <c r="AF40" s="134"/>
    </row>
    <row r="41" spans="2:32" ht="15" customHeight="1" x14ac:dyDescent="0.25">
      <c r="B41" s="135"/>
      <c r="C41" s="155"/>
      <c r="D41" s="156"/>
      <c r="E41" s="234"/>
      <c r="F41" s="13"/>
      <c r="G41" s="234"/>
      <c r="H41" s="13"/>
      <c r="I41" s="234"/>
      <c r="J41" s="13"/>
      <c r="K41" s="234"/>
      <c r="L41" s="13"/>
      <c r="M41" s="234"/>
      <c r="N41" s="13"/>
      <c r="O41" s="234"/>
      <c r="P41" s="13"/>
      <c r="Q41" s="234"/>
      <c r="R41" s="13"/>
      <c r="S41" s="234"/>
      <c r="T41" s="13"/>
      <c r="U41" s="234"/>
      <c r="V41" s="13"/>
      <c r="W41" s="234"/>
      <c r="X41" s="13"/>
      <c r="Y41" s="234"/>
      <c r="Z41" s="13"/>
      <c r="AA41" s="234"/>
      <c r="AB41" s="13"/>
      <c r="AC41" s="139"/>
      <c r="AD41" s="237">
        <f t="shared" si="9"/>
        <v>0</v>
      </c>
      <c r="AE41" s="195">
        <f t="shared" si="10"/>
        <v>0</v>
      </c>
      <c r="AF41" s="134"/>
    </row>
    <row r="42" spans="2:32" ht="15" customHeight="1" x14ac:dyDescent="0.25">
      <c r="B42" s="135"/>
      <c r="C42" s="155"/>
      <c r="D42" s="156"/>
      <c r="E42" s="234"/>
      <c r="F42" s="13"/>
      <c r="G42" s="234"/>
      <c r="H42" s="13"/>
      <c r="I42" s="234"/>
      <c r="J42" s="13"/>
      <c r="K42" s="234"/>
      <c r="L42" s="13"/>
      <c r="M42" s="234"/>
      <c r="N42" s="13"/>
      <c r="O42" s="234"/>
      <c r="P42" s="13"/>
      <c r="Q42" s="234"/>
      <c r="R42" s="13"/>
      <c r="S42" s="234"/>
      <c r="T42" s="13"/>
      <c r="U42" s="234"/>
      <c r="V42" s="13"/>
      <c r="W42" s="234"/>
      <c r="X42" s="13"/>
      <c r="Y42" s="234"/>
      <c r="Z42" s="13"/>
      <c r="AA42" s="234"/>
      <c r="AB42" s="13"/>
      <c r="AC42" s="139"/>
      <c r="AD42" s="237">
        <f t="shared" si="9"/>
        <v>0</v>
      </c>
      <c r="AE42" s="195">
        <f t="shared" si="10"/>
        <v>0</v>
      </c>
      <c r="AF42" s="134"/>
    </row>
    <row r="43" spans="2:32" ht="15" customHeight="1" x14ac:dyDescent="0.25">
      <c r="B43" s="135"/>
      <c r="C43" s="155"/>
      <c r="D43" s="156"/>
      <c r="E43" s="234"/>
      <c r="F43" s="13"/>
      <c r="G43" s="234"/>
      <c r="H43" s="13"/>
      <c r="I43" s="234"/>
      <c r="J43" s="13"/>
      <c r="K43" s="234"/>
      <c r="L43" s="13"/>
      <c r="M43" s="234"/>
      <c r="N43" s="13"/>
      <c r="O43" s="234"/>
      <c r="P43" s="13"/>
      <c r="Q43" s="234"/>
      <c r="R43" s="13"/>
      <c r="S43" s="234"/>
      <c r="T43" s="13"/>
      <c r="U43" s="234"/>
      <c r="V43" s="13"/>
      <c r="W43" s="234"/>
      <c r="X43" s="13"/>
      <c r="Y43" s="234"/>
      <c r="Z43" s="13"/>
      <c r="AA43" s="234"/>
      <c r="AB43" s="13"/>
      <c r="AC43" s="139"/>
      <c r="AD43" s="237">
        <f t="shared" si="9"/>
        <v>0</v>
      </c>
      <c r="AE43" s="195">
        <f t="shared" si="10"/>
        <v>0</v>
      </c>
      <c r="AF43" s="134"/>
    </row>
    <row r="44" spans="2:32" ht="15" customHeight="1" x14ac:dyDescent="0.25">
      <c r="B44" s="135"/>
      <c r="C44" s="153"/>
      <c r="D44" s="154"/>
      <c r="E44" s="234"/>
      <c r="F44" s="13"/>
      <c r="G44" s="234"/>
      <c r="H44" s="13"/>
      <c r="I44" s="234"/>
      <c r="J44" s="13"/>
      <c r="K44" s="234"/>
      <c r="L44" s="13"/>
      <c r="M44" s="234"/>
      <c r="N44" s="13"/>
      <c r="O44" s="234"/>
      <c r="P44" s="13"/>
      <c r="Q44" s="234"/>
      <c r="R44" s="13"/>
      <c r="S44" s="234"/>
      <c r="T44" s="13"/>
      <c r="U44" s="234"/>
      <c r="V44" s="13"/>
      <c r="W44" s="234"/>
      <c r="X44" s="13"/>
      <c r="Y44" s="234"/>
      <c r="Z44" s="13"/>
      <c r="AA44" s="234"/>
      <c r="AB44" s="13"/>
      <c r="AC44" s="139"/>
      <c r="AD44" s="237">
        <f t="shared" si="9"/>
        <v>0</v>
      </c>
      <c r="AE44" s="195">
        <f t="shared" si="10"/>
        <v>0</v>
      </c>
      <c r="AF44" s="134"/>
    </row>
    <row r="45" spans="2:32" s="129" customFormat="1" ht="15" customHeight="1" x14ac:dyDescent="0.3">
      <c r="B45" s="135"/>
      <c r="C45" s="155"/>
      <c r="D45" s="156"/>
      <c r="E45" s="234"/>
      <c r="F45" s="13"/>
      <c r="G45" s="234"/>
      <c r="H45" s="13"/>
      <c r="I45" s="234"/>
      <c r="J45" s="13"/>
      <c r="K45" s="234"/>
      <c r="L45" s="13"/>
      <c r="M45" s="234"/>
      <c r="N45" s="13"/>
      <c r="O45" s="234"/>
      <c r="P45" s="13"/>
      <c r="Q45" s="234"/>
      <c r="R45" s="13"/>
      <c r="S45" s="234"/>
      <c r="T45" s="13"/>
      <c r="U45" s="234"/>
      <c r="V45" s="13"/>
      <c r="W45" s="234"/>
      <c r="X45" s="13"/>
      <c r="Y45" s="234"/>
      <c r="Z45" s="13"/>
      <c r="AA45" s="234"/>
      <c r="AB45" s="13"/>
      <c r="AC45" s="139"/>
      <c r="AD45" s="237">
        <f t="shared" si="9"/>
        <v>0</v>
      </c>
      <c r="AE45" s="195">
        <f t="shared" si="10"/>
        <v>0</v>
      </c>
      <c r="AF45" s="134"/>
    </row>
    <row r="46" spans="2:32" s="129" customFormat="1" ht="15" customHeight="1" x14ac:dyDescent="0.3">
      <c r="B46" s="135"/>
      <c r="C46" s="155"/>
      <c r="D46" s="156"/>
      <c r="E46" s="234"/>
      <c r="F46" s="13"/>
      <c r="G46" s="234"/>
      <c r="H46" s="13"/>
      <c r="I46" s="234"/>
      <c r="J46" s="13"/>
      <c r="K46" s="234"/>
      <c r="L46" s="13"/>
      <c r="M46" s="234"/>
      <c r="N46" s="13"/>
      <c r="O46" s="234"/>
      <c r="P46" s="13"/>
      <c r="Q46" s="234"/>
      <c r="R46" s="13"/>
      <c r="S46" s="234"/>
      <c r="T46" s="13"/>
      <c r="U46" s="234"/>
      <c r="V46" s="13"/>
      <c r="W46" s="234"/>
      <c r="X46" s="13"/>
      <c r="Y46" s="234"/>
      <c r="Z46" s="13"/>
      <c r="AA46" s="234"/>
      <c r="AB46" s="13"/>
      <c r="AC46" s="139"/>
      <c r="AD46" s="237">
        <f t="shared" si="9"/>
        <v>0</v>
      </c>
      <c r="AE46" s="195">
        <f t="shared" si="10"/>
        <v>0</v>
      </c>
      <c r="AF46" s="134"/>
    </row>
    <row r="47" spans="2:32" s="129" customFormat="1" ht="15" customHeight="1" x14ac:dyDescent="0.3">
      <c r="B47" s="135"/>
      <c r="C47" s="155"/>
      <c r="D47" s="156"/>
      <c r="E47" s="234"/>
      <c r="F47" s="13"/>
      <c r="G47" s="234"/>
      <c r="H47" s="13"/>
      <c r="I47" s="234"/>
      <c r="J47" s="13"/>
      <c r="K47" s="234"/>
      <c r="L47" s="13"/>
      <c r="M47" s="234"/>
      <c r="N47" s="13"/>
      <c r="O47" s="234"/>
      <c r="P47" s="13"/>
      <c r="Q47" s="234"/>
      <c r="R47" s="13"/>
      <c r="S47" s="234"/>
      <c r="T47" s="13"/>
      <c r="U47" s="234"/>
      <c r="V47" s="13"/>
      <c r="W47" s="234"/>
      <c r="X47" s="13"/>
      <c r="Y47" s="234"/>
      <c r="Z47" s="13"/>
      <c r="AA47" s="234"/>
      <c r="AB47" s="13"/>
      <c r="AC47" s="139"/>
      <c r="AD47" s="237">
        <f t="shared" si="3"/>
        <v>0</v>
      </c>
      <c r="AE47" s="195">
        <f t="shared" si="4"/>
        <v>0</v>
      </c>
      <c r="AF47" s="134"/>
    </row>
    <row r="48" spans="2:32" s="129" customFormat="1" ht="15" customHeight="1" x14ac:dyDescent="0.3">
      <c r="B48" s="135"/>
      <c r="C48" s="155"/>
      <c r="D48" s="156"/>
      <c r="E48" s="234"/>
      <c r="F48" s="13"/>
      <c r="G48" s="234"/>
      <c r="H48" s="13"/>
      <c r="I48" s="234"/>
      <c r="J48" s="13"/>
      <c r="K48" s="234"/>
      <c r="L48" s="13"/>
      <c r="M48" s="234"/>
      <c r="N48" s="13"/>
      <c r="O48" s="234"/>
      <c r="P48" s="13"/>
      <c r="Q48" s="234"/>
      <c r="R48" s="13"/>
      <c r="S48" s="234"/>
      <c r="T48" s="13"/>
      <c r="U48" s="234"/>
      <c r="V48" s="13"/>
      <c r="W48" s="234"/>
      <c r="X48" s="13"/>
      <c r="Y48" s="234"/>
      <c r="Z48" s="13"/>
      <c r="AA48" s="234"/>
      <c r="AB48" s="13"/>
      <c r="AC48" s="139"/>
      <c r="AD48" s="237"/>
      <c r="AE48" s="195"/>
      <c r="AF48" s="134"/>
    </row>
    <row r="49" spans="2:32" s="129" customFormat="1" ht="15" customHeight="1" x14ac:dyDescent="0.3">
      <c r="B49" s="135"/>
      <c r="C49" s="155"/>
      <c r="D49" s="156"/>
      <c r="E49" s="234"/>
      <c r="F49" s="13"/>
      <c r="G49" s="234"/>
      <c r="H49" s="13"/>
      <c r="I49" s="234"/>
      <c r="J49" s="13"/>
      <c r="K49" s="234"/>
      <c r="L49" s="13"/>
      <c r="M49" s="234"/>
      <c r="N49" s="13"/>
      <c r="O49" s="234"/>
      <c r="P49" s="13"/>
      <c r="Q49" s="234"/>
      <c r="R49" s="13"/>
      <c r="S49" s="234"/>
      <c r="T49" s="13"/>
      <c r="U49" s="234"/>
      <c r="V49" s="13"/>
      <c r="W49" s="234"/>
      <c r="X49" s="13"/>
      <c r="Y49" s="234"/>
      <c r="Z49" s="13"/>
      <c r="AA49" s="234"/>
      <c r="AB49" s="13"/>
      <c r="AC49" s="139"/>
      <c r="AD49" s="237"/>
      <c r="AE49" s="195"/>
      <c r="AF49" s="134"/>
    </row>
    <row r="50" spans="2:32" s="129" customFormat="1" ht="15" customHeight="1" x14ac:dyDescent="0.3">
      <c r="B50" s="135"/>
      <c r="C50" s="155"/>
      <c r="D50" s="156"/>
      <c r="E50" s="234"/>
      <c r="F50" s="13"/>
      <c r="G50" s="234"/>
      <c r="H50" s="13"/>
      <c r="I50" s="234"/>
      <c r="J50" s="13"/>
      <c r="K50" s="234"/>
      <c r="L50" s="13"/>
      <c r="M50" s="234"/>
      <c r="N50" s="13"/>
      <c r="O50" s="234"/>
      <c r="P50" s="13"/>
      <c r="Q50" s="234"/>
      <c r="R50" s="13"/>
      <c r="S50" s="234"/>
      <c r="T50" s="13"/>
      <c r="U50" s="234"/>
      <c r="V50" s="13"/>
      <c r="W50" s="234"/>
      <c r="X50" s="13"/>
      <c r="Y50" s="234"/>
      <c r="Z50" s="13"/>
      <c r="AA50" s="234"/>
      <c r="AB50" s="13"/>
      <c r="AC50" s="139"/>
      <c r="AD50" s="237"/>
      <c r="AE50" s="195"/>
      <c r="AF50" s="134"/>
    </row>
    <row r="51" spans="2:32" s="129" customFormat="1" ht="15" customHeight="1" x14ac:dyDescent="0.3">
      <c r="B51" s="135"/>
      <c r="C51" s="155"/>
      <c r="D51" s="156"/>
      <c r="E51" s="234"/>
      <c r="F51" s="13"/>
      <c r="G51" s="234"/>
      <c r="H51" s="13"/>
      <c r="I51" s="234"/>
      <c r="J51" s="13"/>
      <c r="K51" s="234"/>
      <c r="L51" s="13"/>
      <c r="M51" s="234"/>
      <c r="N51" s="13"/>
      <c r="O51" s="234"/>
      <c r="P51" s="13"/>
      <c r="Q51" s="234"/>
      <c r="R51" s="13"/>
      <c r="S51" s="234"/>
      <c r="T51" s="13"/>
      <c r="U51" s="234"/>
      <c r="V51" s="13"/>
      <c r="W51" s="234"/>
      <c r="X51" s="13"/>
      <c r="Y51" s="234"/>
      <c r="Z51" s="13"/>
      <c r="AA51" s="234"/>
      <c r="AB51" s="13"/>
      <c r="AC51" s="139"/>
      <c r="AD51" s="237">
        <f t="shared" ref="AD51:AD59" si="11">IFERROR(SUM(E51,G51,I51,K51,M51,O51,Q51,S51,U51,W51,Y51,AA51),0)</f>
        <v>0</v>
      </c>
      <c r="AE51" s="195">
        <f t="shared" ref="AE51:AE59" si="12">IFERROR(SUM(F51,H51,J51,L51,N51,P51,R51,T51,V51,X51,Z51,AB51),0)</f>
        <v>0</v>
      </c>
      <c r="AF51" s="134"/>
    </row>
    <row r="52" spans="2:32" s="129" customFormat="1" ht="15" customHeight="1" x14ac:dyDescent="0.3">
      <c r="B52" s="135"/>
      <c r="C52" s="155"/>
      <c r="D52" s="156"/>
      <c r="E52" s="234"/>
      <c r="F52" s="13"/>
      <c r="G52" s="234"/>
      <c r="H52" s="13"/>
      <c r="I52" s="234"/>
      <c r="J52" s="13"/>
      <c r="K52" s="234"/>
      <c r="L52" s="13"/>
      <c r="M52" s="234"/>
      <c r="N52" s="13"/>
      <c r="O52" s="234"/>
      <c r="P52" s="13"/>
      <c r="Q52" s="234"/>
      <c r="R52" s="13"/>
      <c r="S52" s="234"/>
      <c r="T52" s="13"/>
      <c r="U52" s="234"/>
      <c r="V52" s="13"/>
      <c r="W52" s="234"/>
      <c r="X52" s="13"/>
      <c r="Y52" s="234"/>
      <c r="Z52" s="13"/>
      <c r="AA52" s="234"/>
      <c r="AB52" s="13"/>
      <c r="AC52" s="139"/>
      <c r="AD52" s="237">
        <f t="shared" si="11"/>
        <v>0</v>
      </c>
      <c r="AE52" s="195">
        <f t="shared" si="12"/>
        <v>0</v>
      </c>
      <c r="AF52" s="134"/>
    </row>
    <row r="53" spans="2:32" s="129" customFormat="1" ht="15" customHeight="1" x14ac:dyDescent="0.3">
      <c r="B53" s="135"/>
      <c r="C53" s="155"/>
      <c r="D53" s="156"/>
      <c r="E53" s="234"/>
      <c r="F53" s="13"/>
      <c r="G53" s="234"/>
      <c r="H53" s="13"/>
      <c r="I53" s="234"/>
      <c r="J53" s="13"/>
      <c r="K53" s="234"/>
      <c r="L53" s="13"/>
      <c r="M53" s="234"/>
      <c r="N53" s="13"/>
      <c r="O53" s="234"/>
      <c r="P53" s="13"/>
      <c r="Q53" s="234"/>
      <c r="R53" s="13"/>
      <c r="S53" s="234"/>
      <c r="T53" s="13"/>
      <c r="U53" s="234"/>
      <c r="V53" s="13"/>
      <c r="W53" s="234"/>
      <c r="X53" s="13"/>
      <c r="Y53" s="234"/>
      <c r="Z53" s="13"/>
      <c r="AA53" s="234"/>
      <c r="AB53" s="13"/>
      <c r="AC53" s="139"/>
      <c r="AD53" s="237">
        <f t="shared" si="11"/>
        <v>0</v>
      </c>
      <c r="AE53" s="195">
        <f t="shared" si="12"/>
        <v>0</v>
      </c>
      <c r="AF53" s="134"/>
    </row>
    <row r="54" spans="2:32" s="129" customFormat="1" ht="15" customHeight="1" x14ac:dyDescent="0.3">
      <c r="B54" s="135"/>
      <c r="C54" s="155"/>
      <c r="D54" s="156"/>
      <c r="E54" s="234"/>
      <c r="F54" s="13"/>
      <c r="G54" s="234"/>
      <c r="H54" s="13"/>
      <c r="I54" s="234"/>
      <c r="J54" s="13"/>
      <c r="K54" s="234"/>
      <c r="L54" s="13"/>
      <c r="M54" s="234"/>
      <c r="N54" s="13"/>
      <c r="O54" s="234"/>
      <c r="P54" s="13"/>
      <c r="Q54" s="234"/>
      <c r="R54" s="13"/>
      <c r="S54" s="234"/>
      <c r="T54" s="13"/>
      <c r="U54" s="234"/>
      <c r="V54" s="13"/>
      <c r="W54" s="234"/>
      <c r="X54" s="13"/>
      <c r="Y54" s="234"/>
      <c r="Z54" s="13"/>
      <c r="AA54" s="234"/>
      <c r="AB54" s="13"/>
      <c r="AC54" s="139"/>
      <c r="AD54" s="237">
        <f t="shared" si="11"/>
        <v>0</v>
      </c>
      <c r="AE54" s="195">
        <f t="shared" si="12"/>
        <v>0</v>
      </c>
      <c r="AF54" s="134"/>
    </row>
    <row r="55" spans="2:32" s="129" customFormat="1" ht="15" customHeight="1" x14ac:dyDescent="0.3">
      <c r="B55" s="135"/>
      <c r="C55" s="155"/>
      <c r="D55" s="156"/>
      <c r="E55" s="234"/>
      <c r="F55" s="13"/>
      <c r="G55" s="234"/>
      <c r="H55" s="13"/>
      <c r="I55" s="234"/>
      <c r="J55" s="13"/>
      <c r="K55" s="234"/>
      <c r="L55" s="13"/>
      <c r="M55" s="234"/>
      <c r="N55" s="13"/>
      <c r="O55" s="234"/>
      <c r="P55" s="13"/>
      <c r="Q55" s="234"/>
      <c r="R55" s="13"/>
      <c r="S55" s="234"/>
      <c r="T55" s="13"/>
      <c r="U55" s="234"/>
      <c r="V55" s="13"/>
      <c r="W55" s="234"/>
      <c r="X55" s="13"/>
      <c r="Y55" s="234"/>
      <c r="Z55" s="13"/>
      <c r="AA55" s="234"/>
      <c r="AB55" s="13"/>
      <c r="AC55" s="139"/>
      <c r="AD55" s="237">
        <f t="shared" si="11"/>
        <v>0</v>
      </c>
      <c r="AE55" s="195">
        <f t="shared" si="12"/>
        <v>0</v>
      </c>
      <c r="AF55" s="134"/>
    </row>
    <row r="56" spans="2:32" s="129" customFormat="1" ht="15" customHeight="1" x14ac:dyDescent="0.3">
      <c r="B56" s="135"/>
      <c r="C56" s="155"/>
      <c r="D56" s="156"/>
      <c r="E56" s="234"/>
      <c r="F56" s="13"/>
      <c r="G56" s="234"/>
      <c r="H56" s="13"/>
      <c r="I56" s="234"/>
      <c r="J56" s="13"/>
      <c r="K56" s="234"/>
      <c r="L56" s="13"/>
      <c r="M56" s="234"/>
      <c r="N56" s="13"/>
      <c r="O56" s="234"/>
      <c r="P56" s="13"/>
      <c r="Q56" s="234"/>
      <c r="R56" s="13"/>
      <c r="S56" s="234"/>
      <c r="T56" s="13"/>
      <c r="U56" s="234"/>
      <c r="V56" s="13"/>
      <c r="W56" s="234"/>
      <c r="X56" s="13"/>
      <c r="Y56" s="234"/>
      <c r="Z56" s="13"/>
      <c r="AA56" s="234"/>
      <c r="AB56" s="13"/>
      <c r="AC56" s="139"/>
      <c r="AD56" s="237">
        <f t="shared" si="11"/>
        <v>0</v>
      </c>
      <c r="AE56" s="195">
        <f t="shared" si="12"/>
        <v>0</v>
      </c>
      <c r="AF56" s="134"/>
    </row>
    <row r="57" spans="2:32" s="129" customFormat="1" ht="15" customHeight="1" x14ac:dyDescent="0.3">
      <c r="B57" s="135"/>
      <c r="C57" s="155"/>
      <c r="D57" s="156"/>
      <c r="E57" s="234"/>
      <c r="F57" s="13"/>
      <c r="G57" s="234"/>
      <c r="H57" s="13"/>
      <c r="I57" s="234"/>
      <c r="J57" s="13"/>
      <c r="K57" s="234"/>
      <c r="L57" s="13"/>
      <c r="M57" s="234"/>
      <c r="N57" s="13"/>
      <c r="O57" s="234"/>
      <c r="P57" s="13"/>
      <c r="Q57" s="234"/>
      <c r="R57" s="13"/>
      <c r="S57" s="234"/>
      <c r="T57" s="13"/>
      <c r="U57" s="234"/>
      <c r="V57" s="13"/>
      <c r="W57" s="234"/>
      <c r="X57" s="13"/>
      <c r="Y57" s="234"/>
      <c r="Z57" s="13"/>
      <c r="AA57" s="234"/>
      <c r="AB57" s="13"/>
      <c r="AC57" s="139"/>
      <c r="AD57" s="237">
        <f t="shared" si="11"/>
        <v>0</v>
      </c>
      <c r="AE57" s="195">
        <f t="shared" si="12"/>
        <v>0</v>
      </c>
      <c r="AF57" s="134"/>
    </row>
    <row r="58" spans="2:32" s="129" customFormat="1" ht="15" customHeight="1" x14ac:dyDescent="0.3">
      <c r="B58" s="135"/>
      <c r="C58" s="155"/>
      <c r="D58" s="156"/>
      <c r="E58" s="234"/>
      <c r="F58" s="13"/>
      <c r="G58" s="234"/>
      <c r="H58" s="13"/>
      <c r="I58" s="234"/>
      <c r="J58" s="13"/>
      <c r="K58" s="234"/>
      <c r="L58" s="13"/>
      <c r="M58" s="234"/>
      <c r="N58" s="13"/>
      <c r="O58" s="234"/>
      <c r="P58" s="13"/>
      <c r="Q58" s="234"/>
      <c r="R58" s="13"/>
      <c r="S58" s="234"/>
      <c r="T58" s="13"/>
      <c r="U58" s="234"/>
      <c r="V58" s="13"/>
      <c r="W58" s="234"/>
      <c r="X58" s="13"/>
      <c r="Y58" s="234"/>
      <c r="Z58" s="13"/>
      <c r="AA58" s="234"/>
      <c r="AB58" s="13"/>
      <c r="AC58" s="139"/>
      <c r="AD58" s="237">
        <f t="shared" si="11"/>
        <v>0</v>
      </c>
      <c r="AE58" s="195">
        <f t="shared" si="12"/>
        <v>0</v>
      </c>
      <c r="AF58" s="134"/>
    </row>
    <row r="59" spans="2:32" s="129" customFormat="1" ht="15" customHeight="1" x14ac:dyDescent="0.3">
      <c r="B59" s="135"/>
      <c r="C59" s="155"/>
      <c r="D59" s="156"/>
      <c r="E59" s="234"/>
      <c r="F59" s="13"/>
      <c r="G59" s="234"/>
      <c r="H59" s="13"/>
      <c r="I59" s="234"/>
      <c r="J59" s="13"/>
      <c r="K59" s="234"/>
      <c r="L59" s="13"/>
      <c r="M59" s="234"/>
      <c r="N59" s="13"/>
      <c r="O59" s="234"/>
      <c r="P59" s="13"/>
      <c r="Q59" s="234"/>
      <c r="R59" s="13"/>
      <c r="S59" s="234"/>
      <c r="T59" s="13"/>
      <c r="U59" s="234"/>
      <c r="V59" s="13"/>
      <c r="W59" s="234"/>
      <c r="X59" s="13"/>
      <c r="Y59" s="234"/>
      <c r="Z59" s="13"/>
      <c r="AA59" s="234"/>
      <c r="AB59" s="13"/>
      <c r="AC59" s="139"/>
      <c r="AD59" s="237">
        <f t="shared" si="11"/>
        <v>0</v>
      </c>
      <c r="AE59" s="195">
        <f t="shared" si="12"/>
        <v>0</v>
      </c>
      <c r="AF59" s="134"/>
    </row>
    <row r="60" spans="2:32" s="129" customFormat="1" ht="15" customHeight="1" x14ac:dyDescent="0.3">
      <c r="B60" s="135"/>
      <c r="C60" s="155"/>
      <c r="D60" s="156"/>
      <c r="E60" s="234"/>
      <c r="F60" s="13"/>
      <c r="G60" s="234"/>
      <c r="H60" s="13"/>
      <c r="I60" s="234"/>
      <c r="J60" s="13"/>
      <c r="K60" s="234"/>
      <c r="L60" s="13"/>
      <c r="M60" s="234"/>
      <c r="N60" s="13"/>
      <c r="O60" s="234"/>
      <c r="P60" s="13"/>
      <c r="Q60" s="234"/>
      <c r="R60" s="13"/>
      <c r="S60" s="234"/>
      <c r="T60" s="13"/>
      <c r="U60" s="234"/>
      <c r="V60" s="13"/>
      <c r="W60" s="234"/>
      <c r="X60" s="13"/>
      <c r="Y60" s="234"/>
      <c r="Z60" s="13"/>
      <c r="AA60" s="234"/>
      <c r="AB60" s="13"/>
      <c r="AC60" s="139"/>
      <c r="AD60" s="237">
        <f t="shared" ref="AD60" si="13">IFERROR(SUM(E60,G60,I60,K60,M60,O60,Q60,S60,U60,W60,Y60,AA60),0)</f>
        <v>0</v>
      </c>
      <c r="AE60" s="195">
        <f t="shared" ref="AE60" si="14">IFERROR(SUM(F60,H60,J60,L60,N60,P60,R60,T60,V60,X60,Z60,AB60),0)</f>
        <v>0</v>
      </c>
      <c r="AF60" s="134"/>
    </row>
    <row r="61" spans="2:32" s="129" customFormat="1" ht="15" customHeight="1" x14ac:dyDescent="0.3">
      <c r="B61" s="135"/>
      <c r="C61" s="155"/>
      <c r="D61" s="156"/>
      <c r="E61" s="234"/>
      <c r="F61" s="13"/>
      <c r="G61" s="234"/>
      <c r="H61" s="13"/>
      <c r="I61" s="234"/>
      <c r="J61" s="13"/>
      <c r="K61" s="234"/>
      <c r="L61" s="13"/>
      <c r="M61" s="234"/>
      <c r="N61" s="13"/>
      <c r="O61" s="234"/>
      <c r="P61" s="13"/>
      <c r="Q61" s="234"/>
      <c r="R61" s="13"/>
      <c r="S61" s="234"/>
      <c r="T61" s="13"/>
      <c r="U61" s="234"/>
      <c r="V61" s="13"/>
      <c r="W61" s="234"/>
      <c r="X61" s="13"/>
      <c r="Y61" s="234"/>
      <c r="Z61" s="13"/>
      <c r="AA61" s="234"/>
      <c r="AB61" s="13"/>
      <c r="AC61" s="139"/>
      <c r="AD61" s="237">
        <f t="shared" ref="AD61:AD62" si="15">IFERROR(SUM(E61,G61,I61,K61,M61,O61,Q61,S61,U61,W61,Y61,AA61),0)</f>
        <v>0</v>
      </c>
      <c r="AE61" s="195">
        <f t="shared" ref="AE61:AE62" si="16">IFERROR(SUM(F61,H61,J61,L61,N61,P61,R61,T61,V61,X61,Z61,AB61),0)</f>
        <v>0</v>
      </c>
      <c r="AF61" s="134"/>
    </row>
    <row r="62" spans="2:32" s="129" customFormat="1" ht="15" customHeight="1" x14ac:dyDescent="0.3">
      <c r="B62" s="135"/>
      <c r="C62" s="155"/>
      <c r="D62" s="156"/>
      <c r="E62" s="234"/>
      <c r="F62" s="13"/>
      <c r="G62" s="234"/>
      <c r="H62" s="13"/>
      <c r="I62" s="234"/>
      <c r="J62" s="13"/>
      <c r="K62" s="234"/>
      <c r="L62" s="13"/>
      <c r="M62" s="234"/>
      <c r="N62" s="13"/>
      <c r="O62" s="234"/>
      <c r="P62" s="13"/>
      <c r="Q62" s="234"/>
      <c r="R62" s="13"/>
      <c r="S62" s="234"/>
      <c r="T62" s="13"/>
      <c r="U62" s="234"/>
      <c r="V62" s="13"/>
      <c r="W62" s="234"/>
      <c r="X62" s="13"/>
      <c r="Y62" s="234"/>
      <c r="Z62" s="13"/>
      <c r="AA62" s="234"/>
      <c r="AB62" s="13"/>
      <c r="AC62" s="139"/>
      <c r="AD62" s="237">
        <f t="shared" si="15"/>
        <v>0</v>
      </c>
      <c r="AE62" s="195">
        <f t="shared" si="16"/>
        <v>0</v>
      </c>
      <c r="AF62" s="134"/>
    </row>
    <row r="63" spans="2:32" s="129" customFormat="1" ht="15" customHeight="1" x14ac:dyDescent="0.3">
      <c r="B63" s="135"/>
      <c r="C63" s="155"/>
      <c r="D63" s="156"/>
      <c r="E63" s="234"/>
      <c r="F63" s="13"/>
      <c r="G63" s="234"/>
      <c r="H63" s="13"/>
      <c r="I63" s="234"/>
      <c r="J63" s="13"/>
      <c r="K63" s="234"/>
      <c r="L63" s="13"/>
      <c r="M63" s="234"/>
      <c r="N63" s="13"/>
      <c r="O63" s="234"/>
      <c r="P63" s="13"/>
      <c r="Q63" s="234"/>
      <c r="R63" s="13"/>
      <c r="S63" s="234"/>
      <c r="T63" s="13"/>
      <c r="U63" s="234"/>
      <c r="V63" s="13"/>
      <c r="W63" s="234"/>
      <c r="X63" s="13"/>
      <c r="Y63" s="234"/>
      <c r="Z63" s="13"/>
      <c r="AA63" s="234"/>
      <c r="AB63" s="13"/>
      <c r="AC63" s="139"/>
      <c r="AD63" s="237">
        <f t="shared" ref="AD63:AD65" si="17">IFERROR(SUM(E63,G63,I63,K63,M63,O63,Q63,S63,U63,W63,Y63,AA63),0)</f>
        <v>0</v>
      </c>
      <c r="AE63" s="195">
        <f t="shared" ref="AE63:AE65" si="18">IFERROR(SUM(F63,H63,J63,L63,N63,P63,R63,T63,V63,X63,Z63,AB63),0)</f>
        <v>0</v>
      </c>
      <c r="AF63" s="134"/>
    </row>
    <row r="64" spans="2:32" s="129" customFormat="1" ht="15" customHeight="1" x14ac:dyDescent="0.3">
      <c r="B64" s="135"/>
      <c r="C64" s="155"/>
      <c r="D64" s="156"/>
      <c r="E64" s="234"/>
      <c r="F64" s="13"/>
      <c r="G64" s="234"/>
      <c r="H64" s="13"/>
      <c r="I64" s="234"/>
      <c r="J64" s="13"/>
      <c r="K64" s="234"/>
      <c r="L64" s="13"/>
      <c r="M64" s="234"/>
      <c r="N64" s="13"/>
      <c r="O64" s="234"/>
      <c r="P64" s="13"/>
      <c r="Q64" s="234"/>
      <c r="R64" s="13"/>
      <c r="S64" s="234"/>
      <c r="T64" s="13"/>
      <c r="U64" s="234"/>
      <c r="V64" s="13"/>
      <c r="W64" s="234"/>
      <c r="X64" s="13"/>
      <c r="Y64" s="234"/>
      <c r="Z64" s="13"/>
      <c r="AA64" s="234"/>
      <c r="AB64" s="13"/>
      <c r="AC64" s="139"/>
      <c r="AD64" s="237">
        <f t="shared" si="17"/>
        <v>0</v>
      </c>
      <c r="AE64" s="195">
        <f t="shared" si="18"/>
        <v>0</v>
      </c>
      <c r="AF64" s="134"/>
    </row>
    <row r="65" spans="2:36" s="129" customFormat="1" ht="15" customHeight="1" x14ac:dyDescent="0.3">
      <c r="B65" s="135"/>
      <c r="C65" s="155"/>
      <c r="D65" s="156"/>
      <c r="E65" s="234"/>
      <c r="F65" s="13"/>
      <c r="G65" s="234"/>
      <c r="H65" s="13"/>
      <c r="I65" s="234"/>
      <c r="J65" s="13"/>
      <c r="K65" s="234"/>
      <c r="L65" s="13"/>
      <c r="M65" s="234"/>
      <c r="N65" s="13"/>
      <c r="O65" s="234"/>
      <c r="P65" s="13"/>
      <c r="Q65" s="234"/>
      <c r="R65" s="13"/>
      <c r="S65" s="234"/>
      <c r="T65" s="13"/>
      <c r="U65" s="234"/>
      <c r="V65" s="13"/>
      <c r="W65" s="234"/>
      <c r="X65" s="13"/>
      <c r="Y65" s="234"/>
      <c r="Z65" s="13"/>
      <c r="AA65" s="234"/>
      <c r="AB65" s="13"/>
      <c r="AC65" s="139"/>
      <c r="AD65" s="237">
        <f t="shared" si="17"/>
        <v>0</v>
      </c>
      <c r="AE65" s="195">
        <f t="shared" si="18"/>
        <v>0</v>
      </c>
      <c r="AF65" s="134"/>
    </row>
    <row r="66" spans="2:36" s="129" customFormat="1" ht="15" customHeight="1" x14ac:dyDescent="0.3">
      <c r="B66" s="135"/>
      <c r="C66" s="155"/>
      <c r="D66" s="156"/>
      <c r="E66" s="234"/>
      <c r="F66" s="13"/>
      <c r="G66" s="234"/>
      <c r="H66" s="13"/>
      <c r="I66" s="234"/>
      <c r="J66" s="13"/>
      <c r="K66" s="234"/>
      <c r="L66" s="13"/>
      <c r="M66" s="234"/>
      <c r="N66" s="13"/>
      <c r="O66" s="234"/>
      <c r="P66" s="13"/>
      <c r="Q66" s="234"/>
      <c r="R66" s="13"/>
      <c r="S66" s="234"/>
      <c r="T66" s="13"/>
      <c r="U66" s="234"/>
      <c r="V66" s="13"/>
      <c r="W66" s="234"/>
      <c r="X66" s="13"/>
      <c r="Y66" s="234"/>
      <c r="Z66" s="13"/>
      <c r="AA66" s="234"/>
      <c r="AB66" s="13"/>
      <c r="AC66" s="139"/>
      <c r="AD66" s="237">
        <f t="shared" ref="AD66" si="19">IFERROR(SUM(E66,G66,I66,K66,M66,O66,Q66,S66,U66,W66,Y66,AA66),0)</f>
        <v>0</v>
      </c>
      <c r="AE66" s="195">
        <f t="shared" ref="AE66" si="20">IFERROR(SUM(F66,H66,J66,L66,N66,P66,R66,T66,V66,X66,Z66,AB66),0)</f>
        <v>0</v>
      </c>
      <c r="AF66" s="134"/>
    </row>
    <row r="67" spans="2:36" s="129" customFormat="1" ht="15" customHeight="1" x14ac:dyDescent="0.3">
      <c r="B67" s="135"/>
      <c r="C67" s="155"/>
      <c r="D67" s="156"/>
      <c r="E67" s="234"/>
      <c r="F67" s="13"/>
      <c r="G67" s="234"/>
      <c r="H67" s="13"/>
      <c r="I67" s="234"/>
      <c r="J67" s="13"/>
      <c r="K67" s="234"/>
      <c r="L67" s="13"/>
      <c r="M67" s="234"/>
      <c r="N67" s="13"/>
      <c r="O67" s="234"/>
      <c r="P67" s="13"/>
      <c r="Q67" s="234"/>
      <c r="R67" s="13"/>
      <c r="S67" s="234"/>
      <c r="T67" s="13"/>
      <c r="U67" s="234"/>
      <c r="V67" s="13"/>
      <c r="W67" s="234"/>
      <c r="X67" s="13"/>
      <c r="Y67" s="234"/>
      <c r="Z67" s="13"/>
      <c r="AA67" s="234"/>
      <c r="AB67" s="13"/>
      <c r="AC67" s="139"/>
      <c r="AD67" s="237">
        <f t="shared" ref="AD67:AE69" si="21">IFERROR(SUM(E67,G67,I67,K67,M67,O67,Q67,S67,U67,W67,Y67,AA67),0)</f>
        <v>0</v>
      </c>
      <c r="AE67" s="195">
        <f t="shared" si="21"/>
        <v>0</v>
      </c>
      <c r="AF67" s="134"/>
    </row>
    <row r="68" spans="2:36" s="129" customFormat="1" ht="15" customHeight="1" x14ac:dyDescent="0.3">
      <c r="B68" s="135"/>
      <c r="C68" s="155"/>
      <c r="D68" s="156"/>
      <c r="E68" s="234"/>
      <c r="F68" s="13"/>
      <c r="G68" s="234"/>
      <c r="H68" s="13"/>
      <c r="I68" s="234"/>
      <c r="J68" s="13"/>
      <c r="K68" s="234"/>
      <c r="L68" s="13"/>
      <c r="M68" s="234"/>
      <c r="N68" s="13"/>
      <c r="O68" s="234"/>
      <c r="P68" s="13"/>
      <c r="Q68" s="234"/>
      <c r="R68" s="13"/>
      <c r="S68" s="234"/>
      <c r="T68" s="13"/>
      <c r="U68" s="234"/>
      <c r="V68" s="13"/>
      <c r="W68" s="234"/>
      <c r="X68" s="13"/>
      <c r="Y68" s="234"/>
      <c r="Z68" s="13"/>
      <c r="AA68" s="234"/>
      <c r="AB68" s="13"/>
      <c r="AC68" s="139"/>
      <c r="AD68" s="237"/>
      <c r="AE68" s="195"/>
      <c r="AF68" s="134"/>
    </row>
    <row r="69" spans="2:36" s="129" customFormat="1" ht="15" customHeight="1" x14ac:dyDescent="0.3">
      <c r="B69" s="135"/>
      <c r="C69" s="155"/>
      <c r="D69" s="156"/>
      <c r="E69" s="234"/>
      <c r="F69" s="13"/>
      <c r="G69" s="234"/>
      <c r="H69" s="13"/>
      <c r="I69" s="234"/>
      <c r="J69" s="13"/>
      <c r="K69" s="234"/>
      <c r="L69" s="13"/>
      <c r="M69" s="234"/>
      <c r="N69" s="13"/>
      <c r="O69" s="234"/>
      <c r="P69" s="13"/>
      <c r="Q69" s="234"/>
      <c r="R69" s="13"/>
      <c r="S69" s="234"/>
      <c r="T69" s="13"/>
      <c r="U69" s="234"/>
      <c r="V69" s="13"/>
      <c r="W69" s="234"/>
      <c r="X69" s="13"/>
      <c r="Y69" s="234"/>
      <c r="Z69" s="13"/>
      <c r="AA69" s="234"/>
      <c r="AB69" s="13"/>
      <c r="AC69" s="139"/>
      <c r="AD69" s="237">
        <f t="shared" si="21"/>
        <v>0</v>
      </c>
      <c r="AE69" s="195">
        <f t="shared" si="21"/>
        <v>0</v>
      </c>
      <c r="AF69" s="134"/>
    </row>
    <row r="70" spans="2:36" s="129" customFormat="1" ht="15" customHeight="1" x14ac:dyDescent="0.3">
      <c r="B70" s="135"/>
      <c r="C70" s="155"/>
      <c r="D70" s="156"/>
      <c r="E70" s="234"/>
      <c r="F70" s="13"/>
      <c r="G70" s="234"/>
      <c r="H70" s="13"/>
      <c r="I70" s="234"/>
      <c r="J70" s="13"/>
      <c r="K70" s="234"/>
      <c r="L70" s="13"/>
      <c r="M70" s="234"/>
      <c r="N70" s="13"/>
      <c r="O70" s="234"/>
      <c r="P70" s="13"/>
      <c r="Q70" s="234"/>
      <c r="R70" s="13"/>
      <c r="S70" s="234"/>
      <c r="T70" s="13"/>
      <c r="U70" s="234"/>
      <c r="V70" s="13"/>
      <c r="W70" s="234"/>
      <c r="X70" s="13"/>
      <c r="Y70" s="234"/>
      <c r="Z70" s="13"/>
      <c r="AA70" s="234"/>
      <c r="AB70" s="13"/>
      <c r="AC70" s="139"/>
      <c r="AD70" s="237">
        <f t="shared" ref="AD70:AD81" si="22">IFERROR(SUM(E70,G70,I70,K70,M70,O70,Q70,S70,U70,W70,Y70,AA70),0)</f>
        <v>0</v>
      </c>
      <c r="AE70" s="195">
        <f t="shared" ref="AE70:AE81" si="23">IFERROR(SUM(F70,H70,J70,L70,N70,P70,R70,T70,V70,X70,Z70,AB70),0)</f>
        <v>0</v>
      </c>
      <c r="AF70" s="134"/>
    </row>
    <row r="71" spans="2:36" s="129" customFormat="1" ht="15" customHeight="1" x14ac:dyDescent="0.3">
      <c r="B71" s="135"/>
      <c r="C71" s="155"/>
      <c r="D71" s="156"/>
      <c r="E71" s="234"/>
      <c r="F71" s="13"/>
      <c r="G71" s="234"/>
      <c r="H71" s="13"/>
      <c r="I71" s="234"/>
      <c r="J71" s="13"/>
      <c r="K71" s="234"/>
      <c r="L71" s="13"/>
      <c r="M71" s="234"/>
      <c r="N71" s="13"/>
      <c r="O71" s="234"/>
      <c r="P71" s="13"/>
      <c r="Q71" s="234"/>
      <c r="R71" s="13"/>
      <c r="S71" s="234"/>
      <c r="T71" s="13"/>
      <c r="U71" s="234"/>
      <c r="V71" s="13"/>
      <c r="W71" s="234"/>
      <c r="X71" s="13"/>
      <c r="Y71" s="234"/>
      <c r="Z71" s="13"/>
      <c r="AA71" s="234"/>
      <c r="AB71" s="13"/>
      <c r="AC71" s="139"/>
      <c r="AD71" s="237">
        <f t="shared" si="22"/>
        <v>0</v>
      </c>
      <c r="AE71" s="195">
        <f t="shared" si="23"/>
        <v>0</v>
      </c>
      <c r="AF71" s="134"/>
    </row>
    <row r="72" spans="2:36" s="129" customFormat="1" ht="15" customHeight="1" x14ac:dyDescent="0.3">
      <c r="B72" s="135"/>
      <c r="C72" s="155"/>
      <c r="D72" s="156"/>
      <c r="E72" s="234"/>
      <c r="F72" s="13"/>
      <c r="G72" s="234"/>
      <c r="H72" s="13"/>
      <c r="I72" s="234"/>
      <c r="J72" s="13"/>
      <c r="K72" s="234"/>
      <c r="L72" s="13"/>
      <c r="M72" s="234"/>
      <c r="N72" s="13"/>
      <c r="O72" s="234"/>
      <c r="P72" s="13"/>
      <c r="Q72" s="234"/>
      <c r="R72" s="13"/>
      <c r="S72" s="234"/>
      <c r="T72" s="13"/>
      <c r="U72" s="234"/>
      <c r="V72" s="13"/>
      <c r="W72" s="234"/>
      <c r="X72" s="13"/>
      <c r="Y72" s="234"/>
      <c r="Z72" s="13"/>
      <c r="AA72" s="234"/>
      <c r="AB72" s="13"/>
      <c r="AC72" s="139"/>
      <c r="AD72" s="237">
        <f t="shared" si="22"/>
        <v>0</v>
      </c>
      <c r="AE72" s="195">
        <f t="shared" si="23"/>
        <v>0</v>
      </c>
      <c r="AF72" s="134"/>
    </row>
    <row r="73" spans="2:36" s="129" customFormat="1" ht="15" customHeight="1" x14ac:dyDescent="0.3">
      <c r="B73" s="135"/>
      <c r="C73" s="155"/>
      <c r="D73" s="156"/>
      <c r="E73" s="234"/>
      <c r="F73" s="13"/>
      <c r="G73" s="234"/>
      <c r="H73" s="13"/>
      <c r="I73" s="234"/>
      <c r="J73" s="13"/>
      <c r="K73" s="234"/>
      <c r="L73" s="13"/>
      <c r="M73" s="234"/>
      <c r="N73" s="13"/>
      <c r="O73" s="234"/>
      <c r="P73" s="13"/>
      <c r="Q73" s="234"/>
      <c r="R73" s="13"/>
      <c r="S73" s="234"/>
      <c r="T73" s="13"/>
      <c r="U73" s="234"/>
      <c r="V73" s="13"/>
      <c r="W73" s="234"/>
      <c r="X73" s="13"/>
      <c r="Y73" s="234"/>
      <c r="Z73" s="13"/>
      <c r="AA73" s="234"/>
      <c r="AB73" s="13"/>
      <c r="AC73" s="139"/>
      <c r="AD73" s="237">
        <f t="shared" si="22"/>
        <v>0</v>
      </c>
      <c r="AE73" s="195">
        <f t="shared" si="23"/>
        <v>0</v>
      </c>
      <c r="AF73" s="134"/>
    </row>
    <row r="74" spans="2:36" s="129" customFormat="1" ht="15" customHeight="1" x14ac:dyDescent="0.3">
      <c r="B74" s="135"/>
      <c r="C74" s="155"/>
      <c r="D74" s="156"/>
      <c r="E74" s="234"/>
      <c r="F74" s="13"/>
      <c r="G74" s="234"/>
      <c r="H74" s="13"/>
      <c r="I74" s="234"/>
      <c r="J74" s="13"/>
      <c r="K74" s="234"/>
      <c r="L74" s="13"/>
      <c r="M74" s="234"/>
      <c r="N74" s="13"/>
      <c r="O74" s="234"/>
      <c r="P74" s="13"/>
      <c r="Q74" s="234"/>
      <c r="R74" s="13"/>
      <c r="S74" s="234"/>
      <c r="T74" s="13"/>
      <c r="U74" s="234"/>
      <c r="V74" s="13"/>
      <c r="W74" s="234"/>
      <c r="X74" s="13"/>
      <c r="Y74" s="234"/>
      <c r="Z74" s="13"/>
      <c r="AA74" s="234"/>
      <c r="AB74" s="13"/>
      <c r="AC74" s="139"/>
      <c r="AD74" s="236">
        <f t="shared" si="22"/>
        <v>0</v>
      </c>
      <c r="AE74" s="196">
        <f t="shared" si="23"/>
        <v>0</v>
      </c>
      <c r="AF74" s="134"/>
    </row>
    <row r="75" spans="2:36" s="129" customFormat="1" ht="15" customHeight="1" x14ac:dyDescent="0.3">
      <c r="B75" s="135"/>
      <c r="C75" s="155"/>
      <c r="D75" s="156"/>
      <c r="E75" s="234"/>
      <c r="F75" s="13"/>
      <c r="G75" s="234"/>
      <c r="H75" s="13"/>
      <c r="I75" s="234"/>
      <c r="J75" s="13"/>
      <c r="K75" s="234"/>
      <c r="L75" s="13"/>
      <c r="M75" s="234"/>
      <c r="N75" s="13"/>
      <c r="O75" s="234"/>
      <c r="P75" s="13"/>
      <c r="Q75" s="234"/>
      <c r="R75" s="13"/>
      <c r="S75" s="234"/>
      <c r="T75" s="13"/>
      <c r="U75" s="234"/>
      <c r="V75" s="13"/>
      <c r="W75" s="234"/>
      <c r="X75" s="13"/>
      <c r="Y75" s="234"/>
      <c r="Z75" s="13"/>
      <c r="AA75" s="234"/>
      <c r="AB75" s="13"/>
      <c r="AC75" s="139"/>
      <c r="AD75" s="236">
        <f t="shared" si="22"/>
        <v>0</v>
      </c>
      <c r="AE75" s="196">
        <f t="shared" si="23"/>
        <v>0</v>
      </c>
      <c r="AF75" s="134"/>
    </row>
    <row r="76" spans="2:36" s="129" customFormat="1" ht="15" customHeight="1" x14ac:dyDescent="0.3">
      <c r="B76" s="135"/>
      <c r="C76" s="155"/>
      <c r="D76" s="156"/>
      <c r="E76" s="234"/>
      <c r="F76" s="13"/>
      <c r="G76" s="234"/>
      <c r="H76" s="13"/>
      <c r="I76" s="234"/>
      <c r="J76" s="13"/>
      <c r="K76" s="234"/>
      <c r="L76" s="13"/>
      <c r="M76" s="234"/>
      <c r="N76" s="13"/>
      <c r="O76" s="234"/>
      <c r="P76" s="13"/>
      <c r="Q76" s="234"/>
      <c r="R76" s="13"/>
      <c r="S76" s="234"/>
      <c r="T76" s="13"/>
      <c r="U76" s="234"/>
      <c r="V76" s="13"/>
      <c r="W76" s="234"/>
      <c r="X76" s="13"/>
      <c r="Y76" s="234"/>
      <c r="Z76" s="13"/>
      <c r="AA76" s="234"/>
      <c r="AB76" s="13"/>
      <c r="AC76" s="139"/>
      <c r="AD76" s="236">
        <f t="shared" si="22"/>
        <v>0</v>
      </c>
      <c r="AE76" s="196">
        <f t="shared" si="23"/>
        <v>0</v>
      </c>
      <c r="AF76" s="134"/>
    </row>
    <row r="77" spans="2:36" s="129" customFormat="1" ht="15" customHeight="1" x14ac:dyDescent="0.3">
      <c r="B77" s="135"/>
      <c r="C77" s="155"/>
      <c r="D77" s="156"/>
      <c r="E77" s="234"/>
      <c r="F77" s="13"/>
      <c r="G77" s="234"/>
      <c r="H77" s="13"/>
      <c r="I77" s="234"/>
      <c r="J77" s="13"/>
      <c r="K77" s="234"/>
      <c r="L77" s="13"/>
      <c r="M77" s="234"/>
      <c r="N77" s="13"/>
      <c r="O77" s="234"/>
      <c r="P77" s="13"/>
      <c r="Q77" s="234"/>
      <c r="R77" s="13"/>
      <c r="S77" s="234"/>
      <c r="T77" s="13"/>
      <c r="U77" s="234"/>
      <c r="V77" s="13"/>
      <c r="W77" s="234"/>
      <c r="X77" s="13"/>
      <c r="Y77" s="234"/>
      <c r="Z77" s="13"/>
      <c r="AA77" s="234"/>
      <c r="AB77" s="13"/>
      <c r="AC77" s="139"/>
      <c r="AD77" s="236">
        <f t="shared" si="22"/>
        <v>0</v>
      </c>
      <c r="AE77" s="196">
        <f t="shared" si="23"/>
        <v>0</v>
      </c>
      <c r="AF77" s="134"/>
    </row>
    <row r="78" spans="2:36" s="129" customFormat="1" ht="15" customHeight="1" x14ac:dyDescent="0.3">
      <c r="B78" s="135"/>
      <c r="C78" s="155"/>
      <c r="D78" s="156"/>
      <c r="E78" s="234"/>
      <c r="F78" s="13"/>
      <c r="G78" s="234"/>
      <c r="H78" s="13"/>
      <c r="I78" s="234"/>
      <c r="J78" s="13"/>
      <c r="K78" s="234"/>
      <c r="L78" s="13"/>
      <c r="M78" s="234"/>
      <c r="N78" s="13"/>
      <c r="O78" s="234"/>
      <c r="P78" s="13"/>
      <c r="Q78" s="234"/>
      <c r="R78" s="13"/>
      <c r="S78" s="234"/>
      <c r="T78" s="13"/>
      <c r="U78" s="234"/>
      <c r="V78" s="13"/>
      <c r="W78" s="234"/>
      <c r="X78" s="13"/>
      <c r="Y78" s="234"/>
      <c r="Z78" s="13"/>
      <c r="AA78" s="234"/>
      <c r="AB78" s="13"/>
      <c r="AC78" s="139"/>
      <c r="AD78" s="236">
        <f t="shared" si="22"/>
        <v>0</v>
      </c>
      <c r="AE78" s="196">
        <f t="shared" si="23"/>
        <v>0</v>
      </c>
      <c r="AF78" s="134"/>
    </row>
    <row r="79" spans="2:36" s="129" customFormat="1" ht="15" customHeight="1" x14ac:dyDescent="0.3">
      <c r="B79" s="135"/>
      <c r="C79" s="155"/>
      <c r="D79" s="156"/>
      <c r="E79" s="234"/>
      <c r="F79" s="13"/>
      <c r="G79" s="234"/>
      <c r="H79" s="13"/>
      <c r="I79" s="234"/>
      <c r="J79" s="13"/>
      <c r="K79" s="234"/>
      <c r="L79" s="13"/>
      <c r="M79" s="234"/>
      <c r="N79" s="13"/>
      <c r="O79" s="234"/>
      <c r="P79" s="13"/>
      <c r="Q79" s="234"/>
      <c r="R79" s="13"/>
      <c r="S79" s="234"/>
      <c r="T79" s="13"/>
      <c r="U79" s="234"/>
      <c r="V79" s="13"/>
      <c r="W79" s="234"/>
      <c r="X79" s="13"/>
      <c r="Y79" s="234"/>
      <c r="Z79" s="13"/>
      <c r="AA79" s="234"/>
      <c r="AB79" s="13"/>
      <c r="AC79" s="139"/>
      <c r="AD79" s="236">
        <f t="shared" si="22"/>
        <v>0</v>
      </c>
      <c r="AE79" s="196">
        <f t="shared" si="23"/>
        <v>0</v>
      </c>
      <c r="AF79" s="134"/>
    </row>
    <row r="80" spans="2:36" s="129" customFormat="1" ht="15" customHeight="1" x14ac:dyDescent="0.3">
      <c r="B80" s="135"/>
      <c r="C80" s="155"/>
      <c r="D80" s="156"/>
      <c r="E80" s="234"/>
      <c r="F80" s="13"/>
      <c r="G80" s="234"/>
      <c r="H80" s="13"/>
      <c r="I80" s="234"/>
      <c r="J80" s="13"/>
      <c r="K80" s="234"/>
      <c r="L80" s="13"/>
      <c r="M80" s="234"/>
      <c r="N80" s="13"/>
      <c r="O80" s="234"/>
      <c r="P80" s="13"/>
      <c r="Q80" s="234"/>
      <c r="R80" s="13"/>
      <c r="S80" s="234"/>
      <c r="T80" s="13"/>
      <c r="U80" s="234"/>
      <c r="V80" s="13"/>
      <c r="W80" s="234"/>
      <c r="X80" s="13"/>
      <c r="Y80" s="234"/>
      <c r="Z80" s="13"/>
      <c r="AA80" s="234"/>
      <c r="AB80" s="13"/>
      <c r="AC80" s="139"/>
      <c r="AD80" s="236">
        <f t="shared" si="22"/>
        <v>0</v>
      </c>
      <c r="AE80" s="196">
        <f t="shared" si="23"/>
        <v>0</v>
      </c>
      <c r="AF80" s="134"/>
      <c r="AJ80" s="157"/>
    </row>
    <row r="81" spans="2:32" s="129" customFormat="1" ht="15" customHeight="1" x14ac:dyDescent="0.3">
      <c r="B81" s="135"/>
      <c r="C81" s="155"/>
      <c r="D81" s="156"/>
      <c r="E81" s="234"/>
      <c r="F81" s="13"/>
      <c r="G81" s="234"/>
      <c r="H81" s="13"/>
      <c r="I81" s="234"/>
      <c r="J81" s="13"/>
      <c r="K81" s="234"/>
      <c r="L81" s="13"/>
      <c r="M81" s="234"/>
      <c r="N81" s="13"/>
      <c r="O81" s="234"/>
      <c r="P81" s="13"/>
      <c r="Q81" s="234"/>
      <c r="R81" s="13"/>
      <c r="S81" s="234"/>
      <c r="T81" s="13"/>
      <c r="U81" s="234"/>
      <c r="V81" s="13"/>
      <c r="W81" s="234"/>
      <c r="X81" s="13"/>
      <c r="Y81" s="234"/>
      <c r="Z81" s="13"/>
      <c r="AA81" s="234"/>
      <c r="AB81" s="13"/>
      <c r="AC81" s="139"/>
      <c r="AD81" s="236">
        <f t="shared" si="22"/>
        <v>0</v>
      </c>
      <c r="AE81" s="196">
        <f t="shared" si="23"/>
        <v>0</v>
      </c>
      <c r="AF81" s="134"/>
    </row>
    <row r="82" spans="2:32" s="129" customFormat="1" ht="15" customHeight="1" collapsed="1" x14ac:dyDescent="0.3">
      <c r="B82" s="135"/>
      <c r="C82" s="158"/>
      <c r="D82" s="159"/>
      <c r="E82" s="235"/>
      <c r="F82" s="14"/>
      <c r="G82" s="235"/>
      <c r="H82" s="14"/>
      <c r="I82" s="235"/>
      <c r="J82" s="14"/>
      <c r="K82" s="235"/>
      <c r="L82" s="14"/>
      <c r="M82" s="235"/>
      <c r="N82" s="14"/>
      <c r="O82" s="235"/>
      <c r="P82" s="14"/>
      <c r="Q82" s="235"/>
      <c r="R82" s="14"/>
      <c r="S82" s="235"/>
      <c r="T82" s="14"/>
      <c r="U82" s="235"/>
      <c r="V82" s="14"/>
      <c r="W82" s="235"/>
      <c r="X82" s="14"/>
      <c r="Y82" s="235"/>
      <c r="Z82" s="14"/>
      <c r="AA82" s="235"/>
      <c r="AB82" s="14"/>
      <c r="AC82" s="139"/>
      <c r="AD82" s="238">
        <f t="shared" ref="AD82" si="24">IFERROR(SUM(E82,G82,I82,K82,M82,O82,Q82,S82,U82,W82,Y82,AA82),0)</f>
        <v>0</v>
      </c>
      <c r="AE82" s="197">
        <f t="shared" ref="AE82" si="25">IFERROR(SUM(F82,H82,J82,L82,N82,P82,R82,T82,V82,X82,Z82,AB82),0)</f>
        <v>0</v>
      </c>
      <c r="AF82" s="134"/>
    </row>
    <row r="83" spans="2:32" s="129" customFormat="1" ht="15" customHeight="1" x14ac:dyDescent="0.3">
      <c r="B83" s="132"/>
      <c r="C83" s="136"/>
      <c r="D83" s="133"/>
      <c r="AF83" s="134"/>
    </row>
    <row r="84" spans="2:32" s="2" customFormat="1" ht="15" customHeight="1" x14ac:dyDescent="0.3">
      <c r="B84" s="185"/>
      <c r="C84" s="359" t="s">
        <v>118</v>
      </c>
      <c r="D84" s="359"/>
      <c r="E84" s="359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  <c r="AA84" s="359"/>
      <c r="AB84" s="359"/>
      <c r="AC84" s="359"/>
      <c r="AD84" s="359"/>
      <c r="AE84" s="360"/>
      <c r="AF84" s="4"/>
    </row>
    <row r="85" spans="2:32" s="2" customFormat="1" ht="15" customHeight="1" x14ac:dyDescent="0.3">
      <c r="B85" s="185"/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  <c r="AC85" s="362"/>
      <c r="AD85" s="362"/>
      <c r="AE85" s="363"/>
      <c r="AF85" s="4"/>
    </row>
    <row r="86" spans="2:32" s="2" customFormat="1" ht="15" customHeight="1" x14ac:dyDescent="0.3">
      <c r="B86" s="185"/>
      <c r="C86" s="388" t="s">
        <v>128</v>
      </c>
      <c r="D86" s="389" t="s">
        <v>20</v>
      </c>
      <c r="E86" s="367" t="s">
        <v>5</v>
      </c>
      <c r="F86" s="368"/>
      <c r="G86" s="367" t="s">
        <v>6</v>
      </c>
      <c r="H86" s="368"/>
      <c r="I86" s="367" t="s">
        <v>7</v>
      </c>
      <c r="J86" s="368"/>
      <c r="K86" s="367" t="s">
        <v>8</v>
      </c>
      <c r="L86" s="368"/>
      <c r="M86" s="367" t="s">
        <v>9</v>
      </c>
      <c r="N86" s="368"/>
      <c r="O86" s="367" t="s">
        <v>10</v>
      </c>
      <c r="P86" s="368"/>
      <c r="Q86" s="367" t="s">
        <v>11</v>
      </c>
      <c r="R86" s="368"/>
      <c r="S86" s="367" t="s">
        <v>12</v>
      </c>
      <c r="T86" s="368"/>
      <c r="U86" s="367" t="s">
        <v>13</v>
      </c>
      <c r="V86" s="368"/>
      <c r="W86" s="367" t="s">
        <v>14</v>
      </c>
      <c r="X86" s="368"/>
      <c r="Y86" s="367" t="s">
        <v>15</v>
      </c>
      <c r="Z86" s="368"/>
      <c r="AA86" s="367" t="s">
        <v>16</v>
      </c>
      <c r="AB86" s="368"/>
      <c r="AC86" s="186"/>
      <c r="AD86" s="367" t="s">
        <v>17</v>
      </c>
      <c r="AE86" s="368"/>
      <c r="AF86" s="4"/>
    </row>
    <row r="87" spans="2:32" s="2" customFormat="1" ht="15" customHeight="1" x14ac:dyDescent="0.3">
      <c r="B87" s="185"/>
      <c r="C87" s="388"/>
      <c r="D87" s="389"/>
      <c r="E87" s="232" t="s">
        <v>18</v>
      </c>
      <c r="F87" s="233" t="s">
        <v>19</v>
      </c>
      <c r="G87" s="232" t="s">
        <v>18</v>
      </c>
      <c r="H87" s="233" t="s">
        <v>19</v>
      </c>
      <c r="I87" s="232" t="s">
        <v>18</v>
      </c>
      <c r="J87" s="233" t="s">
        <v>19</v>
      </c>
      <c r="K87" s="232" t="s">
        <v>18</v>
      </c>
      <c r="L87" s="233" t="s">
        <v>19</v>
      </c>
      <c r="M87" s="232" t="s">
        <v>18</v>
      </c>
      <c r="N87" s="233" t="s">
        <v>19</v>
      </c>
      <c r="O87" s="232" t="s">
        <v>18</v>
      </c>
      <c r="P87" s="233" t="s">
        <v>19</v>
      </c>
      <c r="Q87" s="232" t="s">
        <v>18</v>
      </c>
      <c r="R87" s="233" t="s">
        <v>19</v>
      </c>
      <c r="S87" s="232" t="s">
        <v>18</v>
      </c>
      <c r="T87" s="233" t="s">
        <v>19</v>
      </c>
      <c r="U87" s="232" t="s">
        <v>18</v>
      </c>
      <c r="V87" s="233" t="s">
        <v>19</v>
      </c>
      <c r="W87" s="232" t="s">
        <v>18</v>
      </c>
      <c r="X87" s="233" t="s">
        <v>19</v>
      </c>
      <c r="Y87" s="232" t="s">
        <v>18</v>
      </c>
      <c r="Z87" s="233" t="s">
        <v>19</v>
      </c>
      <c r="AA87" s="232" t="s">
        <v>18</v>
      </c>
      <c r="AB87" s="233" t="s">
        <v>19</v>
      </c>
      <c r="AC87" s="187"/>
      <c r="AD87" s="232" t="s">
        <v>18</v>
      </c>
      <c r="AE87" s="233" t="s">
        <v>19</v>
      </c>
      <c r="AF87" s="4"/>
    </row>
    <row r="88" spans="2:32" s="2" customFormat="1" ht="15" customHeight="1" x14ac:dyDescent="0.3">
      <c r="B88" s="185"/>
      <c r="C88" s="388"/>
      <c r="D88" s="389"/>
      <c r="E88" s="188">
        <f t="shared" ref="E88:AB88" si="26">IFERROR(SUM(E89:E108),0)</f>
        <v>0</v>
      </c>
      <c r="F88" s="189">
        <f t="shared" si="26"/>
        <v>0</v>
      </c>
      <c r="G88" s="188">
        <f t="shared" si="26"/>
        <v>0</v>
      </c>
      <c r="H88" s="189">
        <f t="shared" si="26"/>
        <v>0</v>
      </c>
      <c r="I88" s="188">
        <f t="shared" si="26"/>
        <v>0</v>
      </c>
      <c r="J88" s="189">
        <f t="shared" si="26"/>
        <v>0</v>
      </c>
      <c r="K88" s="188">
        <f t="shared" si="26"/>
        <v>0</v>
      </c>
      <c r="L88" s="189">
        <f t="shared" si="26"/>
        <v>0</v>
      </c>
      <c r="M88" s="188">
        <f t="shared" si="26"/>
        <v>0</v>
      </c>
      <c r="N88" s="189">
        <f t="shared" si="26"/>
        <v>0</v>
      </c>
      <c r="O88" s="188">
        <f t="shared" si="26"/>
        <v>0</v>
      </c>
      <c r="P88" s="189">
        <f t="shared" si="26"/>
        <v>0</v>
      </c>
      <c r="Q88" s="188">
        <f t="shared" si="26"/>
        <v>0</v>
      </c>
      <c r="R88" s="189">
        <f t="shared" si="26"/>
        <v>0</v>
      </c>
      <c r="S88" s="188">
        <f t="shared" si="26"/>
        <v>0</v>
      </c>
      <c r="T88" s="189">
        <f t="shared" si="26"/>
        <v>0</v>
      </c>
      <c r="U88" s="188">
        <f t="shared" si="26"/>
        <v>0</v>
      </c>
      <c r="V88" s="189">
        <f t="shared" si="26"/>
        <v>0</v>
      </c>
      <c r="W88" s="188">
        <f t="shared" si="26"/>
        <v>0</v>
      </c>
      <c r="X88" s="189">
        <f t="shared" si="26"/>
        <v>0</v>
      </c>
      <c r="Y88" s="188">
        <f t="shared" si="26"/>
        <v>0</v>
      </c>
      <c r="Z88" s="189">
        <f t="shared" si="26"/>
        <v>0</v>
      </c>
      <c r="AA88" s="188">
        <f t="shared" si="26"/>
        <v>0</v>
      </c>
      <c r="AB88" s="189">
        <f t="shared" si="26"/>
        <v>0</v>
      </c>
      <c r="AC88" s="192"/>
      <c r="AD88" s="188">
        <f>IFERROR(SUM(AD89:AD108),0)</f>
        <v>0</v>
      </c>
      <c r="AE88" s="189">
        <f>IFERROR(SUM(AE89:AE108),0)</f>
        <v>0</v>
      </c>
      <c r="AF88" s="4"/>
    </row>
    <row r="89" spans="2:32" s="129" customFormat="1" ht="15" customHeight="1" x14ac:dyDescent="0.3">
      <c r="B89" s="135"/>
      <c r="C89" s="155"/>
      <c r="D89" s="160"/>
      <c r="E89" s="240"/>
      <c r="F89" s="12"/>
      <c r="G89" s="240"/>
      <c r="H89" s="12"/>
      <c r="I89" s="240"/>
      <c r="J89" s="12"/>
      <c r="K89" s="240"/>
      <c r="L89" s="12"/>
      <c r="M89" s="240"/>
      <c r="N89" s="12"/>
      <c r="O89" s="240"/>
      <c r="P89" s="12"/>
      <c r="Q89" s="240"/>
      <c r="R89" s="12"/>
      <c r="S89" s="240"/>
      <c r="T89" s="12"/>
      <c r="U89" s="240"/>
      <c r="V89" s="12"/>
      <c r="W89" s="240"/>
      <c r="X89" s="12"/>
      <c r="Y89" s="240"/>
      <c r="Z89" s="12"/>
      <c r="AA89" s="240"/>
      <c r="AB89" s="12"/>
      <c r="AC89" s="139"/>
      <c r="AD89" s="239">
        <f>IFERROR(SUM(E89,G89,I89,K89,M89,O89,Q89,S89,U89,W89,Y89,AA89),0)</f>
        <v>0</v>
      </c>
      <c r="AE89" s="194">
        <f>IFERROR(SUM(F89,H89,J89,L89,N89,P89,R89,T89,V89,X89,Z89,AB89),0)</f>
        <v>0</v>
      </c>
      <c r="AF89" s="134"/>
    </row>
    <row r="90" spans="2:32" s="129" customFormat="1" ht="15" customHeight="1" x14ac:dyDescent="0.3">
      <c r="B90" s="135"/>
      <c r="C90" s="155"/>
      <c r="D90" s="156"/>
      <c r="E90" s="234"/>
      <c r="F90" s="13"/>
      <c r="G90" s="234"/>
      <c r="H90" s="13"/>
      <c r="I90" s="234"/>
      <c r="J90" s="13"/>
      <c r="K90" s="234"/>
      <c r="L90" s="13"/>
      <c r="M90" s="234"/>
      <c r="N90" s="13"/>
      <c r="O90" s="234"/>
      <c r="P90" s="13"/>
      <c r="Q90" s="234"/>
      <c r="R90" s="13"/>
      <c r="S90" s="234"/>
      <c r="T90" s="13"/>
      <c r="U90" s="234"/>
      <c r="V90" s="13"/>
      <c r="W90" s="234"/>
      <c r="X90" s="13"/>
      <c r="Y90" s="234"/>
      <c r="Z90" s="13"/>
      <c r="AA90" s="234"/>
      <c r="AB90" s="13"/>
      <c r="AC90" s="139"/>
      <c r="AD90" s="237">
        <f t="shared" ref="AD90:AD92" si="27">IFERROR(SUM(E90,G90,I90,K90,M90,O90,Q90,S90,U90,W90,Y90,AA90),0)</f>
        <v>0</v>
      </c>
      <c r="AE90" s="195">
        <f t="shared" ref="AE90:AE93" si="28">IFERROR(SUM(F90,H90,J90,L90,N90,P90,R90,T90,V90,X90,Z90,AB90),0)</f>
        <v>0</v>
      </c>
      <c r="AF90" s="134"/>
    </row>
    <row r="91" spans="2:32" s="129" customFormat="1" ht="15" customHeight="1" x14ac:dyDescent="0.3">
      <c r="B91" s="135"/>
      <c r="C91" s="155"/>
      <c r="D91" s="156"/>
      <c r="E91" s="234"/>
      <c r="F91" s="13"/>
      <c r="G91" s="234"/>
      <c r="H91" s="13"/>
      <c r="I91" s="234"/>
      <c r="J91" s="13"/>
      <c r="K91" s="234"/>
      <c r="L91" s="13"/>
      <c r="M91" s="234"/>
      <c r="N91" s="13"/>
      <c r="O91" s="234"/>
      <c r="P91" s="13"/>
      <c r="Q91" s="234"/>
      <c r="R91" s="13"/>
      <c r="S91" s="234"/>
      <c r="T91" s="13"/>
      <c r="U91" s="234"/>
      <c r="V91" s="13"/>
      <c r="W91" s="234"/>
      <c r="X91" s="13"/>
      <c r="Y91" s="234"/>
      <c r="Z91" s="13"/>
      <c r="AA91" s="234"/>
      <c r="AB91" s="13"/>
      <c r="AC91" s="139"/>
      <c r="AD91" s="237">
        <f t="shared" si="27"/>
        <v>0</v>
      </c>
      <c r="AE91" s="195">
        <f t="shared" si="28"/>
        <v>0</v>
      </c>
      <c r="AF91" s="134"/>
    </row>
    <row r="92" spans="2:32" s="129" customFormat="1" ht="15" customHeight="1" x14ac:dyDescent="0.3">
      <c r="B92" s="135"/>
      <c r="C92" s="155"/>
      <c r="D92" s="156"/>
      <c r="E92" s="234"/>
      <c r="F92" s="13"/>
      <c r="G92" s="234"/>
      <c r="H92" s="13"/>
      <c r="I92" s="234"/>
      <c r="J92" s="13"/>
      <c r="K92" s="234"/>
      <c r="L92" s="13"/>
      <c r="M92" s="234"/>
      <c r="N92" s="13"/>
      <c r="O92" s="234"/>
      <c r="P92" s="13"/>
      <c r="Q92" s="234"/>
      <c r="R92" s="13"/>
      <c r="S92" s="234"/>
      <c r="T92" s="13"/>
      <c r="U92" s="234"/>
      <c r="V92" s="13"/>
      <c r="W92" s="234"/>
      <c r="X92" s="13"/>
      <c r="Y92" s="234"/>
      <c r="Z92" s="13"/>
      <c r="AA92" s="234"/>
      <c r="AB92" s="13"/>
      <c r="AC92" s="139"/>
      <c r="AD92" s="237">
        <f t="shared" si="27"/>
        <v>0</v>
      </c>
      <c r="AE92" s="195">
        <f t="shared" si="28"/>
        <v>0</v>
      </c>
      <c r="AF92" s="134"/>
    </row>
    <row r="93" spans="2:32" s="129" customFormat="1" ht="15" customHeight="1" x14ac:dyDescent="0.3">
      <c r="B93" s="135"/>
      <c r="C93" s="155"/>
      <c r="D93" s="156"/>
      <c r="E93" s="234"/>
      <c r="F93" s="13"/>
      <c r="G93" s="234"/>
      <c r="H93" s="13"/>
      <c r="I93" s="234"/>
      <c r="J93" s="13"/>
      <c r="K93" s="234"/>
      <c r="L93" s="13"/>
      <c r="M93" s="234"/>
      <c r="N93" s="13"/>
      <c r="O93" s="234"/>
      <c r="P93" s="13"/>
      <c r="Q93" s="234"/>
      <c r="R93" s="13"/>
      <c r="S93" s="234"/>
      <c r="T93" s="13"/>
      <c r="U93" s="234"/>
      <c r="V93" s="13"/>
      <c r="W93" s="234"/>
      <c r="X93" s="13"/>
      <c r="Y93" s="234"/>
      <c r="Z93" s="13"/>
      <c r="AA93" s="234"/>
      <c r="AB93" s="13"/>
      <c r="AC93" s="139"/>
      <c r="AD93" s="237">
        <f>IFERROR(SUM(E93,G93,I93,K93,M93,O93,Q93,S93,U93,W93,Y93,AA93),0)</f>
        <v>0</v>
      </c>
      <c r="AE93" s="195">
        <f t="shared" si="28"/>
        <v>0</v>
      </c>
      <c r="AF93" s="134"/>
    </row>
    <row r="94" spans="2:32" s="129" customFormat="1" ht="15" customHeight="1" x14ac:dyDescent="0.3">
      <c r="B94" s="135"/>
      <c r="C94" s="155"/>
      <c r="D94" s="156"/>
      <c r="E94" s="234"/>
      <c r="F94" s="13"/>
      <c r="G94" s="234"/>
      <c r="H94" s="13"/>
      <c r="I94" s="234"/>
      <c r="J94" s="13"/>
      <c r="K94" s="234"/>
      <c r="L94" s="13"/>
      <c r="M94" s="234"/>
      <c r="N94" s="13"/>
      <c r="O94" s="234"/>
      <c r="P94" s="13"/>
      <c r="Q94" s="234"/>
      <c r="R94" s="13"/>
      <c r="S94" s="234"/>
      <c r="T94" s="13"/>
      <c r="U94" s="234"/>
      <c r="V94" s="13"/>
      <c r="W94" s="234"/>
      <c r="X94" s="13"/>
      <c r="Y94" s="234"/>
      <c r="Z94" s="13"/>
      <c r="AA94" s="234"/>
      <c r="AB94" s="13"/>
      <c r="AC94" s="139"/>
      <c r="AD94" s="237">
        <f t="shared" ref="AD94:AD100" si="29">IFERROR(SUM(E94,G94,I94,K94,M94,O94,Q94,S94,U94,W94,Y94,AA94),0)</f>
        <v>0</v>
      </c>
      <c r="AE94" s="195">
        <f t="shared" ref="AE94:AE102" si="30">IFERROR(SUM(F94,H94,J94,L94,N94,P94,R94,T94,V94,X94,Z94,AB94),0)</f>
        <v>0</v>
      </c>
      <c r="AF94" s="134"/>
    </row>
    <row r="95" spans="2:32" s="129" customFormat="1" ht="15" customHeight="1" x14ac:dyDescent="0.3">
      <c r="B95" s="135"/>
      <c r="C95" s="155"/>
      <c r="D95" s="156"/>
      <c r="E95" s="234"/>
      <c r="F95" s="13"/>
      <c r="G95" s="234"/>
      <c r="H95" s="13"/>
      <c r="I95" s="234"/>
      <c r="J95" s="13"/>
      <c r="K95" s="234"/>
      <c r="L95" s="13"/>
      <c r="M95" s="234"/>
      <c r="N95" s="13"/>
      <c r="O95" s="234"/>
      <c r="P95" s="13"/>
      <c r="Q95" s="234"/>
      <c r="R95" s="13"/>
      <c r="S95" s="234"/>
      <c r="T95" s="13"/>
      <c r="U95" s="234"/>
      <c r="V95" s="13"/>
      <c r="W95" s="234"/>
      <c r="X95" s="13"/>
      <c r="Y95" s="234"/>
      <c r="Z95" s="13"/>
      <c r="AA95" s="234"/>
      <c r="AB95" s="13"/>
      <c r="AC95" s="139"/>
      <c r="AD95" s="237">
        <f t="shared" si="29"/>
        <v>0</v>
      </c>
      <c r="AE95" s="195">
        <f t="shared" si="30"/>
        <v>0</v>
      </c>
      <c r="AF95" s="134"/>
    </row>
    <row r="96" spans="2:32" s="129" customFormat="1" ht="15" customHeight="1" x14ac:dyDescent="0.3">
      <c r="B96" s="135"/>
      <c r="C96" s="155"/>
      <c r="D96" s="156"/>
      <c r="E96" s="234"/>
      <c r="F96" s="13"/>
      <c r="G96" s="234"/>
      <c r="H96" s="13"/>
      <c r="I96" s="234"/>
      <c r="J96" s="13"/>
      <c r="K96" s="234"/>
      <c r="L96" s="13"/>
      <c r="M96" s="234"/>
      <c r="N96" s="13"/>
      <c r="O96" s="234"/>
      <c r="P96" s="13"/>
      <c r="Q96" s="234"/>
      <c r="R96" s="13"/>
      <c r="S96" s="234"/>
      <c r="T96" s="13"/>
      <c r="U96" s="234"/>
      <c r="V96" s="13"/>
      <c r="W96" s="234"/>
      <c r="X96" s="13"/>
      <c r="Y96" s="234"/>
      <c r="Z96" s="13"/>
      <c r="AA96" s="234"/>
      <c r="AB96" s="13"/>
      <c r="AC96" s="139"/>
      <c r="AD96" s="237">
        <f t="shared" si="29"/>
        <v>0</v>
      </c>
      <c r="AE96" s="195">
        <f t="shared" si="30"/>
        <v>0</v>
      </c>
      <c r="AF96" s="134"/>
    </row>
    <row r="97" spans="2:32" s="129" customFormat="1" ht="15" customHeight="1" x14ac:dyDescent="0.3">
      <c r="B97" s="135"/>
      <c r="C97" s="155"/>
      <c r="D97" s="156"/>
      <c r="E97" s="234"/>
      <c r="F97" s="13"/>
      <c r="G97" s="234"/>
      <c r="H97" s="13"/>
      <c r="I97" s="234"/>
      <c r="J97" s="13"/>
      <c r="K97" s="234"/>
      <c r="L97" s="13"/>
      <c r="M97" s="234"/>
      <c r="N97" s="13"/>
      <c r="O97" s="234"/>
      <c r="P97" s="13"/>
      <c r="Q97" s="234"/>
      <c r="R97" s="13"/>
      <c r="S97" s="234"/>
      <c r="T97" s="13"/>
      <c r="U97" s="234"/>
      <c r="V97" s="13"/>
      <c r="W97" s="234"/>
      <c r="X97" s="13"/>
      <c r="Y97" s="234"/>
      <c r="Z97" s="13"/>
      <c r="AA97" s="234"/>
      <c r="AB97" s="13"/>
      <c r="AC97" s="139"/>
      <c r="AD97" s="237">
        <f t="shared" si="29"/>
        <v>0</v>
      </c>
      <c r="AE97" s="195">
        <f t="shared" si="30"/>
        <v>0</v>
      </c>
      <c r="AF97" s="134"/>
    </row>
    <row r="98" spans="2:32" s="129" customFormat="1" ht="15" customHeight="1" x14ac:dyDescent="0.3">
      <c r="B98" s="135"/>
      <c r="C98" s="155"/>
      <c r="D98" s="156"/>
      <c r="E98" s="234"/>
      <c r="F98" s="13"/>
      <c r="G98" s="234"/>
      <c r="H98" s="13"/>
      <c r="I98" s="234"/>
      <c r="J98" s="13"/>
      <c r="K98" s="234"/>
      <c r="L98" s="13"/>
      <c r="M98" s="234"/>
      <c r="N98" s="13"/>
      <c r="O98" s="234"/>
      <c r="P98" s="13"/>
      <c r="Q98" s="234"/>
      <c r="R98" s="13"/>
      <c r="S98" s="234"/>
      <c r="T98" s="13"/>
      <c r="U98" s="234"/>
      <c r="V98" s="13"/>
      <c r="W98" s="234"/>
      <c r="X98" s="13"/>
      <c r="Y98" s="234"/>
      <c r="Z98" s="13"/>
      <c r="AA98" s="234"/>
      <c r="AB98" s="13"/>
      <c r="AC98" s="139"/>
      <c r="AD98" s="237">
        <f t="shared" si="29"/>
        <v>0</v>
      </c>
      <c r="AE98" s="195">
        <f t="shared" si="30"/>
        <v>0</v>
      </c>
      <c r="AF98" s="134"/>
    </row>
    <row r="99" spans="2:32" s="129" customFormat="1" ht="15" customHeight="1" x14ac:dyDescent="0.3">
      <c r="B99" s="135"/>
      <c r="C99" s="155"/>
      <c r="D99" s="156"/>
      <c r="E99" s="234"/>
      <c r="F99" s="13"/>
      <c r="G99" s="234"/>
      <c r="H99" s="13"/>
      <c r="I99" s="234"/>
      <c r="J99" s="13"/>
      <c r="K99" s="234"/>
      <c r="L99" s="13"/>
      <c r="M99" s="234"/>
      <c r="N99" s="13"/>
      <c r="O99" s="234"/>
      <c r="P99" s="13"/>
      <c r="Q99" s="234"/>
      <c r="R99" s="13"/>
      <c r="S99" s="234"/>
      <c r="T99" s="13"/>
      <c r="U99" s="234"/>
      <c r="V99" s="13"/>
      <c r="W99" s="234"/>
      <c r="X99" s="13"/>
      <c r="Y99" s="234"/>
      <c r="Z99" s="13"/>
      <c r="AA99" s="234"/>
      <c r="AB99" s="13"/>
      <c r="AC99" s="139"/>
      <c r="AD99" s="237">
        <f t="shared" si="29"/>
        <v>0</v>
      </c>
      <c r="AE99" s="195">
        <f t="shared" si="30"/>
        <v>0</v>
      </c>
      <c r="AF99" s="134"/>
    </row>
    <row r="100" spans="2:32" s="129" customFormat="1" ht="15" customHeight="1" x14ac:dyDescent="0.3">
      <c r="B100" s="135"/>
      <c r="C100" s="155"/>
      <c r="D100" s="156"/>
      <c r="E100" s="234"/>
      <c r="F100" s="13"/>
      <c r="G100" s="234"/>
      <c r="H100" s="13"/>
      <c r="I100" s="234"/>
      <c r="J100" s="13"/>
      <c r="K100" s="234"/>
      <c r="L100" s="13"/>
      <c r="M100" s="234"/>
      <c r="N100" s="13"/>
      <c r="O100" s="234"/>
      <c r="P100" s="13"/>
      <c r="Q100" s="234"/>
      <c r="R100" s="13"/>
      <c r="S100" s="234"/>
      <c r="T100" s="13"/>
      <c r="U100" s="234"/>
      <c r="V100" s="13"/>
      <c r="W100" s="234"/>
      <c r="X100" s="13"/>
      <c r="Y100" s="234"/>
      <c r="Z100" s="13"/>
      <c r="AA100" s="234"/>
      <c r="AB100" s="13"/>
      <c r="AC100" s="139"/>
      <c r="AD100" s="237">
        <f t="shared" si="29"/>
        <v>0</v>
      </c>
      <c r="AE100" s="195">
        <f t="shared" si="30"/>
        <v>0</v>
      </c>
      <c r="AF100" s="134"/>
    </row>
    <row r="101" spans="2:32" s="129" customFormat="1" ht="15" customHeight="1" x14ac:dyDescent="0.3">
      <c r="B101" s="135"/>
      <c r="C101" s="155"/>
      <c r="D101" s="156"/>
      <c r="E101" s="234"/>
      <c r="F101" s="13"/>
      <c r="G101" s="234"/>
      <c r="H101" s="13"/>
      <c r="I101" s="234"/>
      <c r="J101" s="13"/>
      <c r="K101" s="234"/>
      <c r="L101" s="13"/>
      <c r="M101" s="234"/>
      <c r="N101" s="13"/>
      <c r="O101" s="234"/>
      <c r="P101" s="13"/>
      <c r="Q101" s="234"/>
      <c r="R101" s="13"/>
      <c r="S101" s="234"/>
      <c r="T101" s="13"/>
      <c r="U101" s="234"/>
      <c r="V101" s="13"/>
      <c r="W101" s="234"/>
      <c r="X101" s="13"/>
      <c r="Y101" s="234"/>
      <c r="Z101" s="13"/>
      <c r="AA101" s="234"/>
      <c r="AB101" s="13"/>
      <c r="AC101" s="139"/>
      <c r="AD101" s="237">
        <f t="shared" ref="AD101:AD104" si="31">IFERROR(SUM(E101,G101,I101,K101,M101,O101,Q101,S101,U101,W101,Y101,AA101),0)</f>
        <v>0</v>
      </c>
      <c r="AE101" s="195">
        <f t="shared" si="30"/>
        <v>0</v>
      </c>
      <c r="AF101" s="134"/>
    </row>
    <row r="102" spans="2:32" s="129" customFormat="1" ht="15" customHeight="1" x14ac:dyDescent="0.3">
      <c r="B102" s="135"/>
      <c r="C102" s="155"/>
      <c r="D102" s="156"/>
      <c r="E102" s="234"/>
      <c r="F102" s="13"/>
      <c r="G102" s="234"/>
      <c r="H102" s="13"/>
      <c r="I102" s="234"/>
      <c r="J102" s="13"/>
      <c r="K102" s="234"/>
      <c r="L102" s="13"/>
      <c r="M102" s="234"/>
      <c r="N102" s="13"/>
      <c r="O102" s="234"/>
      <c r="P102" s="13"/>
      <c r="Q102" s="234"/>
      <c r="R102" s="13"/>
      <c r="S102" s="234"/>
      <c r="T102" s="13"/>
      <c r="U102" s="234"/>
      <c r="V102" s="13"/>
      <c r="W102" s="234"/>
      <c r="X102" s="13"/>
      <c r="Y102" s="234"/>
      <c r="Z102" s="13"/>
      <c r="AA102" s="234"/>
      <c r="AB102" s="13"/>
      <c r="AC102" s="139"/>
      <c r="AD102" s="237">
        <f t="shared" ref="AD102" si="32">IFERROR(SUM(E102,G102,I102,K102,M102,O102,Q102,S102,U102,W102,Y102,AA102),0)</f>
        <v>0</v>
      </c>
      <c r="AE102" s="195">
        <f t="shared" si="30"/>
        <v>0</v>
      </c>
      <c r="AF102" s="134"/>
    </row>
    <row r="103" spans="2:32" s="129" customFormat="1" ht="15" customHeight="1" x14ac:dyDescent="0.3">
      <c r="B103" s="135"/>
      <c r="C103" s="155"/>
      <c r="D103" s="156"/>
      <c r="E103" s="234"/>
      <c r="F103" s="13"/>
      <c r="G103" s="234"/>
      <c r="H103" s="13"/>
      <c r="I103" s="234"/>
      <c r="J103" s="13"/>
      <c r="K103" s="234"/>
      <c r="L103" s="13"/>
      <c r="M103" s="234"/>
      <c r="N103" s="13"/>
      <c r="O103" s="234"/>
      <c r="P103" s="13"/>
      <c r="Q103" s="234"/>
      <c r="R103" s="13"/>
      <c r="S103" s="234"/>
      <c r="T103" s="13"/>
      <c r="U103" s="234"/>
      <c r="V103" s="13"/>
      <c r="W103" s="234"/>
      <c r="X103" s="13"/>
      <c r="Y103" s="234"/>
      <c r="Z103" s="13"/>
      <c r="AA103" s="234"/>
      <c r="AB103" s="13"/>
      <c r="AC103" s="139"/>
      <c r="AD103" s="237">
        <f t="shared" si="31"/>
        <v>0</v>
      </c>
      <c r="AE103" s="195">
        <f t="shared" ref="AE103:AE107" si="33">IFERROR(SUM(F103,H103,J103,L103,N103,P103,R103,T103,V103,X103,Z103,AB103),0)</f>
        <v>0</v>
      </c>
      <c r="AF103" s="134"/>
    </row>
    <row r="104" spans="2:32" s="129" customFormat="1" ht="15" customHeight="1" collapsed="1" x14ac:dyDescent="0.3">
      <c r="B104" s="135"/>
      <c r="C104" s="155"/>
      <c r="D104" s="156"/>
      <c r="E104" s="234"/>
      <c r="F104" s="13"/>
      <c r="G104" s="234"/>
      <c r="H104" s="13"/>
      <c r="I104" s="234"/>
      <c r="J104" s="13"/>
      <c r="K104" s="234"/>
      <c r="L104" s="13"/>
      <c r="M104" s="234"/>
      <c r="N104" s="13"/>
      <c r="O104" s="234"/>
      <c r="P104" s="13"/>
      <c r="Q104" s="234"/>
      <c r="R104" s="13"/>
      <c r="S104" s="234"/>
      <c r="T104" s="13"/>
      <c r="U104" s="234"/>
      <c r="V104" s="13"/>
      <c r="W104" s="234"/>
      <c r="X104" s="13"/>
      <c r="Y104" s="234"/>
      <c r="Z104" s="13"/>
      <c r="AA104" s="234"/>
      <c r="AB104" s="13"/>
      <c r="AC104" s="139"/>
      <c r="AD104" s="237">
        <f t="shared" si="31"/>
        <v>0</v>
      </c>
      <c r="AE104" s="195">
        <f t="shared" si="33"/>
        <v>0</v>
      </c>
      <c r="AF104" s="134"/>
    </row>
    <row r="105" spans="2:32" s="129" customFormat="1" ht="15" customHeight="1" x14ac:dyDescent="0.3">
      <c r="B105" s="135"/>
      <c r="C105" s="155"/>
      <c r="D105" s="156"/>
      <c r="E105" s="234"/>
      <c r="F105" s="13"/>
      <c r="G105" s="234"/>
      <c r="H105" s="13"/>
      <c r="I105" s="234"/>
      <c r="J105" s="13"/>
      <c r="K105" s="234"/>
      <c r="L105" s="13"/>
      <c r="M105" s="234"/>
      <c r="N105" s="13"/>
      <c r="O105" s="234"/>
      <c r="P105" s="13"/>
      <c r="Q105" s="234"/>
      <c r="R105" s="13"/>
      <c r="S105" s="234"/>
      <c r="T105" s="13"/>
      <c r="U105" s="234"/>
      <c r="V105" s="13"/>
      <c r="W105" s="234"/>
      <c r="X105" s="13"/>
      <c r="Y105" s="234"/>
      <c r="Z105" s="13"/>
      <c r="AA105" s="234"/>
      <c r="AB105" s="13"/>
      <c r="AC105" s="139"/>
      <c r="AD105" s="237">
        <f t="shared" ref="AD105:AD107" si="34">IFERROR(SUM(E105,G105,I105,K105,M105,O105,Q105,S105,U105,W105,Y105,AA105),0)</f>
        <v>0</v>
      </c>
      <c r="AE105" s="195">
        <f t="shared" si="33"/>
        <v>0</v>
      </c>
      <c r="AF105" s="134"/>
    </row>
    <row r="106" spans="2:32" s="129" customFormat="1" ht="15" customHeight="1" x14ac:dyDescent="0.3">
      <c r="B106" s="135"/>
      <c r="C106" s="155"/>
      <c r="D106" s="156"/>
      <c r="E106" s="234"/>
      <c r="F106" s="13"/>
      <c r="G106" s="234"/>
      <c r="H106" s="13"/>
      <c r="I106" s="234"/>
      <c r="J106" s="13"/>
      <c r="K106" s="234"/>
      <c r="L106" s="13"/>
      <c r="M106" s="234"/>
      <c r="N106" s="13"/>
      <c r="O106" s="234"/>
      <c r="P106" s="13"/>
      <c r="Q106" s="234"/>
      <c r="R106" s="13"/>
      <c r="S106" s="234"/>
      <c r="T106" s="13"/>
      <c r="U106" s="234"/>
      <c r="V106" s="13"/>
      <c r="W106" s="234"/>
      <c r="X106" s="13"/>
      <c r="Y106" s="234"/>
      <c r="Z106" s="13"/>
      <c r="AA106" s="234"/>
      <c r="AB106" s="13"/>
      <c r="AC106" s="139"/>
      <c r="AD106" s="237">
        <f t="shared" si="34"/>
        <v>0</v>
      </c>
      <c r="AE106" s="195">
        <f t="shared" si="33"/>
        <v>0</v>
      </c>
      <c r="AF106" s="134"/>
    </row>
    <row r="107" spans="2:32" s="129" customFormat="1" ht="15" customHeight="1" x14ac:dyDescent="0.3">
      <c r="B107" s="135"/>
      <c r="C107" s="155"/>
      <c r="D107" s="156"/>
      <c r="E107" s="234"/>
      <c r="F107" s="13"/>
      <c r="G107" s="234"/>
      <c r="H107" s="13"/>
      <c r="I107" s="234"/>
      <c r="J107" s="13"/>
      <c r="K107" s="234"/>
      <c r="L107" s="13"/>
      <c r="M107" s="234"/>
      <c r="N107" s="13"/>
      <c r="O107" s="234"/>
      <c r="P107" s="13"/>
      <c r="Q107" s="234"/>
      <c r="R107" s="13"/>
      <c r="S107" s="234"/>
      <c r="T107" s="13"/>
      <c r="U107" s="234"/>
      <c r="V107" s="13"/>
      <c r="W107" s="234"/>
      <c r="X107" s="13"/>
      <c r="Y107" s="234"/>
      <c r="Z107" s="13"/>
      <c r="AA107" s="234"/>
      <c r="AB107" s="13"/>
      <c r="AC107" s="139"/>
      <c r="AD107" s="237">
        <f t="shared" si="34"/>
        <v>0</v>
      </c>
      <c r="AE107" s="195">
        <f t="shared" si="33"/>
        <v>0</v>
      </c>
      <c r="AF107" s="134"/>
    </row>
    <row r="108" spans="2:32" s="129" customFormat="1" ht="15" customHeight="1" x14ac:dyDescent="0.3">
      <c r="B108" s="135"/>
      <c r="C108" s="158"/>
      <c r="D108" s="159"/>
      <c r="E108" s="235"/>
      <c r="F108" s="14"/>
      <c r="G108" s="235"/>
      <c r="H108" s="14"/>
      <c r="I108" s="235"/>
      <c r="J108" s="14"/>
      <c r="K108" s="235"/>
      <c r="L108" s="14"/>
      <c r="M108" s="235"/>
      <c r="N108" s="14"/>
      <c r="O108" s="235"/>
      <c r="P108" s="14"/>
      <c r="Q108" s="235"/>
      <c r="R108" s="14"/>
      <c r="S108" s="235"/>
      <c r="T108" s="14"/>
      <c r="U108" s="235"/>
      <c r="V108" s="14"/>
      <c r="W108" s="235"/>
      <c r="X108" s="14"/>
      <c r="Y108" s="235"/>
      <c r="Z108" s="14"/>
      <c r="AA108" s="235"/>
      <c r="AB108" s="14"/>
      <c r="AC108" s="139"/>
      <c r="AD108" s="238">
        <f t="shared" ref="AD108" si="35">IFERROR(SUM(E108,G108,I108,K108,M108,O108,Q108,S108,U108,W108,Y108,AA108),0)</f>
        <v>0</v>
      </c>
      <c r="AE108" s="197">
        <f t="shared" ref="AE108" si="36">IFERROR(SUM(F108,H108,J108,L108,N108,P108,R108,T108,V108,X108,Z108,AB108),0)</f>
        <v>0</v>
      </c>
      <c r="AF108" s="134"/>
    </row>
    <row r="109" spans="2:32" s="129" customFormat="1" ht="15" customHeight="1" x14ac:dyDescent="0.3">
      <c r="B109" s="132"/>
      <c r="C109" s="136"/>
      <c r="D109" s="133"/>
      <c r="AF109" s="134"/>
    </row>
    <row r="110" spans="2:32" s="2" customFormat="1" ht="15" customHeight="1" x14ac:dyDescent="0.3">
      <c r="B110" s="185"/>
      <c r="C110" s="358" t="s">
        <v>89</v>
      </c>
      <c r="D110" s="359"/>
      <c r="E110" s="359"/>
      <c r="F110" s="359"/>
      <c r="G110" s="359"/>
      <c r="H110" s="359"/>
      <c r="I110" s="359"/>
      <c r="J110" s="359"/>
      <c r="K110" s="359"/>
      <c r="L110" s="359"/>
      <c r="M110" s="359"/>
      <c r="N110" s="359"/>
      <c r="O110" s="359"/>
      <c r="P110" s="359"/>
      <c r="Q110" s="359"/>
      <c r="R110" s="359"/>
      <c r="S110" s="359"/>
      <c r="T110" s="359"/>
      <c r="U110" s="359"/>
      <c r="V110" s="359"/>
      <c r="W110" s="359"/>
      <c r="X110" s="359"/>
      <c r="Y110" s="359"/>
      <c r="Z110" s="359"/>
      <c r="AA110" s="359"/>
      <c r="AB110" s="359"/>
      <c r="AC110" s="359"/>
      <c r="AD110" s="359"/>
      <c r="AE110" s="360"/>
      <c r="AF110" s="4"/>
    </row>
    <row r="111" spans="2:32" s="2" customFormat="1" ht="15" customHeight="1" x14ac:dyDescent="0.3">
      <c r="B111" s="185"/>
      <c r="C111" s="361"/>
      <c r="D111" s="362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2"/>
      <c r="W111" s="362"/>
      <c r="X111" s="362"/>
      <c r="Y111" s="362"/>
      <c r="Z111" s="362"/>
      <c r="AA111" s="362"/>
      <c r="AB111" s="362"/>
      <c r="AC111" s="362"/>
      <c r="AD111" s="362"/>
      <c r="AE111" s="363"/>
      <c r="AF111" s="4"/>
    </row>
    <row r="112" spans="2:32" s="2" customFormat="1" ht="15" customHeight="1" x14ac:dyDescent="0.3">
      <c r="B112" s="185"/>
      <c r="C112" s="390" t="s">
        <v>128</v>
      </c>
      <c r="D112" s="393" t="s">
        <v>20</v>
      </c>
      <c r="E112" s="367" t="s">
        <v>5</v>
      </c>
      <c r="F112" s="368"/>
      <c r="G112" s="367" t="s">
        <v>6</v>
      </c>
      <c r="H112" s="368"/>
      <c r="I112" s="367" t="s">
        <v>7</v>
      </c>
      <c r="J112" s="368"/>
      <c r="K112" s="367" t="s">
        <v>8</v>
      </c>
      <c r="L112" s="368"/>
      <c r="M112" s="367" t="s">
        <v>9</v>
      </c>
      <c r="N112" s="368"/>
      <c r="O112" s="367" t="s">
        <v>10</v>
      </c>
      <c r="P112" s="368"/>
      <c r="Q112" s="367" t="s">
        <v>11</v>
      </c>
      <c r="R112" s="368"/>
      <c r="S112" s="367" t="s">
        <v>12</v>
      </c>
      <c r="T112" s="368"/>
      <c r="U112" s="367" t="s">
        <v>13</v>
      </c>
      <c r="V112" s="368"/>
      <c r="W112" s="367" t="s">
        <v>14</v>
      </c>
      <c r="X112" s="368"/>
      <c r="Y112" s="367" t="s">
        <v>15</v>
      </c>
      <c r="Z112" s="368"/>
      <c r="AA112" s="367" t="s">
        <v>16</v>
      </c>
      <c r="AB112" s="368"/>
      <c r="AC112" s="186"/>
      <c r="AD112" s="367" t="s">
        <v>17</v>
      </c>
      <c r="AE112" s="368"/>
      <c r="AF112" s="4"/>
    </row>
    <row r="113" spans="2:32" s="2" customFormat="1" ht="15" customHeight="1" x14ac:dyDescent="0.3">
      <c r="B113" s="185"/>
      <c r="C113" s="391"/>
      <c r="D113" s="394"/>
      <c r="E113" s="232" t="s">
        <v>18</v>
      </c>
      <c r="F113" s="233" t="s">
        <v>19</v>
      </c>
      <c r="G113" s="232" t="s">
        <v>18</v>
      </c>
      <c r="H113" s="233" t="s">
        <v>19</v>
      </c>
      <c r="I113" s="232" t="s">
        <v>18</v>
      </c>
      <c r="J113" s="233" t="s">
        <v>19</v>
      </c>
      <c r="K113" s="232" t="s">
        <v>18</v>
      </c>
      <c r="L113" s="233" t="s">
        <v>19</v>
      </c>
      <c r="M113" s="232" t="s">
        <v>18</v>
      </c>
      <c r="N113" s="233" t="s">
        <v>19</v>
      </c>
      <c r="O113" s="232" t="s">
        <v>18</v>
      </c>
      <c r="P113" s="233" t="s">
        <v>19</v>
      </c>
      <c r="Q113" s="232" t="s">
        <v>18</v>
      </c>
      <c r="R113" s="233" t="s">
        <v>19</v>
      </c>
      <c r="S113" s="232" t="s">
        <v>18</v>
      </c>
      <c r="T113" s="233" t="s">
        <v>19</v>
      </c>
      <c r="U113" s="232" t="s">
        <v>18</v>
      </c>
      <c r="V113" s="233" t="s">
        <v>19</v>
      </c>
      <c r="W113" s="232" t="s">
        <v>18</v>
      </c>
      <c r="X113" s="233" t="s">
        <v>19</v>
      </c>
      <c r="Y113" s="232" t="s">
        <v>18</v>
      </c>
      <c r="Z113" s="233" t="s">
        <v>19</v>
      </c>
      <c r="AA113" s="232" t="s">
        <v>18</v>
      </c>
      <c r="AB113" s="233" t="s">
        <v>19</v>
      </c>
      <c r="AC113" s="187"/>
      <c r="AD113" s="232" t="s">
        <v>18</v>
      </c>
      <c r="AE113" s="233" t="s">
        <v>19</v>
      </c>
      <c r="AF113" s="4"/>
    </row>
    <row r="114" spans="2:32" s="2" customFormat="1" ht="15" customHeight="1" x14ac:dyDescent="0.3">
      <c r="B114" s="185"/>
      <c r="C114" s="392"/>
      <c r="D114" s="395"/>
      <c r="E114" s="188">
        <f t="shared" ref="E114:AB114" si="37">IFERROR(SUM(E115:E139),0)</f>
        <v>0</v>
      </c>
      <c r="F114" s="189">
        <f t="shared" si="37"/>
        <v>0</v>
      </c>
      <c r="G114" s="188">
        <f t="shared" si="37"/>
        <v>0</v>
      </c>
      <c r="H114" s="189">
        <f t="shared" si="37"/>
        <v>0</v>
      </c>
      <c r="I114" s="188">
        <f t="shared" si="37"/>
        <v>0</v>
      </c>
      <c r="J114" s="189">
        <f t="shared" si="37"/>
        <v>0</v>
      </c>
      <c r="K114" s="188">
        <f t="shared" si="37"/>
        <v>0</v>
      </c>
      <c r="L114" s="189">
        <f t="shared" si="37"/>
        <v>0</v>
      </c>
      <c r="M114" s="188">
        <f t="shared" si="37"/>
        <v>0</v>
      </c>
      <c r="N114" s="189">
        <f t="shared" si="37"/>
        <v>0</v>
      </c>
      <c r="O114" s="188">
        <f t="shared" si="37"/>
        <v>0</v>
      </c>
      <c r="P114" s="189">
        <f t="shared" si="37"/>
        <v>0</v>
      </c>
      <c r="Q114" s="188">
        <f t="shared" si="37"/>
        <v>0</v>
      </c>
      <c r="R114" s="189">
        <f t="shared" si="37"/>
        <v>0</v>
      </c>
      <c r="S114" s="188">
        <f t="shared" si="37"/>
        <v>0</v>
      </c>
      <c r="T114" s="189">
        <f t="shared" si="37"/>
        <v>0</v>
      </c>
      <c r="U114" s="188">
        <f t="shared" si="37"/>
        <v>0</v>
      </c>
      <c r="V114" s="189">
        <f t="shared" si="37"/>
        <v>0</v>
      </c>
      <c r="W114" s="188">
        <f t="shared" si="37"/>
        <v>0</v>
      </c>
      <c r="X114" s="189">
        <f t="shared" si="37"/>
        <v>0</v>
      </c>
      <c r="Y114" s="188">
        <f t="shared" si="37"/>
        <v>0</v>
      </c>
      <c r="Z114" s="189">
        <f t="shared" si="37"/>
        <v>0</v>
      </c>
      <c r="AA114" s="188">
        <f t="shared" si="37"/>
        <v>0</v>
      </c>
      <c r="AB114" s="189">
        <f t="shared" si="37"/>
        <v>0</v>
      </c>
      <c r="AC114" s="193"/>
      <c r="AD114" s="188">
        <f>IFERROR(SUM(AD115:AD139),0)</f>
        <v>0</v>
      </c>
      <c r="AE114" s="189">
        <f>IFERROR(SUM(AE115:AE139),0)</f>
        <v>0</v>
      </c>
      <c r="AF114" s="4"/>
    </row>
    <row r="115" spans="2:32" s="129" customFormat="1" ht="15" customHeight="1" x14ac:dyDescent="0.3">
      <c r="B115" s="135"/>
      <c r="C115" s="155"/>
      <c r="D115" s="156"/>
      <c r="E115" s="234"/>
      <c r="F115" s="12"/>
      <c r="G115" s="234"/>
      <c r="H115" s="12"/>
      <c r="I115" s="234"/>
      <c r="J115" s="12"/>
      <c r="K115" s="234"/>
      <c r="L115" s="12"/>
      <c r="M115" s="234"/>
      <c r="N115" s="12"/>
      <c r="O115" s="234"/>
      <c r="P115" s="12"/>
      <c r="Q115" s="234"/>
      <c r="R115" s="12"/>
      <c r="S115" s="234"/>
      <c r="T115" s="12"/>
      <c r="U115" s="234"/>
      <c r="V115" s="12"/>
      <c r="W115" s="234"/>
      <c r="X115" s="12"/>
      <c r="Y115" s="234"/>
      <c r="Z115" s="12"/>
      <c r="AA115" s="234"/>
      <c r="AB115" s="12"/>
      <c r="AC115" s="139"/>
      <c r="AD115" s="237">
        <f>IFERROR(SUM(E115,G115,I115,K115,M115,O115,Q115,S115,U115,W115,Y115,AA115),0)</f>
        <v>0</v>
      </c>
      <c r="AE115" s="195">
        <f>IFERROR(SUM(F115,H115,J115,L115,N115,P115,R115,T115,V115,X115,Z115,AB115),0)</f>
        <v>0</v>
      </c>
      <c r="AF115" s="134"/>
    </row>
    <row r="116" spans="2:32" s="129" customFormat="1" ht="15" customHeight="1" x14ac:dyDescent="0.3">
      <c r="B116" s="135"/>
      <c r="C116" s="155"/>
      <c r="D116" s="156"/>
      <c r="E116" s="234"/>
      <c r="F116" s="13"/>
      <c r="G116" s="234"/>
      <c r="H116" s="13"/>
      <c r="I116" s="234"/>
      <c r="J116" s="13"/>
      <c r="K116" s="234"/>
      <c r="L116" s="13"/>
      <c r="M116" s="234"/>
      <c r="N116" s="13"/>
      <c r="O116" s="234"/>
      <c r="P116" s="13"/>
      <c r="Q116" s="234"/>
      <c r="R116" s="13"/>
      <c r="S116" s="234"/>
      <c r="T116" s="13"/>
      <c r="U116" s="234"/>
      <c r="V116" s="13"/>
      <c r="W116" s="234"/>
      <c r="X116" s="13"/>
      <c r="Y116" s="234"/>
      <c r="Z116" s="13"/>
      <c r="AA116" s="234"/>
      <c r="AB116" s="13"/>
      <c r="AC116" s="139"/>
      <c r="AD116" s="237">
        <f t="shared" ref="AD116:AD138" si="38">IFERROR(SUM(E116,G116,I116,K116,M116,O116,Q116,S116,U116,W116,Y116,AA116),0)</f>
        <v>0</v>
      </c>
      <c r="AE116" s="195">
        <f t="shared" ref="AE116:AE138" si="39">IFERROR(SUM(F116,H116,J116,L116,N116,P116,R116,T116,V116,X116,Z116,AB116),0)</f>
        <v>0</v>
      </c>
      <c r="AF116" s="134"/>
    </row>
    <row r="117" spans="2:32" s="129" customFormat="1" ht="15" customHeight="1" x14ac:dyDescent="0.3">
      <c r="B117" s="135"/>
      <c r="C117" s="155"/>
      <c r="D117" s="156"/>
      <c r="E117" s="234"/>
      <c r="F117" s="13"/>
      <c r="G117" s="234"/>
      <c r="H117" s="13"/>
      <c r="I117" s="234"/>
      <c r="J117" s="13"/>
      <c r="K117" s="234"/>
      <c r="L117" s="13"/>
      <c r="M117" s="234"/>
      <c r="N117" s="13"/>
      <c r="O117" s="234"/>
      <c r="P117" s="13"/>
      <c r="Q117" s="234"/>
      <c r="R117" s="13"/>
      <c r="S117" s="234"/>
      <c r="T117" s="13"/>
      <c r="U117" s="234"/>
      <c r="V117" s="13"/>
      <c r="W117" s="234"/>
      <c r="X117" s="13"/>
      <c r="Y117" s="234"/>
      <c r="Z117" s="13"/>
      <c r="AA117" s="234"/>
      <c r="AB117" s="13"/>
      <c r="AC117" s="139"/>
      <c r="AD117" s="237">
        <f t="shared" si="38"/>
        <v>0</v>
      </c>
      <c r="AE117" s="195">
        <f t="shared" si="39"/>
        <v>0</v>
      </c>
      <c r="AF117" s="134"/>
    </row>
    <row r="118" spans="2:32" s="129" customFormat="1" ht="15" customHeight="1" x14ac:dyDescent="0.3">
      <c r="B118" s="135"/>
      <c r="C118" s="155"/>
      <c r="D118" s="156"/>
      <c r="E118" s="234"/>
      <c r="F118" s="13"/>
      <c r="G118" s="234"/>
      <c r="H118" s="13"/>
      <c r="I118" s="234"/>
      <c r="J118" s="13"/>
      <c r="K118" s="234"/>
      <c r="L118" s="13"/>
      <c r="M118" s="234"/>
      <c r="N118" s="13"/>
      <c r="O118" s="234"/>
      <c r="P118" s="13"/>
      <c r="Q118" s="234"/>
      <c r="R118" s="13"/>
      <c r="S118" s="234"/>
      <c r="T118" s="13"/>
      <c r="U118" s="234"/>
      <c r="V118" s="13"/>
      <c r="W118" s="234"/>
      <c r="X118" s="13"/>
      <c r="Y118" s="234"/>
      <c r="Z118" s="13"/>
      <c r="AA118" s="234"/>
      <c r="AB118" s="13"/>
      <c r="AC118" s="139"/>
      <c r="AD118" s="237">
        <f t="shared" si="38"/>
        <v>0</v>
      </c>
      <c r="AE118" s="195">
        <f t="shared" si="39"/>
        <v>0</v>
      </c>
      <c r="AF118" s="134"/>
    </row>
    <row r="119" spans="2:32" s="129" customFormat="1" ht="15" customHeight="1" x14ac:dyDescent="0.3">
      <c r="B119" s="135"/>
      <c r="C119" s="155"/>
      <c r="D119" s="156"/>
      <c r="E119" s="234"/>
      <c r="F119" s="13"/>
      <c r="G119" s="234"/>
      <c r="H119" s="13"/>
      <c r="I119" s="234"/>
      <c r="J119" s="13"/>
      <c r="K119" s="234"/>
      <c r="L119" s="13"/>
      <c r="M119" s="234"/>
      <c r="N119" s="13"/>
      <c r="O119" s="234"/>
      <c r="P119" s="13"/>
      <c r="Q119" s="234"/>
      <c r="R119" s="13"/>
      <c r="S119" s="234"/>
      <c r="T119" s="13"/>
      <c r="U119" s="234"/>
      <c r="V119" s="13"/>
      <c r="W119" s="234"/>
      <c r="X119" s="13"/>
      <c r="Y119" s="234"/>
      <c r="Z119" s="13"/>
      <c r="AA119" s="234"/>
      <c r="AB119" s="13"/>
      <c r="AC119" s="139"/>
      <c r="AD119" s="237">
        <f t="shared" si="38"/>
        <v>0</v>
      </c>
      <c r="AE119" s="195">
        <f t="shared" si="39"/>
        <v>0</v>
      </c>
      <c r="AF119" s="134"/>
    </row>
    <row r="120" spans="2:32" s="129" customFormat="1" ht="15" customHeight="1" x14ac:dyDescent="0.3">
      <c r="B120" s="135"/>
      <c r="C120" s="155"/>
      <c r="D120" s="156"/>
      <c r="E120" s="234"/>
      <c r="F120" s="13"/>
      <c r="G120" s="234"/>
      <c r="H120" s="13"/>
      <c r="I120" s="234"/>
      <c r="J120" s="13"/>
      <c r="K120" s="234"/>
      <c r="L120" s="13"/>
      <c r="M120" s="234"/>
      <c r="N120" s="13"/>
      <c r="O120" s="234"/>
      <c r="P120" s="13"/>
      <c r="Q120" s="234"/>
      <c r="R120" s="13"/>
      <c r="S120" s="234"/>
      <c r="T120" s="13"/>
      <c r="U120" s="234"/>
      <c r="V120" s="13"/>
      <c r="W120" s="234"/>
      <c r="X120" s="13"/>
      <c r="Y120" s="234"/>
      <c r="Z120" s="13"/>
      <c r="AA120" s="234"/>
      <c r="AB120" s="13"/>
      <c r="AC120" s="139"/>
      <c r="AD120" s="237">
        <f t="shared" si="38"/>
        <v>0</v>
      </c>
      <c r="AE120" s="195">
        <f t="shared" si="39"/>
        <v>0</v>
      </c>
      <c r="AF120" s="134"/>
    </row>
    <row r="121" spans="2:32" s="129" customFormat="1" ht="15" customHeight="1" x14ac:dyDescent="0.3">
      <c r="B121" s="135"/>
      <c r="C121" s="155"/>
      <c r="D121" s="156"/>
      <c r="E121" s="234"/>
      <c r="F121" s="13"/>
      <c r="G121" s="234"/>
      <c r="H121" s="13"/>
      <c r="I121" s="234"/>
      <c r="J121" s="13"/>
      <c r="K121" s="234"/>
      <c r="L121" s="13"/>
      <c r="M121" s="234"/>
      <c r="N121" s="13"/>
      <c r="O121" s="234"/>
      <c r="P121" s="13"/>
      <c r="Q121" s="234"/>
      <c r="R121" s="13"/>
      <c r="S121" s="234"/>
      <c r="T121" s="13"/>
      <c r="U121" s="234"/>
      <c r="V121" s="13"/>
      <c r="W121" s="234"/>
      <c r="X121" s="13"/>
      <c r="Y121" s="234"/>
      <c r="Z121" s="13"/>
      <c r="AA121" s="234"/>
      <c r="AB121" s="13"/>
      <c r="AC121" s="139"/>
      <c r="AD121" s="237">
        <f t="shared" si="38"/>
        <v>0</v>
      </c>
      <c r="AE121" s="195">
        <f t="shared" si="39"/>
        <v>0</v>
      </c>
      <c r="AF121" s="134"/>
    </row>
    <row r="122" spans="2:32" s="129" customFormat="1" ht="15" customHeight="1" x14ac:dyDescent="0.3">
      <c r="B122" s="135"/>
      <c r="C122" s="155"/>
      <c r="D122" s="156"/>
      <c r="E122" s="234"/>
      <c r="F122" s="13"/>
      <c r="G122" s="234"/>
      <c r="H122" s="13"/>
      <c r="I122" s="234"/>
      <c r="J122" s="13"/>
      <c r="K122" s="234"/>
      <c r="L122" s="13"/>
      <c r="M122" s="234"/>
      <c r="N122" s="13"/>
      <c r="O122" s="234"/>
      <c r="P122" s="13"/>
      <c r="Q122" s="234"/>
      <c r="R122" s="13"/>
      <c r="S122" s="234"/>
      <c r="T122" s="13"/>
      <c r="U122" s="234"/>
      <c r="V122" s="13"/>
      <c r="W122" s="234"/>
      <c r="X122" s="13"/>
      <c r="Y122" s="234"/>
      <c r="Z122" s="13"/>
      <c r="AA122" s="234"/>
      <c r="AB122" s="13"/>
      <c r="AC122" s="139"/>
      <c r="AD122" s="237">
        <f t="shared" ref="AD122:AD125" si="40">IFERROR(SUM(E122,G122,I122,K122,M122,O122,Q122,S122,U122,W122,Y122,AA122),0)</f>
        <v>0</v>
      </c>
      <c r="AE122" s="195">
        <f t="shared" ref="AE122:AE125" si="41">IFERROR(SUM(F122,H122,J122,L122,N122,P122,R122,T122,V122,X122,Z122,AB122),0)</f>
        <v>0</v>
      </c>
      <c r="AF122" s="134"/>
    </row>
    <row r="123" spans="2:32" s="129" customFormat="1" ht="15" customHeight="1" x14ac:dyDescent="0.3">
      <c r="B123" s="135"/>
      <c r="C123" s="155"/>
      <c r="D123" s="156"/>
      <c r="E123" s="234"/>
      <c r="F123" s="13"/>
      <c r="G123" s="234"/>
      <c r="H123" s="13"/>
      <c r="I123" s="234"/>
      <c r="J123" s="13"/>
      <c r="K123" s="234"/>
      <c r="L123" s="13"/>
      <c r="M123" s="234"/>
      <c r="N123" s="13"/>
      <c r="O123" s="234"/>
      <c r="P123" s="13"/>
      <c r="Q123" s="234"/>
      <c r="R123" s="13"/>
      <c r="S123" s="234"/>
      <c r="T123" s="13"/>
      <c r="U123" s="234"/>
      <c r="V123" s="13"/>
      <c r="W123" s="234"/>
      <c r="X123" s="13"/>
      <c r="Y123" s="234"/>
      <c r="Z123" s="13"/>
      <c r="AA123" s="234"/>
      <c r="AB123" s="13"/>
      <c r="AC123" s="139"/>
      <c r="AD123" s="237">
        <f t="shared" si="40"/>
        <v>0</v>
      </c>
      <c r="AE123" s="195">
        <f t="shared" si="41"/>
        <v>0</v>
      </c>
      <c r="AF123" s="134"/>
    </row>
    <row r="124" spans="2:32" s="129" customFormat="1" ht="15" customHeight="1" x14ac:dyDescent="0.3">
      <c r="B124" s="135"/>
      <c r="C124" s="155"/>
      <c r="D124" s="156"/>
      <c r="E124" s="234"/>
      <c r="F124" s="13"/>
      <c r="G124" s="234"/>
      <c r="H124" s="13"/>
      <c r="I124" s="234"/>
      <c r="J124" s="13"/>
      <c r="K124" s="234"/>
      <c r="L124" s="13"/>
      <c r="M124" s="234"/>
      <c r="N124" s="13"/>
      <c r="O124" s="234"/>
      <c r="P124" s="13"/>
      <c r="Q124" s="234"/>
      <c r="R124" s="13"/>
      <c r="S124" s="234"/>
      <c r="T124" s="13"/>
      <c r="U124" s="234"/>
      <c r="V124" s="13"/>
      <c r="W124" s="234"/>
      <c r="X124" s="13"/>
      <c r="Y124" s="234"/>
      <c r="Z124" s="13"/>
      <c r="AA124" s="234"/>
      <c r="AB124" s="13"/>
      <c r="AC124" s="139"/>
      <c r="AD124" s="237">
        <f t="shared" si="40"/>
        <v>0</v>
      </c>
      <c r="AE124" s="195">
        <f t="shared" si="41"/>
        <v>0</v>
      </c>
      <c r="AF124" s="134"/>
    </row>
    <row r="125" spans="2:32" s="129" customFormat="1" ht="15" customHeight="1" x14ac:dyDescent="0.3">
      <c r="B125" s="135"/>
      <c r="C125" s="155"/>
      <c r="D125" s="156"/>
      <c r="E125" s="234"/>
      <c r="F125" s="13"/>
      <c r="G125" s="234"/>
      <c r="H125" s="13"/>
      <c r="I125" s="234"/>
      <c r="J125" s="13"/>
      <c r="K125" s="234"/>
      <c r="L125" s="13"/>
      <c r="M125" s="234"/>
      <c r="N125" s="13"/>
      <c r="O125" s="234"/>
      <c r="P125" s="13"/>
      <c r="Q125" s="234"/>
      <c r="R125" s="13"/>
      <c r="S125" s="234"/>
      <c r="T125" s="13"/>
      <c r="U125" s="234"/>
      <c r="V125" s="13"/>
      <c r="W125" s="234"/>
      <c r="X125" s="13"/>
      <c r="Y125" s="234"/>
      <c r="Z125" s="13"/>
      <c r="AA125" s="234"/>
      <c r="AB125" s="13"/>
      <c r="AC125" s="139"/>
      <c r="AD125" s="237">
        <f t="shared" si="40"/>
        <v>0</v>
      </c>
      <c r="AE125" s="195">
        <f t="shared" si="41"/>
        <v>0</v>
      </c>
      <c r="AF125" s="134"/>
    </row>
    <row r="126" spans="2:32" s="129" customFormat="1" ht="15" customHeight="1" x14ac:dyDescent="0.3">
      <c r="B126" s="135"/>
      <c r="C126" s="155"/>
      <c r="D126" s="156"/>
      <c r="E126" s="234"/>
      <c r="F126" s="13"/>
      <c r="G126" s="234"/>
      <c r="H126" s="13"/>
      <c r="I126" s="234"/>
      <c r="J126" s="13"/>
      <c r="K126" s="234"/>
      <c r="L126" s="13"/>
      <c r="M126" s="234"/>
      <c r="N126" s="13"/>
      <c r="O126" s="234"/>
      <c r="P126" s="13"/>
      <c r="Q126" s="234"/>
      <c r="R126" s="13"/>
      <c r="S126" s="234"/>
      <c r="T126" s="13"/>
      <c r="U126" s="234"/>
      <c r="V126" s="13"/>
      <c r="W126" s="234"/>
      <c r="X126" s="13"/>
      <c r="Y126" s="234"/>
      <c r="Z126" s="13"/>
      <c r="AA126" s="234"/>
      <c r="AB126" s="13"/>
      <c r="AC126" s="139"/>
      <c r="AD126" s="237">
        <f t="shared" ref="AD126:AD131" si="42">IFERROR(SUM(E126,G126,I126,K126,M126,O126,Q126,S126,U126,W126,Y126,AA126),0)</f>
        <v>0</v>
      </c>
      <c r="AE126" s="195">
        <f t="shared" ref="AE126:AE131" si="43">IFERROR(SUM(F126,H126,J126,L126,N126,P126,R126,T126,V126,X126,Z126,AB126),0)</f>
        <v>0</v>
      </c>
      <c r="AF126" s="134"/>
    </row>
    <row r="127" spans="2:32" s="129" customFormat="1" ht="15" customHeight="1" x14ac:dyDescent="0.3">
      <c r="B127" s="135"/>
      <c r="C127" s="155"/>
      <c r="D127" s="156"/>
      <c r="E127" s="234"/>
      <c r="F127" s="13"/>
      <c r="G127" s="234"/>
      <c r="H127" s="13"/>
      <c r="I127" s="234"/>
      <c r="J127" s="13"/>
      <c r="K127" s="234"/>
      <c r="L127" s="13"/>
      <c r="M127" s="234"/>
      <c r="N127" s="13"/>
      <c r="O127" s="234"/>
      <c r="P127" s="13"/>
      <c r="Q127" s="234"/>
      <c r="R127" s="13"/>
      <c r="S127" s="234"/>
      <c r="T127" s="13"/>
      <c r="U127" s="234"/>
      <c r="V127" s="13"/>
      <c r="W127" s="234"/>
      <c r="X127" s="13"/>
      <c r="Y127" s="234"/>
      <c r="Z127" s="13"/>
      <c r="AA127" s="234"/>
      <c r="AB127" s="13"/>
      <c r="AC127" s="139"/>
      <c r="AD127" s="237">
        <f t="shared" si="42"/>
        <v>0</v>
      </c>
      <c r="AE127" s="195">
        <f t="shared" si="43"/>
        <v>0</v>
      </c>
      <c r="AF127" s="134"/>
    </row>
    <row r="128" spans="2:32" s="129" customFormat="1" ht="15" customHeight="1" x14ac:dyDescent="0.3">
      <c r="B128" s="135"/>
      <c r="C128" s="155"/>
      <c r="D128" s="156"/>
      <c r="E128" s="234"/>
      <c r="F128" s="13"/>
      <c r="G128" s="234"/>
      <c r="H128" s="13"/>
      <c r="I128" s="234"/>
      <c r="J128" s="13"/>
      <c r="K128" s="234"/>
      <c r="L128" s="13"/>
      <c r="M128" s="234"/>
      <c r="N128" s="13"/>
      <c r="O128" s="234"/>
      <c r="P128" s="13"/>
      <c r="Q128" s="234"/>
      <c r="R128" s="13"/>
      <c r="S128" s="234"/>
      <c r="T128" s="13"/>
      <c r="U128" s="234"/>
      <c r="V128" s="13"/>
      <c r="W128" s="234"/>
      <c r="X128" s="13"/>
      <c r="Y128" s="234"/>
      <c r="Z128" s="13"/>
      <c r="AA128" s="234"/>
      <c r="AB128" s="13"/>
      <c r="AC128" s="139"/>
      <c r="AD128" s="237">
        <f t="shared" si="42"/>
        <v>0</v>
      </c>
      <c r="AE128" s="195">
        <f t="shared" si="43"/>
        <v>0</v>
      </c>
      <c r="AF128" s="134"/>
    </row>
    <row r="129" spans="2:32" s="129" customFormat="1" ht="15" customHeight="1" x14ac:dyDescent="0.3">
      <c r="B129" s="135"/>
      <c r="C129" s="155"/>
      <c r="D129" s="156"/>
      <c r="E129" s="234"/>
      <c r="F129" s="13"/>
      <c r="G129" s="234"/>
      <c r="H129" s="13"/>
      <c r="I129" s="234"/>
      <c r="J129" s="13"/>
      <c r="K129" s="234"/>
      <c r="L129" s="13"/>
      <c r="M129" s="234"/>
      <c r="N129" s="13"/>
      <c r="O129" s="234"/>
      <c r="P129" s="13"/>
      <c r="Q129" s="234"/>
      <c r="R129" s="13"/>
      <c r="S129" s="234"/>
      <c r="T129" s="13"/>
      <c r="U129" s="234"/>
      <c r="V129" s="13"/>
      <c r="W129" s="234"/>
      <c r="X129" s="13"/>
      <c r="Y129" s="234"/>
      <c r="Z129" s="13"/>
      <c r="AA129" s="234"/>
      <c r="AB129" s="13"/>
      <c r="AC129" s="139"/>
      <c r="AD129" s="237">
        <f t="shared" si="42"/>
        <v>0</v>
      </c>
      <c r="AE129" s="195">
        <f t="shared" si="43"/>
        <v>0</v>
      </c>
      <c r="AF129" s="134"/>
    </row>
    <row r="130" spans="2:32" s="129" customFormat="1" ht="15" customHeight="1" x14ac:dyDescent="0.3">
      <c r="B130" s="135"/>
      <c r="C130" s="155"/>
      <c r="D130" s="156"/>
      <c r="E130" s="234"/>
      <c r="F130" s="13"/>
      <c r="G130" s="234"/>
      <c r="H130" s="13"/>
      <c r="I130" s="234"/>
      <c r="J130" s="13"/>
      <c r="K130" s="234"/>
      <c r="L130" s="13"/>
      <c r="M130" s="234"/>
      <c r="N130" s="13"/>
      <c r="O130" s="234"/>
      <c r="P130" s="13"/>
      <c r="Q130" s="234"/>
      <c r="R130" s="13"/>
      <c r="S130" s="234"/>
      <c r="T130" s="13"/>
      <c r="U130" s="234"/>
      <c r="V130" s="13"/>
      <c r="W130" s="234"/>
      <c r="X130" s="13"/>
      <c r="Y130" s="234"/>
      <c r="Z130" s="13"/>
      <c r="AA130" s="234"/>
      <c r="AB130" s="13"/>
      <c r="AC130" s="139"/>
      <c r="AD130" s="237">
        <f t="shared" si="42"/>
        <v>0</v>
      </c>
      <c r="AE130" s="195">
        <f t="shared" si="43"/>
        <v>0</v>
      </c>
      <c r="AF130" s="134"/>
    </row>
    <row r="131" spans="2:32" s="129" customFormat="1" ht="15" customHeight="1" x14ac:dyDescent="0.3">
      <c r="B131" s="135"/>
      <c r="C131" s="155"/>
      <c r="D131" s="156"/>
      <c r="E131" s="234"/>
      <c r="F131" s="13"/>
      <c r="G131" s="234"/>
      <c r="H131" s="13"/>
      <c r="I131" s="234"/>
      <c r="J131" s="13"/>
      <c r="K131" s="234"/>
      <c r="L131" s="13"/>
      <c r="M131" s="234"/>
      <c r="N131" s="13"/>
      <c r="O131" s="234"/>
      <c r="P131" s="13"/>
      <c r="Q131" s="234"/>
      <c r="R131" s="13"/>
      <c r="S131" s="234"/>
      <c r="T131" s="13"/>
      <c r="U131" s="234"/>
      <c r="V131" s="13"/>
      <c r="W131" s="234"/>
      <c r="X131" s="13"/>
      <c r="Y131" s="234"/>
      <c r="Z131" s="13"/>
      <c r="AA131" s="234"/>
      <c r="AB131" s="13"/>
      <c r="AC131" s="139"/>
      <c r="AD131" s="237">
        <f t="shared" si="42"/>
        <v>0</v>
      </c>
      <c r="AE131" s="195">
        <f t="shared" si="43"/>
        <v>0</v>
      </c>
      <c r="AF131" s="134"/>
    </row>
    <row r="132" spans="2:32" s="129" customFormat="1" ht="15" customHeight="1" x14ac:dyDescent="0.3">
      <c r="B132" s="135"/>
      <c r="C132" s="161"/>
      <c r="D132" s="162"/>
      <c r="E132" s="234"/>
      <c r="F132" s="13"/>
      <c r="G132" s="234"/>
      <c r="H132" s="13"/>
      <c r="I132" s="234"/>
      <c r="J132" s="13"/>
      <c r="K132" s="234"/>
      <c r="L132" s="13"/>
      <c r="M132" s="234"/>
      <c r="N132" s="13"/>
      <c r="O132" s="234"/>
      <c r="P132" s="13"/>
      <c r="Q132" s="234"/>
      <c r="R132" s="13"/>
      <c r="S132" s="234"/>
      <c r="T132" s="13"/>
      <c r="U132" s="234"/>
      <c r="V132" s="13"/>
      <c r="W132" s="234"/>
      <c r="X132" s="13"/>
      <c r="Y132" s="234"/>
      <c r="Z132" s="13"/>
      <c r="AA132" s="234"/>
      <c r="AB132" s="13"/>
      <c r="AC132" s="139"/>
      <c r="AD132" s="237">
        <f t="shared" si="38"/>
        <v>0</v>
      </c>
      <c r="AE132" s="195">
        <f t="shared" si="39"/>
        <v>0</v>
      </c>
      <c r="AF132" s="134"/>
    </row>
    <row r="133" spans="2:32" s="129" customFormat="1" ht="15" customHeight="1" x14ac:dyDescent="0.3">
      <c r="B133" s="135"/>
      <c r="C133" s="155"/>
      <c r="D133" s="156"/>
      <c r="E133" s="234"/>
      <c r="F133" s="13"/>
      <c r="G133" s="234"/>
      <c r="H133" s="13"/>
      <c r="I133" s="234"/>
      <c r="J133" s="13"/>
      <c r="K133" s="234"/>
      <c r="L133" s="13"/>
      <c r="M133" s="234"/>
      <c r="N133" s="13"/>
      <c r="O133" s="234"/>
      <c r="P133" s="13"/>
      <c r="Q133" s="234"/>
      <c r="R133" s="13"/>
      <c r="S133" s="234"/>
      <c r="T133" s="13"/>
      <c r="U133" s="234"/>
      <c r="V133" s="13"/>
      <c r="W133" s="234"/>
      <c r="X133" s="13"/>
      <c r="Y133" s="234"/>
      <c r="Z133" s="13"/>
      <c r="AA133" s="234"/>
      <c r="AB133" s="13"/>
      <c r="AC133" s="139"/>
      <c r="AD133" s="237">
        <f t="shared" si="38"/>
        <v>0</v>
      </c>
      <c r="AE133" s="195">
        <f t="shared" si="39"/>
        <v>0</v>
      </c>
      <c r="AF133" s="134"/>
    </row>
    <row r="134" spans="2:32" s="129" customFormat="1" ht="15" customHeight="1" x14ac:dyDescent="0.3">
      <c r="B134" s="135"/>
      <c r="C134" s="155"/>
      <c r="D134" s="156"/>
      <c r="E134" s="234"/>
      <c r="F134" s="13"/>
      <c r="G134" s="234"/>
      <c r="H134" s="13"/>
      <c r="I134" s="234"/>
      <c r="J134" s="13"/>
      <c r="K134" s="234"/>
      <c r="L134" s="13"/>
      <c r="M134" s="234"/>
      <c r="N134" s="13"/>
      <c r="O134" s="234"/>
      <c r="P134" s="13"/>
      <c r="Q134" s="234"/>
      <c r="R134" s="13"/>
      <c r="S134" s="234"/>
      <c r="T134" s="13"/>
      <c r="U134" s="234"/>
      <c r="V134" s="13"/>
      <c r="W134" s="234"/>
      <c r="X134" s="13"/>
      <c r="Y134" s="234"/>
      <c r="Z134" s="13"/>
      <c r="AA134" s="234"/>
      <c r="AB134" s="13"/>
      <c r="AC134" s="139"/>
      <c r="AD134" s="237">
        <f t="shared" si="38"/>
        <v>0</v>
      </c>
      <c r="AE134" s="195">
        <f t="shared" si="39"/>
        <v>0</v>
      </c>
      <c r="AF134" s="134"/>
    </row>
    <row r="135" spans="2:32" s="129" customFormat="1" ht="15" customHeight="1" x14ac:dyDescent="0.3">
      <c r="B135" s="135"/>
      <c r="C135" s="163"/>
      <c r="D135" s="164"/>
      <c r="E135" s="234"/>
      <c r="F135" s="13"/>
      <c r="G135" s="234"/>
      <c r="H135" s="13"/>
      <c r="I135" s="234"/>
      <c r="J135" s="13"/>
      <c r="K135" s="234"/>
      <c r="L135" s="13"/>
      <c r="M135" s="234"/>
      <c r="N135" s="13"/>
      <c r="O135" s="234"/>
      <c r="P135" s="13"/>
      <c r="Q135" s="234"/>
      <c r="R135" s="13"/>
      <c r="S135" s="234"/>
      <c r="T135" s="13"/>
      <c r="U135" s="234"/>
      <c r="V135" s="13"/>
      <c r="W135" s="234"/>
      <c r="X135" s="13"/>
      <c r="Y135" s="234"/>
      <c r="Z135" s="13"/>
      <c r="AA135" s="234"/>
      <c r="AB135" s="13"/>
      <c r="AC135" s="139"/>
      <c r="AD135" s="237">
        <f t="shared" si="38"/>
        <v>0</v>
      </c>
      <c r="AE135" s="195">
        <f t="shared" si="39"/>
        <v>0</v>
      </c>
      <c r="AF135" s="134"/>
    </row>
    <row r="136" spans="2:32" s="129" customFormat="1" ht="15" customHeight="1" x14ac:dyDescent="0.3">
      <c r="B136" s="135"/>
      <c r="C136" s="155"/>
      <c r="D136" s="156"/>
      <c r="E136" s="234"/>
      <c r="F136" s="13"/>
      <c r="G136" s="234"/>
      <c r="H136" s="13"/>
      <c r="I136" s="234"/>
      <c r="J136" s="13"/>
      <c r="K136" s="234"/>
      <c r="L136" s="13"/>
      <c r="M136" s="234"/>
      <c r="N136" s="13"/>
      <c r="O136" s="234"/>
      <c r="P136" s="13"/>
      <c r="Q136" s="234"/>
      <c r="R136" s="13"/>
      <c r="S136" s="234"/>
      <c r="T136" s="13"/>
      <c r="U136" s="234"/>
      <c r="V136" s="13"/>
      <c r="W136" s="234"/>
      <c r="X136" s="13"/>
      <c r="Y136" s="234"/>
      <c r="Z136" s="13"/>
      <c r="AA136" s="234"/>
      <c r="AB136" s="13"/>
      <c r="AC136" s="139"/>
      <c r="AD136" s="237">
        <f t="shared" si="38"/>
        <v>0</v>
      </c>
      <c r="AE136" s="195">
        <f t="shared" si="39"/>
        <v>0</v>
      </c>
      <c r="AF136" s="134"/>
    </row>
    <row r="137" spans="2:32" s="129" customFormat="1" ht="15" customHeight="1" x14ac:dyDescent="0.3">
      <c r="B137" s="135"/>
      <c r="C137" s="155"/>
      <c r="D137" s="156"/>
      <c r="E137" s="234"/>
      <c r="F137" s="13"/>
      <c r="G137" s="234"/>
      <c r="H137" s="13"/>
      <c r="I137" s="234"/>
      <c r="J137" s="13"/>
      <c r="K137" s="234"/>
      <c r="L137" s="13"/>
      <c r="M137" s="234"/>
      <c r="N137" s="13"/>
      <c r="O137" s="234"/>
      <c r="P137" s="13"/>
      <c r="Q137" s="234"/>
      <c r="R137" s="13"/>
      <c r="S137" s="234"/>
      <c r="T137" s="13"/>
      <c r="U137" s="234"/>
      <c r="V137" s="13"/>
      <c r="W137" s="234"/>
      <c r="X137" s="13"/>
      <c r="Y137" s="234"/>
      <c r="Z137" s="13"/>
      <c r="AA137" s="234"/>
      <c r="AB137" s="13"/>
      <c r="AC137" s="139"/>
      <c r="AD137" s="237">
        <f t="shared" si="38"/>
        <v>0</v>
      </c>
      <c r="AE137" s="195">
        <f t="shared" si="39"/>
        <v>0</v>
      </c>
      <c r="AF137" s="134"/>
    </row>
    <row r="138" spans="2:32" s="129" customFormat="1" ht="15" customHeight="1" x14ac:dyDescent="0.3">
      <c r="B138" s="135"/>
      <c r="C138" s="155"/>
      <c r="D138" s="156"/>
      <c r="E138" s="234"/>
      <c r="F138" s="13"/>
      <c r="G138" s="234"/>
      <c r="H138" s="13"/>
      <c r="I138" s="234"/>
      <c r="J138" s="13"/>
      <c r="K138" s="234"/>
      <c r="L138" s="13"/>
      <c r="M138" s="234"/>
      <c r="N138" s="13"/>
      <c r="O138" s="234"/>
      <c r="P138" s="13"/>
      <c r="Q138" s="234"/>
      <c r="R138" s="13"/>
      <c r="S138" s="234"/>
      <c r="T138" s="13"/>
      <c r="U138" s="234"/>
      <c r="V138" s="13"/>
      <c r="W138" s="234"/>
      <c r="X138" s="13"/>
      <c r="Y138" s="234"/>
      <c r="Z138" s="13"/>
      <c r="AA138" s="234"/>
      <c r="AB138" s="13"/>
      <c r="AC138" s="139"/>
      <c r="AD138" s="237">
        <f t="shared" si="38"/>
        <v>0</v>
      </c>
      <c r="AE138" s="195">
        <f t="shared" si="39"/>
        <v>0</v>
      </c>
      <c r="AF138" s="134"/>
    </row>
    <row r="139" spans="2:32" s="129" customFormat="1" ht="15" customHeight="1" collapsed="1" x14ac:dyDescent="0.3">
      <c r="B139" s="135"/>
      <c r="C139" s="155"/>
      <c r="D139" s="159"/>
      <c r="E139" s="235"/>
      <c r="F139" s="14"/>
      <c r="G139" s="235"/>
      <c r="H139" s="14"/>
      <c r="I139" s="235"/>
      <c r="J139" s="14"/>
      <c r="K139" s="235"/>
      <c r="L139" s="14"/>
      <c r="M139" s="235"/>
      <c r="N139" s="14"/>
      <c r="O139" s="235"/>
      <c r="P139" s="14"/>
      <c r="Q139" s="235"/>
      <c r="R139" s="14"/>
      <c r="S139" s="235"/>
      <c r="T139" s="14"/>
      <c r="U139" s="235"/>
      <c r="V139" s="14"/>
      <c r="W139" s="235"/>
      <c r="X139" s="14"/>
      <c r="Y139" s="235"/>
      <c r="Z139" s="14"/>
      <c r="AA139" s="235"/>
      <c r="AB139" s="14"/>
      <c r="AC139" s="144"/>
      <c r="AD139" s="238">
        <f t="shared" ref="AD139" si="44">IFERROR(SUM(E139,G139,I139,K139,M139,O139,Q139,S139,U139,W139,Y139,AA139),0)</f>
        <v>0</v>
      </c>
      <c r="AE139" s="197">
        <f t="shared" ref="AE139" si="45">IFERROR(SUM(F139,H139,J139,L139,N139,P139,R139,T139,V139,X139,Z139,AB139),0)</f>
        <v>0</v>
      </c>
      <c r="AF139" s="134"/>
    </row>
    <row r="140" spans="2:32" s="129" customFormat="1" ht="15" customHeight="1" x14ac:dyDescent="0.3">
      <c r="B140" s="132"/>
      <c r="C140" s="136"/>
      <c r="D140" s="133"/>
      <c r="AF140" s="134"/>
    </row>
    <row r="141" spans="2:32" s="2" customFormat="1" ht="15" customHeight="1" x14ac:dyDescent="0.3">
      <c r="B141" s="185"/>
      <c r="C141" s="359" t="s">
        <v>87</v>
      </c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60"/>
      <c r="AF141" s="4"/>
    </row>
    <row r="142" spans="2:32" s="2" customFormat="1" ht="15" customHeight="1" x14ac:dyDescent="0.3">
      <c r="B142" s="185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  <c r="AC142" s="362"/>
      <c r="AD142" s="362"/>
      <c r="AE142" s="363"/>
      <c r="AF142" s="4"/>
    </row>
    <row r="143" spans="2:32" s="2" customFormat="1" ht="15" customHeight="1" x14ac:dyDescent="0.3">
      <c r="B143" s="185"/>
      <c r="C143" s="390" t="s">
        <v>128</v>
      </c>
      <c r="D143" s="393" t="s">
        <v>20</v>
      </c>
      <c r="E143" s="367" t="s">
        <v>5</v>
      </c>
      <c r="F143" s="368"/>
      <c r="G143" s="367" t="s">
        <v>6</v>
      </c>
      <c r="H143" s="368"/>
      <c r="I143" s="367" t="s">
        <v>7</v>
      </c>
      <c r="J143" s="368"/>
      <c r="K143" s="367" t="s">
        <v>8</v>
      </c>
      <c r="L143" s="368"/>
      <c r="M143" s="367" t="s">
        <v>9</v>
      </c>
      <c r="N143" s="368"/>
      <c r="O143" s="367" t="s">
        <v>10</v>
      </c>
      <c r="P143" s="368"/>
      <c r="Q143" s="367" t="s">
        <v>11</v>
      </c>
      <c r="R143" s="368"/>
      <c r="S143" s="367" t="s">
        <v>12</v>
      </c>
      <c r="T143" s="368"/>
      <c r="U143" s="367" t="s">
        <v>13</v>
      </c>
      <c r="V143" s="368"/>
      <c r="W143" s="367" t="s">
        <v>14</v>
      </c>
      <c r="X143" s="368"/>
      <c r="Y143" s="367" t="s">
        <v>15</v>
      </c>
      <c r="Z143" s="368"/>
      <c r="AA143" s="367" t="s">
        <v>16</v>
      </c>
      <c r="AB143" s="368"/>
      <c r="AC143" s="186"/>
      <c r="AD143" s="367" t="s">
        <v>17</v>
      </c>
      <c r="AE143" s="368"/>
      <c r="AF143" s="4"/>
    </row>
    <row r="144" spans="2:32" s="2" customFormat="1" ht="15" customHeight="1" x14ac:dyDescent="0.3">
      <c r="B144" s="185"/>
      <c r="C144" s="391"/>
      <c r="D144" s="394"/>
      <c r="E144" s="232" t="s">
        <v>18</v>
      </c>
      <c r="F144" s="233" t="s">
        <v>19</v>
      </c>
      <c r="G144" s="232" t="s">
        <v>18</v>
      </c>
      <c r="H144" s="233" t="s">
        <v>19</v>
      </c>
      <c r="I144" s="232" t="s">
        <v>18</v>
      </c>
      <c r="J144" s="233" t="s">
        <v>19</v>
      </c>
      <c r="K144" s="232" t="s">
        <v>18</v>
      </c>
      <c r="L144" s="233" t="s">
        <v>19</v>
      </c>
      <c r="M144" s="232" t="s">
        <v>18</v>
      </c>
      <c r="N144" s="233" t="s">
        <v>19</v>
      </c>
      <c r="O144" s="232" t="s">
        <v>18</v>
      </c>
      <c r="P144" s="233" t="s">
        <v>19</v>
      </c>
      <c r="Q144" s="232" t="s">
        <v>18</v>
      </c>
      <c r="R144" s="233" t="s">
        <v>19</v>
      </c>
      <c r="S144" s="232" t="s">
        <v>18</v>
      </c>
      <c r="T144" s="233" t="s">
        <v>19</v>
      </c>
      <c r="U144" s="232" t="s">
        <v>18</v>
      </c>
      <c r="V144" s="233" t="s">
        <v>19</v>
      </c>
      <c r="W144" s="232" t="s">
        <v>18</v>
      </c>
      <c r="X144" s="233" t="s">
        <v>19</v>
      </c>
      <c r="Y144" s="232" t="s">
        <v>18</v>
      </c>
      <c r="Z144" s="233" t="s">
        <v>19</v>
      </c>
      <c r="AA144" s="232" t="s">
        <v>18</v>
      </c>
      <c r="AB144" s="233" t="s">
        <v>19</v>
      </c>
      <c r="AC144" s="187"/>
      <c r="AD144" s="232" t="s">
        <v>18</v>
      </c>
      <c r="AE144" s="233" t="s">
        <v>19</v>
      </c>
      <c r="AF144" s="4"/>
    </row>
    <row r="145" spans="2:32" s="2" customFormat="1" ht="15" customHeight="1" x14ac:dyDescent="0.3">
      <c r="B145" s="185"/>
      <c r="C145" s="392"/>
      <c r="D145" s="395"/>
      <c r="E145" s="188">
        <f t="shared" ref="E145:AB145" si="46">IFERROR(SUM(E146:E155),0)</f>
        <v>0</v>
      </c>
      <c r="F145" s="189">
        <f t="shared" si="46"/>
        <v>0</v>
      </c>
      <c r="G145" s="188">
        <f t="shared" si="46"/>
        <v>0</v>
      </c>
      <c r="H145" s="189">
        <f t="shared" si="46"/>
        <v>0</v>
      </c>
      <c r="I145" s="188">
        <f t="shared" si="46"/>
        <v>0</v>
      </c>
      <c r="J145" s="189">
        <f t="shared" si="46"/>
        <v>0</v>
      </c>
      <c r="K145" s="188">
        <f t="shared" si="46"/>
        <v>0</v>
      </c>
      <c r="L145" s="189">
        <f t="shared" si="46"/>
        <v>0</v>
      </c>
      <c r="M145" s="188">
        <f t="shared" si="46"/>
        <v>0</v>
      </c>
      <c r="N145" s="189">
        <f t="shared" si="46"/>
        <v>0</v>
      </c>
      <c r="O145" s="188">
        <f t="shared" si="46"/>
        <v>0</v>
      </c>
      <c r="P145" s="189">
        <f t="shared" si="46"/>
        <v>0</v>
      </c>
      <c r="Q145" s="188">
        <f t="shared" si="46"/>
        <v>0</v>
      </c>
      <c r="R145" s="189">
        <f t="shared" si="46"/>
        <v>0</v>
      </c>
      <c r="S145" s="188">
        <f t="shared" si="46"/>
        <v>0</v>
      </c>
      <c r="T145" s="189">
        <f t="shared" si="46"/>
        <v>0</v>
      </c>
      <c r="U145" s="188">
        <f t="shared" si="46"/>
        <v>0</v>
      </c>
      <c r="V145" s="189">
        <f t="shared" si="46"/>
        <v>0</v>
      </c>
      <c r="W145" s="188">
        <f t="shared" si="46"/>
        <v>0</v>
      </c>
      <c r="X145" s="189">
        <f t="shared" si="46"/>
        <v>0</v>
      </c>
      <c r="Y145" s="188">
        <f t="shared" si="46"/>
        <v>0</v>
      </c>
      <c r="Z145" s="189">
        <f t="shared" si="46"/>
        <v>0</v>
      </c>
      <c r="AA145" s="188">
        <f t="shared" si="46"/>
        <v>0</v>
      </c>
      <c r="AB145" s="189">
        <f t="shared" si="46"/>
        <v>0</v>
      </c>
      <c r="AC145" s="192"/>
      <c r="AD145" s="188">
        <f>IFERROR(SUM(AD146:AD155),0)</f>
        <v>0</v>
      </c>
      <c r="AE145" s="189">
        <f>IFERROR(SUM(AE146:AE155),0)</f>
        <v>0</v>
      </c>
      <c r="AF145" s="4"/>
    </row>
    <row r="146" spans="2:32" s="129" customFormat="1" ht="15" customHeight="1" x14ac:dyDescent="0.3">
      <c r="B146" s="135"/>
      <c r="C146" s="163"/>
      <c r="D146" s="165"/>
      <c r="E146" s="240"/>
      <c r="F146" s="12"/>
      <c r="G146" s="240"/>
      <c r="H146" s="12"/>
      <c r="I146" s="240"/>
      <c r="J146" s="12"/>
      <c r="K146" s="240"/>
      <c r="L146" s="12"/>
      <c r="M146" s="240"/>
      <c r="N146" s="12"/>
      <c r="O146" s="240"/>
      <c r="P146" s="12"/>
      <c r="Q146" s="240"/>
      <c r="R146" s="12"/>
      <c r="S146" s="240"/>
      <c r="T146" s="12"/>
      <c r="U146" s="240"/>
      <c r="V146" s="12"/>
      <c r="W146" s="240"/>
      <c r="X146" s="12"/>
      <c r="Y146" s="240"/>
      <c r="Z146" s="12"/>
      <c r="AA146" s="240"/>
      <c r="AB146" s="12"/>
      <c r="AC146" s="139"/>
      <c r="AD146" s="239">
        <f t="shared" ref="AD146:AE150" si="47">IFERROR(SUM(E146,G146,I146,K146,M146,O146,Q146,S146,U146,W146,Y146,AA146),0)</f>
        <v>0</v>
      </c>
      <c r="AE146" s="194">
        <f t="shared" si="47"/>
        <v>0</v>
      </c>
      <c r="AF146" s="134"/>
    </row>
    <row r="147" spans="2:32" s="129" customFormat="1" ht="15" customHeight="1" x14ac:dyDescent="0.3">
      <c r="B147" s="135"/>
      <c r="C147" s="155"/>
      <c r="D147" s="156"/>
      <c r="E147" s="234"/>
      <c r="F147" s="13"/>
      <c r="G147" s="234"/>
      <c r="H147" s="13"/>
      <c r="I147" s="234"/>
      <c r="J147" s="13"/>
      <c r="K147" s="234"/>
      <c r="L147" s="13"/>
      <c r="M147" s="234"/>
      <c r="N147" s="13"/>
      <c r="O147" s="234"/>
      <c r="P147" s="13"/>
      <c r="Q147" s="234"/>
      <c r="R147" s="13"/>
      <c r="S147" s="234"/>
      <c r="T147" s="13"/>
      <c r="U147" s="234"/>
      <c r="V147" s="13"/>
      <c r="W147" s="234"/>
      <c r="X147" s="13"/>
      <c r="Y147" s="234"/>
      <c r="Z147" s="13"/>
      <c r="AA147" s="234"/>
      <c r="AB147" s="13"/>
      <c r="AC147" s="139"/>
      <c r="AD147" s="237">
        <f t="shared" si="47"/>
        <v>0</v>
      </c>
      <c r="AE147" s="195">
        <f t="shared" si="47"/>
        <v>0</v>
      </c>
      <c r="AF147" s="134"/>
    </row>
    <row r="148" spans="2:32" s="129" customFormat="1" ht="15" customHeight="1" x14ac:dyDescent="0.3">
      <c r="B148" s="135"/>
      <c r="C148" s="155"/>
      <c r="D148" s="156"/>
      <c r="E148" s="234"/>
      <c r="F148" s="13"/>
      <c r="G148" s="234"/>
      <c r="H148" s="13"/>
      <c r="I148" s="234"/>
      <c r="J148" s="13"/>
      <c r="K148" s="234"/>
      <c r="L148" s="13"/>
      <c r="M148" s="234"/>
      <c r="N148" s="13"/>
      <c r="O148" s="234"/>
      <c r="P148" s="13"/>
      <c r="Q148" s="234"/>
      <c r="R148" s="13"/>
      <c r="S148" s="234"/>
      <c r="T148" s="13"/>
      <c r="U148" s="234"/>
      <c r="V148" s="13"/>
      <c r="W148" s="234"/>
      <c r="X148" s="13"/>
      <c r="Y148" s="234"/>
      <c r="Z148" s="13"/>
      <c r="AA148" s="234"/>
      <c r="AB148" s="13"/>
      <c r="AC148" s="139"/>
      <c r="AD148" s="237">
        <f t="shared" si="47"/>
        <v>0</v>
      </c>
      <c r="AE148" s="195">
        <f t="shared" si="47"/>
        <v>0</v>
      </c>
      <c r="AF148" s="134"/>
    </row>
    <row r="149" spans="2:32" s="129" customFormat="1" ht="15" customHeight="1" x14ac:dyDescent="0.3">
      <c r="B149" s="135"/>
      <c r="C149" s="155"/>
      <c r="D149" s="156"/>
      <c r="E149" s="234"/>
      <c r="F149" s="13"/>
      <c r="G149" s="234"/>
      <c r="H149" s="13"/>
      <c r="I149" s="234"/>
      <c r="J149" s="13"/>
      <c r="K149" s="234"/>
      <c r="L149" s="13"/>
      <c r="M149" s="234"/>
      <c r="N149" s="13"/>
      <c r="O149" s="234"/>
      <c r="P149" s="13"/>
      <c r="Q149" s="234"/>
      <c r="R149" s="13"/>
      <c r="S149" s="234"/>
      <c r="T149" s="13"/>
      <c r="U149" s="234"/>
      <c r="V149" s="13"/>
      <c r="W149" s="234"/>
      <c r="X149" s="13"/>
      <c r="Y149" s="234"/>
      <c r="Z149" s="13"/>
      <c r="AA149" s="234"/>
      <c r="AB149" s="13"/>
      <c r="AC149" s="139"/>
      <c r="AD149" s="237">
        <f t="shared" si="47"/>
        <v>0</v>
      </c>
      <c r="AE149" s="195">
        <f t="shared" si="47"/>
        <v>0</v>
      </c>
      <c r="AF149" s="134"/>
    </row>
    <row r="150" spans="2:32" s="129" customFormat="1" ht="15" customHeight="1" x14ac:dyDescent="0.3">
      <c r="B150" s="135"/>
      <c r="C150" s="161"/>
      <c r="D150" s="162"/>
      <c r="E150" s="234"/>
      <c r="F150" s="13"/>
      <c r="G150" s="234"/>
      <c r="H150" s="13"/>
      <c r="I150" s="234"/>
      <c r="J150" s="13"/>
      <c r="K150" s="234"/>
      <c r="L150" s="13"/>
      <c r="M150" s="234"/>
      <c r="N150" s="13"/>
      <c r="O150" s="234"/>
      <c r="P150" s="13"/>
      <c r="Q150" s="234"/>
      <c r="R150" s="13"/>
      <c r="S150" s="234"/>
      <c r="T150" s="13"/>
      <c r="U150" s="234"/>
      <c r="V150" s="13"/>
      <c r="W150" s="234"/>
      <c r="X150" s="13"/>
      <c r="Y150" s="234"/>
      <c r="Z150" s="13"/>
      <c r="AA150" s="234"/>
      <c r="AB150" s="13"/>
      <c r="AC150" s="139"/>
      <c r="AD150" s="237">
        <f t="shared" si="47"/>
        <v>0</v>
      </c>
      <c r="AE150" s="195">
        <f t="shared" si="47"/>
        <v>0</v>
      </c>
      <c r="AF150" s="134"/>
    </row>
    <row r="151" spans="2:32" s="129" customFormat="1" ht="15" customHeight="1" x14ac:dyDescent="0.3">
      <c r="B151" s="135"/>
      <c r="C151" s="166"/>
      <c r="D151" s="167"/>
      <c r="E151" s="241"/>
      <c r="F151" s="13"/>
      <c r="G151" s="241"/>
      <c r="H151" s="13"/>
      <c r="I151" s="241"/>
      <c r="J151" s="13"/>
      <c r="K151" s="241"/>
      <c r="L151" s="13"/>
      <c r="M151" s="241"/>
      <c r="N151" s="13"/>
      <c r="O151" s="241"/>
      <c r="P151" s="13"/>
      <c r="Q151" s="241"/>
      <c r="R151" s="13"/>
      <c r="S151" s="241"/>
      <c r="T151" s="13"/>
      <c r="U151" s="241"/>
      <c r="V151" s="13"/>
      <c r="W151" s="241"/>
      <c r="X151" s="13"/>
      <c r="Y151" s="241"/>
      <c r="Z151" s="13"/>
      <c r="AA151" s="241"/>
      <c r="AB151" s="13"/>
      <c r="AC151" s="139"/>
      <c r="AD151" s="236">
        <f t="shared" ref="AD151:AE155" si="48">IFERROR(SUM(E151,G151,I151,K151,M151,O151,Q151,S151,U151,W151,Y151,AA151),0)</f>
        <v>0</v>
      </c>
      <c r="AE151" s="196">
        <f t="shared" si="48"/>
        <v>0</v>
      </c>
      <c r="AF151" s="134"/>
    </row>
    <row r="152" spans="2:32" s="129" customFormat="1" ht="15" customHeight="1" x14ac:dyDescent="0.3">
      <c r="B152" s="135"/>
      <c r="C152" s="161"/>
      <c r="D152" s="162"/>
      <c r="E152" s="234"/>
      <c r="F152" s="13"/>
      <c r="G152" s="234"/>
      <c r="H152" s="13"/>
      <c r="I152" s="234"/>
      <c r="J152" s="13"/>
      <c r="K152" s="234"/>
      <c r="L152" s="13"/>
      <c r="M152" s="234"/>
      <c r="N152" s="13"/>
      <c r="O152" s="234"/>
      <c r="P152" s="13"/>
      <c r="Q152" s="234"/>
      <c r="R152" s="13"/>
      <c r="S152" s="234"/>
      <c r="T152" s="13"/>
      <c r="U152" s="234"/>
      <c r="V152" s="13"/>
      <c r="W152" s="234"/>
      <c r="X152" s="13"/>
      <c r="Y152" s="234"/>
      <c r="Z152" s="13"/>
      <c r="AA152" s="234"/>
      <c r="AB152" s="13"/>
      <c r="AC152" s="139"/>
      <c r="AD152" s="237">
        <f t="shared" si="48"/>
        <v>0</v>
      </c>
      <c r="AE152" s="195">
        <f t="shared" si="48"/>
        <v>0</v>
      </c>
      <c r="AF152" s="134"/>
    </row>
    <row r="153" spans="2:32" s="129" customFormat="1" ht="15" customHeight="1" x14ac:dyDescent="0.3">
      <c r="B153" s="135"/>
      <c r="C153" s="161"/>
      <c r="D153" s="162"/>
      <c r="E153" s="234"/>
      <c r="F153" s="13"/>
      <c r="G153" s="234"/>
      <c r="H153" s="13"/>
      <c r="I153" s="234"/>
      <c r="J153" s="13"/>
      <c r="K153" s="234"/>
      <c r="L153" s="13"/>
      <c r="M153" s="234"/>
      <c r="N153" s="13"/>
      <c r="O153" s="234"/>
      <c r="P153" s="13"/>
      <c r="Q153" s="234"/>
      <c r="R153" s="13"/>
      <c r="S153" s="234"/>
      <c r="T153" s="13"/>
      <c r="U153" s="234"/>
      <c r="V153" s="13"/>
      <c r="W153" s="234"/>
      <c r="X153" s="13"/>
      <c r="Y153" s="234"/>
      <c r="Z153" s="13"/>
      <c r="AA153" s="234"/>
      <c r="AB153" s="13"/>
      <c r="AC153" s="139"/>
      <c r="AD153" s="237">
        <f t="shared" si="48"/>
        <v>0</v>
      </c>
      <c r="AE153" s="195">
        <f t="shared" si="48"/>
        <v>0</v>
      </c>
      <c r="AF153" s="134"/>
    </row>
    <row r="154" spans="2:32" s="129" customFormat="1" ht="15" customHeight="1" x14ac:dyDescent="0.3">
      <c r="B154" s="135"/>
      <c r="C154" s="161"/>
      <c r="D154" s="162"/>
      <c r="E154" s="234"/>
      <c r="F154" s="13"/>
      <c r="G154" s="234"/>
      <c r="H154" s="13"/>
      <c r="I154" s="234"/>
      <c r="J154" s="13"/>
      <c r="K154" s="234"/>
      <c r="L154" s="13"/>
      <c r="M154" s="234"/>
      <c r="N154" s="13"/>
      <c r="O154" s="234"/>
      <c r="P154" s="13"/>
      <c r="Q154" s="234"/>
      <c r="R154" s="13"/>
      <c r="S154" s="234"/>
      <c r="T154" s="13"/>
      <c r="U154" s="234"/>
      <c r="V154" s="13"/>
      <c r="W154" s="234"/>
      <c r="X154" s="13"/>
      <c r="Y154" s="234"/>
      <c r="Z154" s="13"/>
      <c r="AA154" s="234"/>
      <c r="AB154" s="13"/>
      <c r="AC154" s="139"/>
      <c r="AD154" s="237">
        <f t="shared" si="48"/>
        <v>0</v>
      </c>
      <c r="AE154" s="195">
        <f t="shared" si="48"/>
        <v>0</v>
      </c>
      <c r="AF154" s="134"/>
    </row>
    <row r="155" spans="2:32" s="129" customFormat="1" ht="15" customHeight="1" x14ac:dyDescent="0.3">
      <c r="B155" s="135"/>
      <c r="C155" s="168"/>
      <c r="D155" s="169"/>
      <c r="E155" s="235"/>
      <c r="F155" s="14"/>
      <c r="G155" s="235"/>
      <c r="H155" s="14"/>
      <c r="I155" s="235"/>
      <c r="J155" s="14"/>
      <c r="K155" s="235"/>
      <c r="L155" s="14"/>
      <c r="M155" s="235"/>
      <c r="N155" s="14"/>
      <c r="O155" s="235"/>
      <c r="P155" s="14"/>
      <c r="Q155" s="235"/>
      <c r="R155" s="14"/>
      <c r="S155" s="235"/>
      <c r="T155" s="14"/>
      <c r="U155" s="235"/>
      <c r="V155" s="14"/>
      <c r="W155" s="235"/>
      <c r="X155" s="14"/>
      <c r="Y155" s="235"/>
      <c r="Z155" s="14"/>
      <c r="AA155" s="235"/>
      <c r="AB155" s="14"/>
      <c r="AC155" s="144"/>
      <c r="AD155" s="238">
        <f t="shared" si="48"/>
        <v>0</v>
      </c>
      <c r="AE155" s="197">
        <f t="shared" si="48"/>
        <v>0</v>
      </c>
      <c r="AF155" s="134"/>
    </row>
    <row r="156" spans="2:32" s="129" customFormat="1" ht="15" customHeight="1" x14ac:dyDescent="0.3">
      <c r="B156" s="145"/>
      <c r="C156" s="146"/>
      <c r="D156" s="146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47"/>
    </row>
    <row r="157" spans="2:32" s="129" customFormat="1" ht="15" customHeight="1" x14ac:dyDescent="0.3">
      <c r="B157" s="148"/>
      <c r="C157" s="133"/>
      <c r="D157" s="133"/>
      <c r="AF157" s="134"/>
    </row>
    <row r="158" spans="2:32" s="129" customFormat="1" ht="15" customHeight="1" x14ac:dyDescent="0.3">
      <c r="B158" s="132"/>
      <c r="C158" s="371" t="s">
        <v>122</v>
      </c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1"/>
      <c r="AF158" s="134"/>
    </row>
    <row r="159" spans="2:32" s="129" customFormat="1" ht="15" customHeight="1" x14ac:dyDescent="0.25">
      <c r="B159" s="145"/>
      <c r="C159" s="149"/>
      <c r="D159" s="149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47"/>
    </row>
    <row r="160" spans="2:32" s="129" customFormat="1" ht="15" customHeight="1" x14ac:dyDescent="0.3">
      <c r="C160" s="133"/>
      <c r="D160" s="133"/>
    </row>
    <row r="161" spans="3:4" s="129" customFormat="1" ht="15" customHeight="1" x14ac:dyDescent="0.3">
      <c r="C161" s="133"/>
      <c r="D161" s="133"/>
    </row>
    <row r="162" spans="3:4" s="129" customFormat="1" ht="15" customHeight="1" x14ac:dyDescent="0.3">
      <c r="C162" s="133"/>
      <c r="D162" s="133"/>
    </row>
    <row r="163" spans="3:4" s="129" customFormat="1" ht="15" customHeight="1" x14ac:dyDescent="0.3">
      <c r="C163" s="133"/>
      <c r="D163" s="133"/>
    </row>
    <row r="164" spans="3:4" s="129" customFormat="1" ht="15" customHeight="1" x14ac:dyDescent="0.3">
      <c r="C164" s="133"/>
      <c r="D164" s="133"/>
    </row>
    <row r="165" spans="3:4" s="129" customFormat="1" ht="15" customHeight="1" x14ac:dyDescent="0.3">
      <c r="C165" s="133"/>
      <c r="D165" s="133"/>
    </row>
    <row r="166" spans="3:4" s="129" customFormat="1" ht="15" customHeight="1" x14ac:dyDescent="0.3">
      <c r="C166" s="133"/>
      <c r="D166" s="133"/>
    </row>
    <row r="167" spans="3:4" s="129" customFormat="1" ht="15" customHeight="1" x14ac:dyDescent="0.3">
      <c r="C167" s="133"/>
      <c r="D167" s="133"/>
    </row>
    <row r="168" spans="3:4" s="129" customFormat="1" ht="15" customHeight="1" x14ac:dyDescent="0.3">
      <c r="C168" s="133"/>
      <c r="D168" s="133"/>
    </row>
    <row r="169" spans="3:4" s="129" customFormat="1" ht="15" customHeight="1" x14ac:dyDescent="0.3">
      <c r="C169" s="133"/>
      <c r="D169" s="133"/>
    </row>
    <row r="170" spans="3:4" s="129" customFormat="1" ht="15" customHeight="1" x14ac:dyDescent="0.3">
      <c r="C170" s="133"/>
      <c r="D170" s="133"/>
    </row>
    <row r="171" spans="3:4" s="129" customFormat="1" ht="15" customHeight="1" x14ac:dyDescent="0.3">
      <c r="C171" s="133"/>
      <c r="D171" s="133"/>
    </row>
    <row r="172" spans="3:4" s="129" customFormat="1" ht="15" customHeight="1" x14ac:dyDescent="0.3">
      <c r="C172" s="133"/>
      <c r="D172" s="133"/>
    </row>
    <row r="173" spans="3:4" s="129" customFormat="1" ht="15" customHeight="1" x14ac:dyDescent="0.3">
      <c r="C173" s="133"/>
      <c r="D173" s="133"/>
    </row>
    <row r="174" spans="3:4" s="129" customFormat="1" ht="15" customHeight="1" x14ac:dyDescent="0.3">
      <c r="C174" s="133"/>
      <c r="D174" s="133"/>
    </row>
    <row r="175" spans="3:4" s="129" customFormat="1" ht="15" customHeight="1" x14ac:dyDescent="0.3">
      <c r="C175" s="133"/>
      <c r="D175" s="133"/>
    </row>
    <row r="176" spans="3:4" s="129" customFormat="1" ht="15" customHeight="1" x14ac:dyDescent="0.3">
      <c r="C176" s="133"/>
      <c r="D176" s="133"/>
    </row>
    <row r="177" spans="3:4" s="129" customFormat="1" ht="15" customHeight="1" x14ac:dyDescent="0.3">
      <c r="C177" s="133"/>
      <c r="D177" s="133"/>
    </row>
    <row r="178" spans="3:4" s="129" customFormat="1" ht="15" customHeight="1" x14ac:dyDescent="0.3">
      <c r="C178" s="133"/>
      <c r="D178" s="133"/>
    </row>
    <row r="179" spans="3:4" s="129" customFormat="1" ht="15" customHeight="1" x14ac:dyDescent="0.3">
      <c r="C179" s="133"/>
      <c r="D179" s="133"/>
    </row>
    <row r="180" spans="3:4" s="129" customFormat="1" ht="15" customHeight="1" x14ac:dyDescent="0.3">
      <c r="C180" s="133"/>
      <c r="D180" s="133"/>
    </row>
    <row r="181" spans="3:4" s="129" customFormat="1" ht="15" customHeight="1" x14ac:dyDescent="0.3">
      <c r="C181" s="133"/>
      <c r="D181" s="133"/>
    </row>
    <row r="182" spans="3:4" s="129" customFormat="1" ht="15" customHeight="1" x14ac:dyDescent="0.3">
      <c r="C182" s="133"/>
      <c r="D182" s="133"/>
    </row>
    <row r="183" spans="3:4" s="129" customFormat="1" ht="15" customHeight="1" x14ac:dyDescent="0.3">
      <c r="C183" s="133"/>
      <c r="D183" s="133"/>
    </row>
    <row r="184" spans="3:4" s="129" customFormat="1" ht="15" customHeight="1" x14ac:dyDescent="0.3">
      <c r="C184" s="133"/>
      <c r="D184" s="133"/>
    </row>
    <row r="185" spans="3:4" s="129" customFormat="1" ht="15" customHeight="1" x14ac:dyDescent="0.3">
      <c r="C185" s="133"/>
      <c r="D185" s="133"/>
    </row>
    <row r="186" spans="3:4" s="129" customFormat="1" ht="15" customHeight="1" x14ac:dyDescent="0.3">
      <c r="C186" s="133"/>
      <c r="D186" s="133"/>
    </row>
    <row r="187" spans="3:4" s="129" customFormat="1" ht="15" customHeight="1" x14ac:dyDescent="0.3">
      <c r="C187" s="133"/>
      <c r="D187" s="133"/>
    </row>
    <row r="188" spans="3:4" s="129" customFormat="1" ht="15" customHeight="1" x14ac:dyDescent="0.3">
      <c r="C188" s="133"/>
      <c r="D188" s="133"/>
    </row>
    <row r="189" spans="3:4" s="129" customFormat="1" ht="15" customHeight="1" x14ac:dyDescent="0.3">
      <c r="C189" s="133"/>
      <c r="D189" s="133"/>
    </row>
    <row r="190" spans="3:4" s="129" customFormat="1" ht="15" customHeight="1" x14ac:dyDescent="0.3">
      <c r="C190" s="133"/>
      <c r="D190" s="133"/>
    </row>
    <row r="191" spans="3:4" s="129" customFormat="1" ht="15" customHeight="1" x14ac:dyDescent="0.3">
      <c r="C191" s="133"/>
      <c r="D191" s="133"/>
    </row>
    <row r="192" spans="3:4" s="129" customFormat="1" ht="15" customHeight="1" x14ac:dyDescent="0.3">
      <c r="C192" s="133"/>
      <c r="D192" s="133"/>
    </row>
    <row r="193" spans="3:4" s="129" customFormat="1" ht="15" customHeight="1" x14ac:dyDescent="0.3">
      <c r="C193" s="133"/>
      <c r="D193" s="133"/>
    </row>
    <row r="194" spans="3:4" s="129" customFormat="1" ht="15" customHeight="1" x14ac:dyDescent="0.3">
      <c r="C194" s="133"/>
      <c r="D194" s="133"/>
    </row>
    <row r="195" spans="3:4" s="129" customFormat="1" ht="15" customHeight="1" x14ac:dyDescent="0.3">
      <c r="C195" s="133"/>
      <c r="D195" s="133"/>
    </row>
    <row r="196" spans="3:4" s="129" customFormat="1" ht="15" customHeight="1" x14ac:dyDescent="0.3">
      <c r="C196" s="133"/>
      <c r="D196" s="133"/>
    </row>
    <row r="197" spans="3:4" s="129" customFormat="1" ht="15" customHeight="1" x14ac:dyDescent="0.3">
      <c r="C197" s="133"/>
      <c r="D197" s="133"/>
    </row>
    <row r="198" spans="3:4" s="129" customFormat="1" ht="15" customHeight="1" x14ac:dyDescent="0.3">
      <c r="C198" s="133"/>
      <c r="D198" s="133"/>
    </row>
    <row r="199" spans="3:4" s="129" customFormat="1" ht="15" customHeight="1" x14ac:dyDescent="0.3">
      <c r="C199" s="133"/>
      <c r="D199" s="133"/>
    </row>
    <row r="200" spans="3:4" s="129" customFormat="1" ht="15" customHeight="1" x14ac:dyDescent="0.3">
      <c r="C200" s="133"/>
      <c r="D200" s="133"/>
    </row>
    <row r="201" spans="3:4" s="129" customFormat="1" ht="15" customHeight="1" x14ac:dyDescent="0.3">
      <c r="C201" s="133"/>
      <c r="D201" s="133"/>
    </row>
    <row r="202" spans="3:4" s="129" customFormat="1" ht="15" customHeight="1" x14ac:dyDescent="0.3">
      <c r="C202" s="133"/>
      <c r="D202" s="133"/>
    </row>
    <row r="203" spans="3:4" s="129" customFormat="1" ht="15" customHeight="1" x14ac:dyDescent="0.3">
      <c r="C203" s="133"/>
      <c r="D203" s="133"/>
    </row>
    <row r="204" spans="3:4" s="129" customFormat="1" ht="15" customHeight="1" x14ac:dyDescent="0.3">
      <c r="C204" s="133"/>
      <c r="D204" s="133"/>
    </row>
    <row r="205" spans="3:4" s="129" customFormat="1" ht="15" customHeight="1" x14ac:dyDescent="0.3">
      <c r="C205" s="133"/>
      <c r="D205" s="133"/>
    </row>
    <row r="206" spans="3:4" s="129" customFormat="1" ht="15" customHeight="1" x14ac:dyDescent="0.3">
      <c r="C206" s="133"/>
      <c r="D206" s="133"/>
    </row>
    <row r="207" spans="3:4" s="129" customFormat="1" ht="15" customHeight="1" x14ac:dyDescent="0.3">
      <c r="C207" s="133"/>
      <c r="D207" s="133"/>
    </row>
    <row r="208" spans="3:4" s="129" customFormat="1" ht="15" customHeight="1" x14ac:dyDescent="0.3">
      <c r="C208" s="133"/>
      <c r="D208" s="133"/>
    </row>
    <row r="209" spans="3:4" s="129" customFormat="1" ht="15" customHeight="1" x14ac:dyDescent="0.3">
      <c r="C209" s="133"/>
      <c r="D209" s="133"/>
    </row>
    <row r="210" spans="3:4" s="129" customFormat="1" ht="15" customHeight="1" x14ac:dyDescent="0.3">
      <c r="C210" s="133"/>
      <c r="D210" s="133"/>
    </row>
  </sheetData>
  <sheetProtection formatCells="0" formatColumns="0" formatRows="0" sort="0" autoFilter="0" pivotTables="0"/>
  <sortState xmlns:xlrd2="http://schemas.microsoft.com/office/spreadsheetml/2017/richdata2" ref="C147:C150">
    <sortCondition ref="C146:C150"/>
  </sortState>
  <mergeCells count="83">
    <mergeCell ref="C158:AE158"/>
    <mergeCell ref="Q112:R112"/>
    <mergeCell ref="S112:T112"/>
    <mergeCell ref="U112:V112"/>
    <mergeCell ref="AD143:AE143"/>
    <mergeCell ref="Y143:Z143"/>
    <mergeCell ref="AA143:AB143"/>
    <mergeCell ref="K143:L143"/>
    <mergeCell ref="C141:AE142"/>
    <mergeCell ref="M143:N143"/>
    <mergeCell ref="O143:P143"/>
    <mergeCell ref="Q143:R143"/>
    <mergeCell ref="D143:D145"/>
    <mergeCell ref="E143:F143"/>
    <mergeCell ref="G143:H143"/>
    <mergeCell ref="S143:T143"/>
    <mergeCell ref="Y112:Z112"/>
    <mergeCell ref="AA112:AB112"/>
    <mergeCell ref="W112:X112"/>
    <mergeCell ref="S86:T86"/>
    <mergeCell ref="C110:AE111"/>
    <mergeCell ref="M112:N112"/>
    <mergeCell ref="I112:J112"/>
    <mergeCell ref="AD112:AE112"/>
    <mergeCell ref="K112:L112"/>
    <mergeCell ref="O112:P112"/>
    <mergeCell ref="C112:C114"/>
    <mergeCell ref="D112:D114"/>
    <mergeCell ref="E112:F112"/>
    <mergeCell ref="M86:N86"/>
    <mergeCell ref="Y86:Z86"/>
    <mergeCell ref="U143:V143"/>
    <mergeCell ref="W143:X143"/>
    <mergeCell ref="C143:C145"/>
    <mergeCell ref="G112:H112"/>
    <mergeCell ref="I143:J143"/>
    <mergeCell ref="S20:T20"/>
    <mergeCell ref="U20:V20"/>
    <mergeCell ref="W20:X20"/>
    <mergeCell ref="Y20:Z20"/>
    <mergeCell ref="AA20:AB20"/>
    <mergeCell ref="C84:AE85"/>
    <mergeCell ref="D86:D88"/>
    <mergeCell ref="E86:F86"/>
    <mergeCell ref="G86:H86"/>
    <mergeCell ref="C86:C88"/>
    <mergeCell ref="AA86:AB86"/>
    <mergeCell ref="U86:V86"/>
    <mergeCell ref="AD86:AE86"/>
    <mergeCell ref="O86:P86"/>
    <mergeCell ref="Q86:R86"/>
    <mergeCell ref="I86:J86"/>
    <mergeCell ref="K86:L86"/>
    <mergeCell ref="W86:X86"/>
    <mergeCell ref="C18:AE19"/>
    <mergeCell ref="U14:V14"/>
    <mergeCell ref="C20:C22"/>
    <mergeCell ref="D20:D22"/>
    <mergeCell ref="E20:F20"/>
    <mergeCell ref="G20:H20"/>
    <mergeCell ref="I20:J20"/>
    <mergeCell ref="K20:L20"/>
    <mergeCell ref="M20:N20"/>
    <mergeCell ref="O20:P20"/>
    <mergeCell ref="AD14:AE14"/>
    <mergeCell ref="E14:F14"/>
    <mergeCell ref="G14:H14"/>
    <mergeCell ref="I14:J14"/>
    <mergeCell ref="AD20:AE20"/>
    <mergeCell ref="Q20:R20"/>
    <mergeCell ref="W14:X14"/>
    <mergeCell ref="D2:AA9"/>
    <mergeCell ref="C14:D15"/>
    <mergeCell ref="C16:D16"/>
    <mergeCell ref="C12:AE13"/>
    <mergeCell ref="B2:C9"/>
    <mergeCell ref="K14:L14"/>
    <mergeCell ref="M14:N14"/>
    <mergeCell ref="O14:P14"/>
    <mergeCell ref="Q14:R14"/>
    <mergeCell ref="S14:T14"/>
    <mergeCell ref="Y14:Z14"/>
    <mergeCell ref="AA14:AB14"/>
  </mergeCells>
  <phoneticPr fontId="6" type="noConversion"/>
  <conditionalFormatting sqref="E16">
    <cfRule type="cellIs" dxfId="121" priority="944" operator="equal">
      <formula>0</formula>
    </cfRule>
  </conditionalFormatting>
  <conditionalFormatting sqref="E22">
    <cfRule type="cellIs" dxfId="120" priority="851" operator="equal">
      <formula>0</formula>
    </cfRule>
  </conditionalFormatting>
  <conditionalFormatting sqref="E87">
    <cfRule type="cellIs" dxfId="119" priority="827" operator="equal">
      <formula>0</formula>
    </cfRule>
  </conditionalFormatting>
  <conditionalFormatting sqref="E113">
    <cfRule type="cellIs" dxfId="118" priority="804" operator="equal">
      <formula>0</formula>
    </cfRule>
  </conditionalFormatting>
  <conditionalFormatting sqref="E144">
    <cfRule type="cellIs" dxfId="117" priority="783" operator="equal">
      <formula>0</formula>
    </cfRule>
  </conditionalFormatting>
  <conditionalFormatting sqref="F16">
    <cfRule type="cellIs" dxfId="116" priority="943" operator="equal">
      <formula>0</formula>
    </cfRule>
  </conditionalFormatting>
  <conditionalFormatting sqref="F22">
    <cfRule type="cellIs" dxfId="115" priority="961" operator="equal">
      <formula>0</formula>
    </cfRule>
  </conditionalFormatting>
  <conditionalFormatting sqref="F23:F82 H23:H82 J23:J82 L23:L82 N23:N82 P23:P82 R23:R82 T23:T82 V23:V82 X23:X82 Z23:Z82 AB23:AB82 F89:F108 H89:H108 J89:J108 L89:L108 N89:N108 P89:P108 R89:R108 T89:T108 V89:V108 X89:X108 Z89:Z108 AB89:AB108 F115:F139 H115:H139 J115:J139 L115:L139 N115:N139 P115:P139 R115:R139 T115:T139 V115:V139 X115:X139 Z115:Z139 AB115:AB139">
    <cfRule type="cellIs" dxfId="114" priority="261" operator="equal">
      <formula>E23</formula>
    </cfRule>
    <cfRule type="cellIs" dxfId="113" priority="259" operator="greaterThan">
      <formula>E23</formula>
    </cfRule>
    <cfRule type="cellIs" dxfId="112" priority="260" operator="lessThan">
      <formula>E23</formula>
    </cfRule>
  </conditionalFormatting>
  <conditionalFormatting sqref="F87">
    <cfRule type="cellIs" dxfId="111" priority="955" operator="equal">
      <formula>0</formula>
    </cfRule>
  </conditionalFormatting>
  <conditionalFormatting sqref="F113">
    <cfRule type="cellIs" dxfId="110" priority="881" operator="equal">
      <formula>0</formula>
    </cfRule>
  </conditionalFormatting>
  <conditionalFormatting sqref="F144">
    <cfRule type="cellIs" dxfId="109" priority="951" operator="equal">
      <formula>0</formula>
    </cfRule>
  </conditionalFormatting>
  <conditionalFormatting sqref="F146:F155">
    <cfRule type="cellIs" dxfId="108" priority="10" operator="greaterThan">
      <formula>E146</formula>
    </cfRule>
    <cfRule type="cellIs" dxfId="107" priority="11" operator="lessThan">
      <formula>E146</formula>
    </cfRule>
    <cfRule type="cellIs" dxfId="106" priority="12" operator="equal">
      <formula>E146</formula>
    </cfRule>
  </conditionalFormatting>
  <conditionalFormatting sqref="G16">
    <cfRule type="cellIs" dxfId="105" priority="760" operator="equal">
      <formula>0</formula>
    </cfRule>
  </conditionalFormatting>
  <conditionalFormatting sqref="G22 I22 K22 M22 O22 Q22 S22 U22 W22 Y22 AA22">
    <cfRule type="cellIs" dxfId="104" priority="8" operator="equal">
      <formula>0</formula>
    </cfRule>
  </conditionalFormatting>
  <conditionalFormatting sqref="G87">
    <cfRule type="cellIs" dxfId="103" priority="723" operator="equal">
      <formula>0</formula>
    </cfRule>
  </conditionalFormatting>
  <conditionalFormatting sqref="G113">
    <cfRule type="cellIs" dxfId="102" priority="880" operator="equal">
      <formula>0</formula>
    </cfRule>
  </conditionalFormatting>
  <conditionalFormatting sqref="G144">
    <cfRule type="cellIs" dxfId="101" priority="781" operator="equal">
      <formula>0</formula>
    </cfRule>
  </conditionalFormatting>
  <conditionalFormatting sqref="H16">
    <cfRule type="cellIs" dxfId="100" priority="759" operator="equal">
      <formula>0</formula>
    </cfRule>
  </conditionalFormatting>
  <conditionalFormatting sqref="H22 J22 L22 N22 P22 R22 T22 V22 X22 Z22 AB22">
    <cfRule type="cellIs" dxfId="99" priority="9" operator="equal">
      <formula>0</formula>
    </cfRule>
  </conditionalFormatting>
  <conditionalFormatting sqref="H87">
    <cfRule type="cellIs" dxfId="98" priority="724" operator="equal">
      <formula>0</formula>
    </cfRule>
  </conditionalFormatting>
  <conditionalFormatting sqref="H113">
    <cfRule type="cellIs" dxfId="97" priority="879" operator="equal">
      <formula>0</formula>
    </cfRule>
  </conditionalFormatting>
  <conditionalFormatting sqref="H144">
    <cfRule type="cellIs" dxfId="96" priority="782" operator="equal">
      <formula>0</formula>
    </cfRule>
  </conditionalFormatting>
  <conditionalFormatting sqref="H146:H155 J146:J155 L146:L155 N146:N155 P146:P155 R146:R155 T146:T155 V146:V155 X146:X155 Z146:Z155 AB146:AB155">
    <cfRule type="cellIs" dxfId="95" priority="2" operator="lessThan">
      <formula>G146</formula>
    </cfRule>
    <cfRule type="cellIs" dxfId="94" priority="3" operator="equal">
      <formula>G146</formula>
    </cfRule>
    <cfRule type="cellIs" dxfId="93" priority="1" operator="greaterThan">
      <formula>G146</formula>
    </cfRule>
  </conditionalFormatting>
  <conditionalFormatting sqref="I16">
    <cfRule type="cellIs" dxfId="92" priority="758" operator="equal">
      <formula>0</formula>
    </cfRule>
  </conditionalFormatting>
  <conditionalFormatting sqref="I87">
    <cfRule type="cellIs" dxfId="91" priority="721" operator="equal">
      <formula>0</formula>
    </cfRule>
  </conditionalFormatting>
  <conditionalFormatting sqref="I113">
    <cfRule type="cellIs" dxfId="90" priority="803" operator="equal">
      <formula>0</formula>
    </cfRule>
  </conditionalFormatting>
  <conditionalFormatting sqref="I144">
    <cfRule type="cellIs" dxfId="89" priority="779" operator="equal">
      <formula>0</formula>
    </cfRule>
  </conditionalFormatting>
  <conditionalFormatting sqref="J16">
    <cfRule type="cellIs" dxfId="88" priority="757" operator="equal">
      <formula>0</formula>
    </cfRule>
  </conditionalFormatting>
  <conditionalFormatting sqref="J87">
    <cfRule type="cellIs" dxfId="87" priority="722" operator="equal">
      <formula>0</formula>
    </cfRule>
  </conditionalFormatting>
  <conditionalFormatting sqref="J113">
    <cfRule type="cellIs" dxfId="86" priority="802" operator="equal">
      <formula>0</formula>
    </cfRule>
  </conditionalFormatting>
  <conditionalFormatting sqref="J144">
    <cfRule type="cellIs" dxfId="85" priority="780" operator="equal">
      <formula>0</formula>
    </cfRule>
  </conditionalFormatting>
  <conditionalFormatting sqref="K16">
    <cfRule type="cellIs" dxfId="84" priority="756" operator="equal">
      <formula>0</formula>
    </cfRule>
  </conditionalFormatting>
  <conditionalFormatting sqref="K87">
    <cfRule type="cellIs" dxfId="83" priority="719" operator="equal">
      <formula>0</formula>
    </cfRule>
  </conditionalFormatting>
  <conditionalFormatting sqref="K113">
    <cfRule type="cellIs" dxfId="82" priority="801" operator="equal">
      <formula>0</formula>
    </cfRule>
  </conditionalFormatting>
  <conditionalFormatting sqref="K144">
    <cfRule type="cellIs" dxfId="81" priority="777" operator="equal">
      <formula>0</formula>
    </cfRule>
  </conditionalFormatting>
  <conditionalFormatting sqref="L16">
    <cfRule type="cellIs" dxfId="80" priority="755" operator="equal">
      <formula>0</formula>
    </cfRule>
  </conditionalFormatting>
  <conditionalFormatting sqref="L87">
    <cfRule type="cellIs" dxfId="79" priority="720" operator="equal">
      <formula>0</formula>
    </cfRule>
  </conditionalFormatting>
  <conditionalFormatting sqref="L113">
    <cfRule type="cellIs" dxfId="78" priority="800" operator="equal">
      <formula>0</formula>
    </cfRule>
  </conditionalFormatting>
  <conditionalFormatting sqref="L144">
    <cfRule type="cellIs" dxfId="77" priority="778" operator="equal">
      <formula>0</formula>
    </cfRule>
  </conditionalFormatting>
  <conditionalFormatting sqref="M16">
    <cfRule type="cellIs" dxfId="76" priority="754" operator="equal">
      <formula>0</formula>
    </cfRule>
  </conditionalFormatting>
  <conditionalFormatting sqref="M87">
    <cfRule type="cellIs" dxfId="75" priority="717" operator="equal">
      <formula>0</formula>
    </cfRule>
  </conditionalFormatting>
  <conditionalFormatting sqref="M113">
    <cfRule type="cellIs" dxfId="74" priority="799" operator="equal">
      <formula>0</formula>
    </cfRule>
  </conditionalFormatting>
  <conditionalFormatting sqref="M144">
    <cfRule type="cellIs" dxfId="73" priority="775" operator="equal">
      <formula>0</formula>
    </cfRule>
  </conditionalFormatting>
  <conditionalFormatting sqref="N16">
    <cfRule type="cellIs" dxfId="72" priority="753" operator="equal">
      <formula>0</formula>
    </cfRule>
  </conditionalFormatting>
  <conditionalFormatting sqref="N87">
    <cfRule type="cellIs" dxfId="71" priority="718" operator="equal">
      <formula>0</formula>
    </cfRule>
  </conditionalFormatting>
  <conditionalFormatting sqref="N113">
    <cfRule type="cellIs" dxfId="70" priority="798" operator="equal">
      <formula>0</formula>
    </cfRule>
  </conditionalFormatting>
  <conditionalFormatting sqref="N144">
    <cfRule type="cellIs" dxfId="69" priority="776" operator="equal">
      <formula>0</formula>
    </cfRule>
  </conditionalFormatting>
  <conditionalFormatting sqref="O16">
    <cfRule type="cellIs" dxfId="68" priority="752" operator="equal">
      <formula>0</formula>
    </cfRule>
  </conditionalFormatting>
  <conditionalFormatting sqref="O87">
    <cfRule type="cellIs" dxfId="67" priority="715" operator="equal">
      <formula>0</formula>
    </cfRule>
  </conditionalFormatting>
  <conditionalFormatting sqref="O113">
    <cfRule type="cellIs" dxfId="66" priority="797" operator="equal">
      <formula>0</formula>
    </cfRule>
  </conditionalFormatting>
  <conditionalFormatting sqref="O144">
    <cfRule type="cellIs" dxfId="65" priority="773" operator="equal">
      <formula>0</formula>
    </cfRule>
  </conditionalFormatting>
  <conditionalFormatting sqref="P16">
    <cfRule type="cellIs" dxfId="64" priority="751" operator="equal">
      <formula>0</formula>
    </cfRule>
  </conditionalFormatting>
  <conditionalFormatting sqref="P87">
    <cfRule type="cellIs" dxfId="63" priority="716" operator="equal">
      <formula>0</formula>
    </cfRule>
  </conditionalFormatting>
  <conditionalFormatting sqref="P113">
    <cfRule type="cellIs" dxfId="62" priority="796" operator="equal">
      <formula>0</formula>
    </cfRule>
  </conditionalFormatting>
  <conditionalFormatting sqref="P144">
    <cfRule type="cellIs" dxfId="61" priority="774" operator="equal">
      <formula>0</formula>
    </cfRule>
  </conditionalFormatting>
  <conditionalFormatting sqref="Q16">
    <cfRule type="cellIs" dxfId="60" priority="750" operator="equal">
      <formula>0</formula>
    </cfRule>
  </conditionalFormatting>
  <conditionalFormatting sqref="Q87">
    <cfRule type="cellIs" dxfId="59" priority="713" operator="equal">
      <formula>0</formula>
    </cfRule>
  </conditionalFormatting>
  <conditionalFormatting sqref="Q113">
    <cfRule type="cellIs" dxfId="58" priority="795" operator="equal">
      <formula>0</formula>
    </cfRule>
  </conditionalFormatting>
  <conditionalFormatting sqref="Q144">
    <cfRule type="cellIs" dxfId="57" priority="771" operator="equal">
      <formula>0</formula>
    </cfRule>
  </conditionalFormatting>
  <conditionalFormatting sqref="R16">
    <cfRule type="cellIs" dxfId="56" priority="749" operator="equal">
      <formula>0</formula>
    </cfRule>
  </conditionalFormatting>
  <conditionalFormatting sqref="R87">
    <cfRule type="cellIs" dxfId="55" priority="714" operator="equal">
      <formula>0</formula>
    </cfRule>
  </conditionalFormatting>
  <conditionalFormatting sqref="R113">
    <cfRule type="cellIs" dxfId="54" priority="794" operator="equal">
      <formula>0</formula>
    </cfRule>
  </conditionalFormatting>
  <conditionalFormatting sqref="R144">
    <cfRule type="cellIs" dxfId="53" priority="772" operator="equal">
      <formula>0</formula>
    </cfRule>
  </conditionalFormatting>
  <conditionalFormatting sqref="S16">
    <cfRule type="cellIs" dxfId="52" priority="748" operator="equal">
      <formula>0</formula>
    </cfRule>
  </conditionalFormatting>
  <conditionalFormatting sqref="S87">
    <cfRule type="cellIs" dxfId="51" priority="711" operator="equal">
      <formula>0</formula>
    </cfRule>
  </conditionalFormatting>
  <conditionalFormatting sqref="S113">
    <cfRule type="cellIs" dxfId="50" priority="793" operator="equal">
      <formula>0</formula>
    </cfRule>
  </conditionalFormatting>
  <conditionalFormatting sqref="S144">
    <cfRule type="cellIs" dxfId="49" priority="769" operator="equal">
      <formula>0</formula>
    </cfRule>
  </conditionalFormatting>
  <conditionalFormatting sqref="T16">
    <cfRule type="cellIs" dxfId="48" priority="747" operator="equal">
      <formula>0</formula>
    </cfRule>
  </conditionalFormatting>
  <conditionalFormatting sqref="T87">
    <cfRule type="cellIs" dxfId="47" priority="712" operator="equal">
      <formula>0</formula>
    </cfRule>
  </conditionalFormatting>
  <conditionalFormatting sqref="T113">
    <cfRule type="cellIs" dxfId="46" priority="792" operator="equal">
      <formula>0</formula>
    </cfRule>
  </conditionalFormatting>
  <conditionalFormatting sqref="T144">
    <cfRule type="cellIs" dxfId="45" priority="770" operator="equal">
      <formula>0</formula>
    </cfRule>
  </conditionalFormatting>
  <conditionalFormatting sqref="U16">
    <cfRule type="cellIs" dxfId="44" priority="746" operator="equal">
      <formula>0</formula>
    </cfRule>
  </conditionalFormatting>
  <conditionalFormatting sqref="U87">
    <cfRule type="cellIs" dxfId="43" priority="709" operator="equal">
      <formula>0</formula>
    </cfRule>
  </conditionalFormatting>
  <conditionalFormatting sqref="U113">
    <cfRule type="cellIs" dxfId="42" priority="791" operator="equal">
      <formula>0</formula>
    </cfRule>
  </conditionalFormatting>
  <conditionalFormatting sqref="U144">
    <cfRule type="cellIs" dxfId="41" priority="767" operator="equal">
      <formula>0</formula>
    </cfRule>
  </conditionalFormatting>
  <conditionalFormatting sqref="V16">
    <cfRule type="cellIs" dxfId="40" priority="745" operator="equal">
      <formula>0</formula>
    </cfRule>
  </conditionalFormatting>
  <conditionalFormatting sqref="V87">
    <cfRule type="cellIs" dxfId="39" priority="710" operator="equal">
      <formula>0</formula>
    </cfRule>
  </conditionalFormatting>
  <conditionalFormatting sqref="V113">
    <cfRule type="cellIs" dxfId="38" priority="790" operator="equal">
      <formula>0</formula>
    </cfRule>
  </conditionalFormatting>
  <conditionalFormatting sqref="V144">
    <cfRule type="cellIs" dxfId="37" priority="768" operator="equal">
      <formula>0</formula>
    </cfRule>
  </conditionalFormatting>
  <conditionalFormatting sqref="W16">
    <cfRule type="cellIs" dxfId="36" priority="744" operator="equal">
      <formula>0</formula>
    </cfRule>
  </conditionalFormatting>
  <conditionalFormatting sqref="W87">
    <cfRule type="cellIs" dxfId="35" priority="707" operator="equal">
      <formula>0</formula>
    </cfRule>
  </conditionalFormatting>
  <conditionalFormatting sqref="W113">
    <cfRule type="cellIs" dxfId="34" priority="789" operator="equal">
      <formula>0</formula>
    </cfRule>
  </conditionalFormatting>
  <conditionalFormatting sqref="W144">
    <cfRule type="cellIs" dxfId="33" priority="765" operator="equal">
      <formula>0</formula>
    </cfRule>
  </conditionalFormatting>
  <conditionalFormatting sqref="X16">
    <cfRule type="cellIs" dxfId="32" priority="743" operator="equal">
      <formula>0</formula>
    </cfRule>
  </conditionalFormatting>
  <conditionalFormatting sqref="X87">
    <cfRule type="cellIs" dxfId="31" priority="708" operator="equal">
      <formula>0</formula>
    </cfRule>
  </conditionalFormatting>
  <conditionalFormatting sqref="X113">
    <cfRule type="cellIs" dxfId="30" priority="788" operator="equal">
      <formula>0</formula>
    </cfRule>
  </conditionalFormatting>
  <conditionalFormatting sqref="X144">
    <cfRule type="cellIs" dxfId="29" priority="766" operator="equal">
      <formula>0</formula>
    </cfRule>
  </conditionalFormatting>
  <conditionalFormatting sqref="Y16">
    <cfRule type="cellIs" dxfId="28" priority="742" operator="equal">
      <formula>0</formula>
    </cfRule>
  </conditionalFormatting>
  <conditionalFormatting sqref="Y87">
    <cfRule type="cellIs" dxfId="27" priority="705" operator="equal">
      <formula>0</formula>
    </cfRule>
  </conditionalFormatting>
  <conditionalFormatting sqref="Y113">
    <cfRule type="cellIs" dxfId="26" priority="787" operator="equal">
      <formula>0</formula>
    </cfRule>
  </conditionalFormatting>
  <conditionalFormatting sqref="Y144">
    <cfRule type="cellIs" dxfId="25" priority="763" operator="equal">
      <formula>0</formula>
    </cfRule>
  </conditionalFormatting>
  <conditionalFormatting sqref="Z16">
    <cfRule type="cellIs" dxfId="24" priority="741" operator="equal">
      <formula>0</formula>
    </cfRule>
  </conditionalFormatting>
  <conditionalFormatting sqref="Z87">
    <cfRule type="cellIs" dxfId="23" priority="706" operator="equal">
      <formula>0</formula>
    </cfRule>
  </conditionalFormatting>
  <conditionalFormatting sqref="Z113">
    <cfRule type="cellIs" dxfId="22" priority="786" operator="equal">
      <formula>0</formula>
    </cfRule>
  </conditionalFormatting>
  <conditionalFormatting sqref="Z144">
    <cfRule type="cellIs" dxfId="21" priority="764" operator="equal">
      <formula>0</formula>
    </cfRule>
  </conditionalFormatting>
  <conditionalFormatting sqref="AA16">
    <cfRule type="cellIs" dxfId="20" priority="740" operator="equal">
      <formula>0</formula>
    </cfRule>
  </conditionalFormatting>
  <conditionalFormatting sqref="AA87">
    <cfRule type="cellIs" dxfId="19" priority="703" operator="equal">
      <formula>0</formula>
    </cfRule>
  </conditionalFormatting>
  <conditionalFormatting sqref="AA113">
    <cfRule type="cellIs" dxfId="18" priority="785" operator="equal">
      <formula>0</formula>
    </cfRule>
  </conditionalFormatting>
  <conditionalFormatting sqref="AA144">
    <cfRule type="cellIs" dxfId="17" priority="761" operator="equal">
      <formula>0</formula>
    </cfRule>
  </conditionalFormatting>
  <conditionalFormatting sqref="AB16">
    <cfRule type="cellIs" dxfId="16" priority="739" operator="equal">
      <formula>0</formula>
    </cfRule>
  </conditionalFormatting>
  <conditionalFormatting sqref="AB87">
    <cfRule type="cellIs" dxfId="15" priority="704" operator="equal">
      <formula>0</formula>
    </cfRule>
  </conditionalFormatting>
  <conditionalFormatting sqref="AB113">
    <cfRule type="cellIs" dxfId="14" priority="784" operator="equal">
      <formula>0</formula>
    </cfRule>
  </conditionalFormatting>
  <conditionalFormatting sqref="AB144">
    <cfRule type="cellIs" dxfId="13" priority="762" operator="equal">
      <formula>0</formula>
    </cfRule>
  </conditionalFormatting>
  <conditionalFormatting sqref="AD16">
    <cfRule type="cellIs" dxfId="12" priority="5" operator="equal">
      <formula>0</formula>
    </cfRule>
  </conditionalFormatting>
  <conditionalFormatting sqref="AD22:AD82">
    <cfRule type="cellIs" dxfId="11" priority="6" operator="equal">
      <formula>0</formula>
    </cfRule>
  </conditionalFormatting>
  <conditionalFormatting sqref="AD87:AD108">
    <cfRule type="cellIs" dxfId="10" priority="954" operator="equal">
      <formula>0</formula>
    </cfRule>
  </conditionalFormatting>
  <conditionalFormatting sqref="AD113:AD139">
    <cfRule type="cellIs" dxfId="9" priority="876" operator="equal">
      <formula>0</formula>
    </cfRule>
  </conditionalFormatting>
  <conditionalFormatting sqref="AD144:AD155">
    <cfRule type="cellIs" dxfId="8" priority="730" operator="equal">
      <formula>0</formula>
    </cfRule>
  </conditionalFormatting>
  <conditionalFormatting sqref="AE16">
    <cfRule type="cellIs" dxfId="7" priority="4" operator="equal">
      <formula>0</formula>
    </cfRule>
  </conditionalFormatting>
  <conditionalFormatting sqref="AE22:AE82">
    <cfRule type="cellIs" dxfId="6" priority="7" operator="equal">
      <formula>0</formula>
    </cfRule>
  </conditionalFormatting>
  <conditionalFormatting sqref="AE87:AE108">
    <cfRule type="cellIs" dxfId="5" priority="953" operator="equal">
      <formula>0</formula>
    </cfRule>
  </conditionalFormatting>
  <conditionalFormatting sqref="AE113:AE139">
    <cfRule type="cellIs" dxfId="4" priority="875" operator="equal">
      <formula>0</formula>
    </cfRule>
  </conditionalFormatting>
  <conditionalFormatting sqref="AE144:AE155">
    <cfRule type="cellIs" dxfId="3" priority="729" operator="equal">
      <formula>0</formula>
    </cfRule>
  </conditionalFormatting>
  <hyperlinks>
    <hyperlink ref="C158" r:id="rId1" display="This work is licensed under a Creative Commons Attribution-NonCommercial 4.0 International License." xr:uid="{C7E9BA89-26CB-426E-AD8B-C9A608AB06C8}"/>
  </hyperlinks>
  <printOptions horizontalCentered="1" verticalCentered="1"/>
  <pageMargins left="0" right="0" top="0" bottom="0" header="0" footer="0"/>
  <pageSetup paperSize="9" scale="23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2D5416-0CC7-4A88-89C8-61814F0F5622}">
          <x14:formula1>
            <xm:f>'CADASTRO DE ITENS'!$N$16:$N$79</xm:f>
          </x14:formula1>
          <xm:sqref>C23:C82</xm:sqref>
        </x14:dataValidation>
        <x14:dataValidation type="list" allowBlank="1" showInputMessage="1" showErrorMessage="1" xr:uid="{B8FB1A5A-6024-4D25-8E43-68CD730F2B36}">
          <x14:formula1>
            <xm:f>'CADASTRO DE ITENS'!$Q$16:$Q$79</xm:f>
          </x14:formula1>
          <xm:sqref>C89:C108</xm:sqref>
        </x14:dataValidation>
        <x14:dataValidation type="list" allowBlank="1" showInputMessage="1" showErrorMessage="1" xr:uid="{20D866A5-3E0F-4845-A464-5C131EB7EEB9}">
          <x14:formula1>
            <xm:f>'CADASTRO DE ITENS'!$T$16:$T$79</xm:f>
          </x14:formula1>
          <xm:sqref>C115:C139</xm:sqref>
        </x14:dataValidation>
        <x14:dataValidation type="list" allowBlank="1" showInputMessage="1" showErrorMessage="1" xr:uid="{2A761AFF-DB32-45B3-AFEA-FE40DBB9B356}">
          <x14:formula1>
            <xm:f>'CADASTRO DE ITENS'!$W$16:$W$79</xm:f>
          </x14:formula1>
          <xm:sqref>C146:C155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5CD9-0F62-4224-87D0-B7B33C14D1E6}">
  <sheetPr>
    <tabColor theme="7" tint="0.39997558519241921"/>
    <pageSetUpPr fitToPage="1"/>
  </sheetPr>
  <dimension ref="A1:L157"/>
  <sheetViews>
    <sheetView showGridLines="0" view="pageBreakPreview" zoomScale="85" zoomScaleNormal="55" zoomScaleSheetLayoutView="85" workbookViewId="0">
      <selection activeCell="C18" sqref="C18:J18"/>
    </sheetView>
  </sheetViews>
  <sheetFormatPr defaultColWidth="12.88671875" defaultRowHeight="15" customHeight="1" x14ac:dyDescent="0.25"/>
  <cols>
    <col min="1" max="2" width="3.33203125" style="18" customWidth="1"/>
    <col min="3" max="3" width="18.88671875" style="122" customWidth="1"/>
    <col min="4" max="6" width="18.88671875" style="18" customWidth="1"/>
    <col min="7" max="7" width="18.88671875" style="122" customWidth="1"/>
    <col min="8" max="10" width="18.88671875" style="18" customWidth="1"/>
    <col min="11" max="12" width="3.33203125" style="18" customWidth="1"/>
    <col min="13" max="16384" width="12.88671875" style="18"/>
  </cols>
  <sheetData>
    <row r="1" spans="1:12" s="3" customFormat="1" ht="15" customHeight="1" x14ac:dyDescent="0.25">
      <c r="A1" s="37"/>
      <c r="B1" s="1"/>
      <c r="C1" s="123"/>
      <c r="D1" s="25"/>
      <c r="E1" s="38"/>
      <c r="F1" s="1"/>
      <c r="G1" s="38"/>
      <c r="H1" s="1"/>
      <c r="I1" s="1"/>
      <c r="J1" s="1"/>
      <c r="K1" s="1"/>
      <c r="L1" s="39"/>
    </row>
    <row r="2" spans="1:12" s="3" customFormat="1" ht="10.5" customHeight="1" x14ac:dyDescent="0.25">
      <c r="A2" s="40"/>
      <c r="B2" s="314"/>
      <c r="C2" s="315"/>
      <c r="D2" s="316"/>
      <c r="E2" s="295" t="s">
        <v>124</v>
      </c>
      <c r="F2" s="296"/>
      <c r="G2" s="296"/>
      <c r="H2" s="297"/>
      <c r="I2" s="425" t="s">
        <v>1</v>
      </c>
      <c r="J2" s="426"/>
      <c r="K2" s="427"/>
      <c r="L2" s="36"/>
    </row>
    <row r="3" spans="1:12" s="3" customFormat="1" ht="18" customHeight="1" x14ac:dyDescent="0.25">
      <c r="A3" s="40"/>
      <c r="B3" s="317"/>
      <c r="C3" s="318"/>
      <c r="D3" s="319"/>
      <c r="E3" s="298"/>
      <c r="F3" s="299"/>
      <c r="G3" s="299"/>
      <c r="H3" s="300"/>
      <c r="I3" s="304" t="s">
        <v>114</v>
      </c>
      <c r="J3" s="305"/>
      <c r="K3" s="306"/>
      <c r="L3" s="36"/>
    </row>
    <row r="4" spans="1:12" s="3" customFormat="1" ht="10.5" customHeight="1" x14ac:dyDescent="0.25">
      <c r="A4" s="40"/>
      <c r="B4" s="317"/>
      <c r="C4" s="318"/>
      <c r="D4" s="319"/>
      <c r="E4" s="298"/>
      <c r="F4" s="299"/>
      <c r="G4" s="299"/>
      <c r="H4" s="300"/>
      <c r="I4" s="425" t="s">
        <v>2</v>
      </c>
      <c r="J4" s="426"/>
      <c r="K4" s="427"/>
      <c r="L4" s="36"/>
    </row>
    <row r="5" spans="1:12" s="3" customFormat="1" ht="18" customHeight="1" x14ac:dyDescent="0.25">
      <c r="A5" s="40"/>
      <c r="B5" s="317"/>
      <c r="C5" s="318"/>
      <c r="D5" s="319"/>
      <c r="E5" s="298"/>
      <c r="F5" s="299"/>
      <c r="G5" s="299"/>
      <c r="H5" s="300"/>
      <c r="I5" s="304" t="s">
        <v>171</v>
      </c>
      <c r="J5" s="305"/>
      <c r="K5" s="306"/>
      <c r="L5" s="36"/>
    </row>
    <row r="6" spans="1:12" s="3" customFormat="1" ht="10.5" customHeight="1" x14ac:dyDescent="0.25">
      <c r="A6" s="40"/>
      <c r="B6" s="317"/>
      <c r="C6" s="318"/>
      <c r="D6" s="319"/>
      <c r="E6" s="298"/>
      <c r="F6" s="299"/>
      <c r="G6" s="299"/>
      <c r="H6" s="300"/>
      <c r="I6" s="425" t="s">
        <v>3</v>
      </c>
      <c r="J6" s="426"/>
      <c r="K6" s="427"/>
      <c r="L6" s="36"/>
    </row>
    <row r="7" spans="1:12" s="3" customFormat="1" ht="18" customHeight="1" x14ac:dyDescent="0.25">
      <c r="A7" s="40"/>
      <c r="B7" s="317"/>
      <c r="C7" s="318"/>
      <c r="D7" s="319"/>
      <c r="E7" s="298"/>
      <c r="F7" s="299"/>
      <c r="G7" s="299"/>
      <c r="H7" s="300"/>
      <c r="I7" s="285">
        <v>45513</v>
      </c>
      <c r="J7" s="286"/>
      <c r="K7" s="287"/>
      <c r="L7" s="36"/>
    </row>
    <row r="8" spans="1:12" s="3" customFormat="1" ht="10.5" customHeight="1" x14ac:dyDescent="0.25">
      <c r="A8" s="40"/>
      <c r="B8" s="317"/>
      <c r="C8" s="318"/>
      <c r="D8" s="319"/>
      <c r="E8" s="298"/>
      <c r="F8" s="299"/>
      <c r="G8" s="299"/>
      <c r="H8" s="300"/>
      <c r="I8" s="425" t="s">
        <v>4</v>
      </c>
      <c r="J8" s="426"/>
      <c r="K8" s="427"/>
      <c r="L8" s="36"/>
    </row>
    <row r="9" spans="1:12" s="3" customFormat="1" ht="18" customHeight="1" x14ac:dyDescent="0.25">
      <c r="A9" s="40"/>
      <c r="B9" s="320"/>
      <c r="C9" s="321"/>
      <c r="D9" s="322"/>
      <c r="E9" s="301"/>
      <c r="F9" s="302"/>
      <c r="G9" s="302"/>
      <c r="H9" s="303"/>
      <c r="I9" s="304" t="s">
        <v>141</v>
      </c>
      <c r="J9" s="305"/>
      <c r="K9" s="306"/>
      <c r="L9" s="36"/>
    </row>
    <row r="10" spans="1:12" ht="15" customHeight="1" x14ac:dyDescent="0.25">
      <c r="A10" s="35"/>
      <c r="C10" s="124"/>
      <c r="D10" s="54"/>
      <c r="E10" s="54"/>
      <c r="F10" s="55"/>
      <c r="G10" s="119"/>
      <c r="H10" s="55"/>
      <c r="I10" s="55"/>
      <c r="J10" s="55"/>
      <c r="K10" s="55"/>
      <c r="L10" s="30"/>
    </row>
    <row r="11" spans="1:12" s="115" customFormat="1" ht="18" customHeight="1" x14ac:dyDescent="0.4">
      <c r="A11" s="113"/>
      <c r="B11" s="415" t="s">
        <v>124</v>
      </c>
      <c r="C11" s="416"/>
      <c r="D11" s="416"/>
      <c r="E11" s="416"/>
      <c r="F11" s="416"/>
      <c r="G11" s="416"/>
      <c r="H11" s="416"/>
      <c r="I11" s="416"/>
      <c r="J11" s="416"/>
      <c r="K11" s="417"/>
      <c r="L11" s="114"/>
    </row>
    <row r="12" spans="1:12" s="115" customFormat="1" ht="18" customHeight="1" x14ac:dyDescent="0.4">
      <c r="A12" s="113"/>
      <c r="B12" s="418"/>
      <c r="C12" s="419"/>
      <c r="D12" s="419"/>
      <c r="E12" s="419"/>
      <c r="F12" s="419"/>
      <c r="G12" s="419"/>
      <c r="H12" s="419"/>
      <c r="I12" s="419"/>
      <c r="J12" s="419"/>
      <c r="K12" s="420"/>
      <c r="L12" s="114"/>
    </row>
    <row r="13" spans="1:12" ht="15" customHeight="1" x14ac:dyDescent="0.25">
      <c r="A13" s="35"/>
      <c r="B13" s="35"/>
      <c r="C13" s="120"/>
      <c r="D13" s="48"/>
      <c r="E13" s="48"/>
      <c r="F13" s="48"/>
      <c r="G13" s="120"/>
      <c r="H13" s="48"/>
      <c r="I13" s="48"/>
      <c r="J13" s="48"/>
      <c r="K13" s="62"/>
      <c r="L13" s="30"/>
    </row>
    <row r="14" spans="1:12" ht="15" customHeight="1" x14ac:dyDescent="0.25">
      <c r="A14" s="35"/>
      <c r="B14" s="35"/>
      <c r="C14" s="434" t="s">
        <v>21</v>
      </c>
      <c r="D14" s="421"/>
      <c r="E14" s="421"/>
      <c r="F14" s="421"/>
      <c r="G14" s="421"/>
      <c r="H14" s="421"/>
      <c r="I14" s="421"/>
      <c r="J14" s="422"/>
      <c r="K14" s="68"/>
      <c r="L14" s="30"/>
    </row>
    <row r="15" spans="1:12" ht="15" customHeight="1" x14ac:dyDescent="0.25">
      <c r="A15" s="35"/>
      <c r="B15" s="35"/>
      <c r="C15" s="435"/>
      <c r="D15" s="423"/>
      <c r="E15" s="423"/>
      <c r="F15" s="423"/>
      <c r="G15" s="423"/>
      <c r="H15" s="423"/>
      <c r="I15" s="423"/>
      <c r="J15" s="424"/>
      <c r="K15" s="68"/>
      <c r="L15" s="30"/>
    </row>
    <row r="16" spans="1:12" ht="18" customHeight="1" x14ac:dyDescent="0.25">
      <c r="A16" s="35"/>
      <c r="B16" s="35"/>
      <c r="C16" s="403" t="s">
        <v>125</v>
      </c>
      <c r="D16" s="404"/>
      <c r="E16" s="404"/>
      <c r="F16" s="404"/>
      <c r="G16" s="404"/>
      <c r="H16" s="404"/>
      <c r="I16" s="404"/>
      <c r="J16" s="405"/>
      <c r="K16" s="71"/>
      <c r="L16" s="30"/>
    </row>
    <row r="17" spans="1:12" ht="18" customHeight="1" x14ac:dyDescent="0.25">
      <c r="A17" s="35"/>
      <c r="B17" s="35"/>
      <c r="C17" s="406"/>
      <c r="D17" s="407"/>
      <c r="E17" s="407"/>
      <c r="F17" s="407"/>
      <c r="G17" s="407"/>
      <c r="H17" s="407"/>
      <c r="I17" s="407"/>
      <c r="J17" s="408"/>
      <c r="K17" s="71"/>
      <c r="L17" s="30"/>
    </row>
    <row r="18" spans="1:12" ht="18" customHeight="1" x14ac:dyDescent="0.25">
      <c r="A18" s="35"/>
      <c r="B18" s="35"/>
      <c r="C18" s="431"/>
      <c r="D18" s="432"/>
      <c r="E18" s="432"/>
      <c r="F18" s="432"/>
      <c r="G18" s="432"/>
      <c r="H18" s="432"/>
      <c r="I18" s="432"/>
      <c r="J18" s="433"/>
      <c r="K18" s="71"/>
      <c r="L18" s="30"/>
    </row>
    <row r="19" spans="1:12" ht="18" customHeight="1" x14ac:dyDescent="0.25">
      <c r="A19" s="35"/>
      <c r="B19" s="35"/>
      <c r="C19" s="428"/>
      <c r="D19" s="429"/>
      <c r="E19" s="429"/>
      <c r="F19" s="429"/>
      <c r="G19" s="429"/>
      <c r="H19" s="429"/>
      <c r="I19" s="429"/>
      <c r="J19" s="430"/>
      <c r="K19" s="71"/>
      <c r="L19" s="30"/>
    </row>
    <row r="20" spans="1:12" ht="18" customHeight="1" x14ac:dyDescent="0.25">
      <c r="A20" s="35"/>
      <c r="B20" s="35"/>
      <c r="C20" s="428"/>
      <c r="D20" s="429"/>
      <c r="E20" s="429"/>
      <c r="F20" s="429"/>
      <c r="G20" s="429"/>
      <c r="H20" s="429"/>
      <c r="I20" s="429"/>
      <c r="J20" s="430"/>
      <c r="K20" s="71"/>
      <c r="L20" s="30"/>
    </row>
    <row r="21" spans="1:12" ht="18" customHeight="1" x14ac:dyDescent="0.25">
      <c r="A21" s="35"/>
      <c r="B21" s="35"/>
      <c r="C21" s="428"/>
      <c r="D21" s="429"/>
      <c r="E21" s="429"/>
      <c r="F21" s="429"/>
      <c r="G21" s="429"/>
      <c r="H21" s="429"/>
      <c r="I21" s="429"/>
      <c r="J21" s="430"/>
      <c r="K21" s="71"/>
      <c r="L21" s="30"/>
    </row>
    <row r="22" spans="1:12" ht="18" customHeight="1" x14ac:dyDescent="0.25">
      <c r="A22" s="35"/>
      <c r="B22" s="35"/>
      <c r="C22" s="428"/>
      <c r="D22" s="429"/>
      <c r="E22" s="429"/>
      <c r="F22" s="429"/>
      <c r="G22" s="429"/>
      <c r="H22" s="429"/>
      <c r="I22" s="429"/>
      <c r="J22" s="430"/>
      <c r="K22" s="71"/>
      <c r="L22" s="30"/>
    </row>
    <row r="23" spans="1:12" ht="18" customHeight="1" x14ac:dyDescent="0.25">
      <c r="A23" s="35"/>
      <c r="B23" s="35"/>
      <c r="C23" s="428"/>
      <c r="D23" s="429"/>
      <c r="E23" s="429"/>
      <c r="F23" s="429"/>
      <c r="G23" s="429"/>
      <c r="H23" s="429"/>
      <c r="I23" s="429"/>
      <c r="J23" s="430"/>
      <c r="K23" s="71"/>
      <c r="L23" s="30"/>
    </row>
    <row r="24" spans="1:12" ht="18" customHeight="1" x14ac:dyDescent="0.25">
      <c r="A24" s="35"/>
      <c r="B24" s="35"/>
      <c r="C24" s="428"/>
      <c r="D24" s="429"/>
      <c r="E24" s="429"/>
      <c r="F24" s="429"/>
      <c r="G24" s="429"/>
      <c r="H24" s="429"/>
      <c r="I24" s="429"/>
      <c r="J24" s="430"/>
      <c r="K24" s="71"/>
      <c r="L24" s="30"/>
    </row>
    <row r="25" spans="1:12" ht="18" customHeight="1" x14ac:dyDescent="0.25">
      <c r="A25" s="35"/>
      <c r="B25" s="35"/>
      <c r="C25" s="428"/>
      <c r="D25" s="429"/>
      <c r="E25" s="429"/>
      <c r="F25" s="429"/>
      <c r="G25" s="429"/>
      <c r="H25" s="429"/>
      <c r="I25" s="429"/>
      <c r="J25" s="430"/>
      <c r="K25" s="71"/>
      <c r="L25" s="30"/>
    </row>
    <row r="26" spans="1:12" ht="18" customHeight="1" x14ac:dyDescent="0.25">
      <c r="A26" s="35"/>
      <c r="B26" s="35"/>
      <c r="C26" s="428"/>
      <c r="D26" s="429"/>
      <c r="E26" s="429"/>
      <c r="F26" s="429"/>
      <c r="G26" s="429"/>
      <c r="H26" s="429"/>
      <c r="I26" s="429"/>
      <c r="J26" s="430"/>
      <c r="K26" s="71"/>
      <c r="L26" s="30"/>
    </row>
    <row r="27" spans="1:12" ht="18" customHeight="1" x14ac:dyDescent="0.25">
      <c r="A27" s="35"/>
      <c r="B27" s="35"/>
      <c r="C27" s="428"/>
      <c r="D27" s="429"/>
      <c r="E27" s="429"/>
      <c r="F27" s="429"/>
      <c r="G27" s="429"/>
      <c r="H27" s="429"/>
      <c r="I27" s="429"/>
      <c r="J27" s="430"/>
      <c r="K27" s="71"/>
      <c r="L27" s="30"/>
    </row>
    <row r="28" spans="1:12" ht="18" customHeight="1" x14ac:dyDescent="0.25">
      <c r="A28" s="35"/>
      <c r="B28" s="35"/>
      <c r="C28" s="428"/>
      <c r="D28" s="429"/>
      <c r="E28" s="429"/>
      <c r="F28" s="429"/>
      <c r="G28" s="429"/>
      <c r="H28" s="429"/>
      <c r="I28" s="429"/>
      <c r="J28" s="430"/>
      <c r="K28" s="29"/>
      <c r="L28" s="30"/>
    </row>
    <row r="29" spans="1:12" ht="18" customHeight="1" x14ac:dyDescent="0.25">
      <c r="A29" s="35"/>
      <c r="B29" s="35"/>
      <c r="C29" s="428"/>
      <c r="D29" s="429"/>
      <c r="E29" s="429"/>
      <c r="F29" s="429"/>
      <c r="G29" s="429"/>
      <c r="H29" s="429"/>
      <c r="I29" s="429"/>
      <c r="J29" s="430"/>
      <c r="K29" s="23"/>
      <c r="L29" s="30"/>
    </row>
    <row r="30" spans="1:12" ht="18" customHeight="1" x14ac:dyDescent="0.25">
      <c r="A30" s="35"/>
      <c r="B30" s="35"/>
      <c r="C30" s="428"/>
      <c r="D30" s="429"/>
      <c r="E30" s="429"/>
      <c r="F30" s="429"/>
      <c r="G30" s="429"/>
      <c r="H30" s="429"/>
      <c r="I30" s="429"/>
      <c r="J30" s="430"/>
      <c r="K30" s="23"/>
      <c r="L30" s="30"/>
    </row>
    <row r="31" spans="1:12" ht="18" customHeight="1" x14ac:dyDescent="0.25">
      <c r="A31" s="35"/>
      <c r="B31" s="35"/>
      <c r="C31" s="428"/>
      <c r="D31" s="429"/>
      <c r="E31" s="429"/>
      <c r="F31" s="429"/>
      <c r="G31" s="429"/>
      <c r="H31" s="429"/>
      <c r="I31" s="429"/>
      <c r="J31" s="430"/>
      <c r="K31" s="23"/>
      <c r="L31" s="30"/>
    </row>
    <row r="32" spans="1:12" ht="18" customHeight="1" x14ac:dyDescent="0.25">
      <c r="A32" s="35"/>
      <c r="B32" s="35"/>
      <c r="C32" s="428"/>
      <c r="D32" s="429"/>
      <c r="E32" s="429"/>
      <c r="F32" s="429"/>
      <c r="G32" s="429"/>
      <c r="H32" s="429"/>
      <c r="I32" s="429"/>
      <c r="J32" s="430"/>
      <c r="K32" s="23"/>
      <c r="L32" s="30"/>
    </row>
    <row r="33" spans="1:12" ht="18" customHeight="1" x14ac:dyDescent="0.25">
      <c r="A33" s="35"/>
      <c r="B33" s="35"/>
      <c r="C33" s="428"/>
      <c r="D33" s="429"/>
      <c r="E33" s="429"/>
      <c r="F33" s="429"/>
      <c r="G33" s="429"/>
      <c r="H33" s="429"/>
      <c r="I33" s="429"/>
      <c r="J33" s="430"/>
      <c r="K33" s="23"/>
      <c r="L33" s="30"/>
    </row>
    <row r="34" spans="1:12" ht="18" customHeight="1" x14ac:dyDescent="0.25">
      <c r="A34" s="35"/>
      <c r="B34" s="35"/>
      <c r="C34" s="428"/>
      <c r="D34" s="429"/>
      <c r="E34" s="429"/>
      <c r="F34" s="429"/>
      <c r="G34" s="429"/>
      <c r="H34" s="429"/>
      <c r="I34" s="429"/>
      <c r="J34" s="430"/>
      <c r="K34" s="23"/>
      <c r="L34" s="30"/>
    </row>
    <row r="35" spans="1:12" ht="18" customHeight="1" x14ac:dyDescent="0.25">
      <c r="A35" s="35"/>
      <c r="B35" s="35"/>
      <c r="C35" s="428"/>
      <c r="D35" s="429"/>
      <c r="E35" s="429"/>
      <c r="F35" s="429"/>
      <c r="G35" s="429"/>
      <c r="H35" s="429"/>
      <c r="I35" s="429"/>
      <c r="J35" s="430"/>
      <c r="K35" s="23"/>
      <c r="L35" s="30"/>
    </row>
    <row r="36" spans="1:12" ht="18" customHeight="1" x14ac:dyDescent="0.25">
      <c r="A36" s="35"/>
      <c r="B36" s="35"/>
      <c r="C36" s="428"/>
      <c r="D36" s="429"/>
      <c r="E36" s="429"/>
      <c r="F36" s="429"/>
      <c r="G36" s="429"/>
      <c r="H36" s="429"/>
      <c r="I36" s="429"/>
      <c r="J36" s="430"/>
      <c r="K36" s="23"/>
      <c r="L36" s="30"/>
    </row>
    <row r="37" spans="1:12" ht="18" customHeight="1" x14ac:dyDescent="0.25">
      <c r="A37" s="35"/>
      <c r="B37" s="35"/>
      <c r="C37" s="428"/>
      <c r="D37" s="429"/>
      <c r="E37" s="429"/>
      <c r="F37" s="429"/>
      <c r="G37" s="429"/>
      <c r="H37" s="429"/>
      <c r="I37" s="429"/>
      <c r="J37" s="430"/>
      <c r="K37" s="23"/>
      <c r="L37" s="30"/>
    </row>
    <row r="38" spans="1:12" ht="18" customHeight="1" x14ac:dyDescent="0.25">
      <c r="A38" s="35"/>
      <c r="B38" s="35"/>
      <c r="C38" s="428"/>
      <c r="D38" s="429"/>
      <c r="E38" s="429"/>
      <c r="F38" s="429"/>
      <c r="G38" s="429"/>
      <c r="H38" s="429"/>
      <c r="I38" s="429"/>
      <c r="J38" s="430"/>
      <c r="K38" s="23"/>
      <c r="L38" s="30"/>
    </row>
    <row r="39" spans="1:12" ht="18" customHeight="1" x14ac:dyDescent="0.25">
      <c r="A39" s="35"/>
      <c r="B39" s="35"/>
      <c r="C39" s="428"/>
      <c r="D39" s="429"/>
      <c r="E39" s="429"/>
      <c r="F39" s="429"/>
      <c r="G39" s="429"/>
      <c r="H39" s="429"/>
      <c r="I39" s="429"/>
      <c r="J39" s="430"/>
      <c r="K39" s="23"/>
      <c r="L39" s="30"/>
    </row>
    <row r="40" spans="1:12" ht="18" customHeight="1" x14ac:dyDescent="0.25">
      <c r="A40" s="35"/>
      <c r="B40" s="35"/>
      <c r="C40" s="428"/>
      <c r="D40" s="429"/>
      <c r="E40" s="429"/>
      <c r="F40" s="429"/>
      <c r="G40" s="429"/>
      <c r="H40" s="429"/>
      <c r="I40" s="429"/>
      <c r="J40" s="430"/>
      <c r="K40" s="23"/>
      <c r="L40" s="30"/>
    </row>
    <row r="41" spans="1:12" ht="18" customHeight="1" x14ac:dyDescent="0.25">
      <c r="A41" s="35"/>
      <c r="B41" s="35"/>
      <c r="C41" s="428"/>
      <c r="D41" s="429"/>
      <c r="E41" s="429"/>
      <c r="F41" s="429"/>
      <c r="G41" s="429"/>
      <c r="H41" s="429"/>
      <c r="I41" s="429"/>
      <c r="J41" s="430"/>
      <c r="K41" s="23"/>
      <c r="L41" s="30"/>
    </row>
    <row r="42" spans="1:12" ht="18" customHeight="1" x14ac:dyDescent="0.25">
      <c r="A42" s="35"/>
      <c r="B42" s="35"/>
      <c r="C42" s="428"/>
      <c r="D42" s="429"/>
      <c r="E42" s="429"/>
      <c r="F42" s="429"/>
      <c r="G42" s="429"/>
      <c r="H42" s="429"/>
      <c r="I42" s="429"/>
      <c r="J42" s="430"/>
      <c r="K42" s="23"/>
      <c r="L42" s="30"/>
    </row>
    <row r="43" spans="1:12" ht="18" customHeight="1" x14ac:dyDescent="0.25">
      <c r="A43" s="35"/>
      <c r="B43" s="35"/>
      <c r="C43" s="428"/>
      <c r="D43" s="429"/>
      <c r="E43" s="429"/>
      <c r="F43" s="429"/>
      <c r="G43" s="429"/>
      <c r="H43" s="429"/>
      <c r="I43" s="429"/>
      <c r="J43" s="430"/>
      <c r="K43" s="23"/>
      <c r="L43" s="30"/>
    </row>
    <row r="44" spans="1:12" ht="18" customHeight="1" x14ac:dyDescent="0.25">
      <c r="A44" s="35"/>
      <c r="B44" s="35"/>
      <c r="C44" s="428"/>
      <c r="D44" s="429"/>
      <c r="E44" s="429"/>
      <c r="F44" s="429"/>
      <c r="G44" s="429"/>
      <c r="H44" s="429"/>
      <c r="I44" s="429"/>
      <c r="J44" s="430"/>
      <c r="K44" s="30"/>
      <c r="L44" s="30"/>
    </row>
    <row r="45" spans="1:12" ht="18" customHeight="1" x14ac:dyDescent="0.25">
      <c r="A45" s="35"/>
      <c r="B45" s="35"/>
      <c r="C45" s="403" t="s">
        <v>77</v>
      </c>
      <c r="D45" s="404"/>
      <c r="E45" s="404"/>
      <c r="F45" s="404"/>
      <c r="G45" s="404"/>
      <c r="H45" s="404"/>
      <c r="I45" s="404"/>
      <c r="J45" s="405"/>
      <c r="K45" s="71"/>
      <c r="L45" s="30"/>
    </row>
    <row r="46" spans="1:12" ht="18" customHeight="1" x14ac:dyDescent="0.25">
      <c r="A46" s="35"/>
      <c r="B46" s="35"/>
      <c r="C46" s="406"/>
      <c r="D46" s="407"/>
      <c r="E46" s="407"/>
      <c r="F46" s="407"/>
      <c r="G46" s="407"/>
      <c r="H46" s="407"/>
      <c r="I46" s="407"/>
      <c r="J46" s="408"/>
      <c r="K46" s="71"/>
      <c r="L46" s="30"/>
    </row>
    <row r="47" spans="1:12" ht="18" customHeight="1" x14ac:dyDescent="0.25">
      <c r="A47" s="35"/>
      <c r="B47" s="35"/>
      <c r="C47" s="428" t="s">
        <v>22</v>
      </c>
      <c r="D47" s="429"/>
      <c r="E47" s="429"/>
      <c r="F47" s="429"/>
      <c r="G47" s="429"/>
      <c r="H47" s="429"/>
      <c r="I47" s="429"/>
      <c r="J47" s="430"/>
      <c r="K47" s="71"/>
      <c r="L47" s="30"/>
    </row>
    <row r="48" spans="1:12" ht="18" customHeight="1" x14ac:dyDescent="0.25">
      <c r="A48" s="35"/>
      <c r="B48" s="35"/>
      <c r="C48" s="428" t="s">
        <v>35</v>
      </c>
      <c r="D48" s="429"/>
      <c r="E48" s="429"/>
      <c r="F48" s="429"/>
      <c r="G48" s="429"/>
      <c r="H48" s="429"/>
      <c r="I48" s="429"/>
      <c r="J48" s="430"/>
      <c r="K48" s="71"/>
      <c r="L48" s="30"/>
    </row>
    <row r="49" spans="1:12" ht="18" customHeight="1" x14ac:dyDescent="0.25">
      <c r="A49" s="35"/>
      <c r="B49" s="35"/>
      <c r="C49" s="428" t="s">
        <v>23</v>
      </c>
      <c r="D49" s="429"/>
      <c r="E49" s="429"/>
      <c r="F49" s="429"/>
      <c r="G49" s="429"/>
      <c r="H49" s="429"/>
      <c r="I49" s="429"/>
      <c r="J49" s="430"/>
      <c r="K49" s="71"/>
      <c r="L49" s="30"/>
    </row>
    <row r="50" spans="1:12" ht="18" customHeight="1" x14ac:dyDescent="0.25">
      <c r="A50" s="35"/>
      <c r="B50" s="35"/>
      <c r="C50" s="428" t="s">
        <v>36</v>
      </c>
      <c r="D50" s="429"/>
      <c r="E50" s="429"/>
      <c r="F50" s="429"/>
      <c r="G50" s="429"/>
      <c r="H50" s="429"/>
      <c r="I50" s="429"/>
      <c r="J50" s="430"/>
      <c r="K50" s="71"/>
      <c r="L50" s="30"/>
    </row>
    <row r="51" spans="1:12" ht="18" customHeight="1" x14ac:dyDescent="0.25">
      <c r="A51" s="35"/>
      <c r="B51" s="35"/>
      <c r="C51" s="428" t="s">
        <v>37</v>
      </c>
      <c r="D51" s="429"/>
      <c r="E51" s="429"/>
      <c r="F51" s="429"/>
      <c r="G51" s="429"/>
      <c r="H51" s="429"/>
      <c r="I51" s="429"/>
      <c r="J51" s="430"/>
      <c r="K51" s="71"/>
      <c r="L51" s="30"/>
    </row>
    <row r="52" spans="1:12" ht="18" customHeight="1" x14ac:dyDescent="0.25">
      <c r="A52" s="35"/>
      <c r="B52" s="35"/>
      <c r="C52" s="428"/>
      <c r="D52" s="429"/>
      <c r="E52" s="429"/>
      <c r="F52" s="429"/>
      <c r="G52" s="429"/>
      <c r="H52" s="429"/>
      <c r="I52" s="429"/>
      <c r="J52" s="430"/>
      <c r="K52" s="71"/>
      <c r="L52" s="30"/>
    </row>
    <row r="53" spans="1:12" ht="18" customHeight="1" x14ac:dyDescent="0.25">
      <c r="A53" s="35"/>
      <c r="B53" s="35"/>
      <c r="C53" s="428"/>
      <c r="D53" s="429"/>
      <c r="E53" s="429"/>
      <c r="F53" s="429"/>
      <c r="G53" s="429"/>
      <c r="H53" s="429"/>
      <c r="I53" s="429"/>
      <c r="J53" s="430"/>
      <c r="K53" s="71"/>
      <c r="L53" s="30"/>
    </row>
    <row r="54" spans="1:12" ht="18" customHeight="1" x14ac:dyDescent="0.25">
      <c r="A54" s="35"/>
      <c r="B54" s="35"/>
      <c r="C54" s="428"/>
      <c r="D54" s="429"/>
      <c r="E54" s="429"/>
      <c r="F54" s="429"/>
      <c r="G54" s="429"/>
      <c r="H54" s="429"/>
      <c r="I54" s="429"/>
      <c r="J54" s="430"/>
      <c r="K54" s="71"/>
      <c r="L54" s="30"/>
    </row>
    <row r="55" spans="1:12" ht="18" customHeight="1" x14ac:dyDescent="0.25">
      <c r="A55" s="35"/>
      <c r="B55" s="35"/>
      <c r="C55" s="428"/>
      <c r="D55" s="429"/>
      <c r="E55" s="429"/>
      <c r="F55" s="429"/>
      <c r="G55" s="429"/>
      <c r="H55" s="429"/>
      <c r="I55" s="429"/>
      <c r="J55" s="430"/>
      <c r="K55" s="71"/>
      <c r="L55" s="30"/>
    </row>
    <row r="56" spans="1:12" ht="18" customHeight="1" x14ac:dyDescent="0.25">
      <c r="A56" s="35"/>
      <c r="B56" s="35"/>
      <c r="C56" s="428"/>
      <c r="D56" s="429"/>
      <c r="E56" s="429"/>
      <c r="F56" s="429"/>
      <c r="G56" s="429"/>
      <c r="H56" s="429"/>
      <c r="I56" s="429"/>
      <c r="J56" s="430"/>
      <c r="K56" s="71"/>
      <c r="L56" s="30"/>
    </row>
    <row r="57" spans="1:12" ht="18" customHeight="1" x14ac:dyDescent="0.25">
      <c r="A57" s="35"/>
      <c r="B57" s="35"/>
      <c r="C57" s="428"/>
      <c r="D57" s="429"/>
      <c r="E57" s="429"/>
      <c r="F57" s="429"/>
      <c r="G57" s="429"/>
      <c r="H57" s="429"/>
      <c r="I57" s="429"/>
      <c r="J57" s="430"/>
      <c r="K57" s="71"/>
      <c r="L57" s="30"/>
    </row>
    <row r="58" spans="1:12" ht="18" customHeight="1" x14ac:dyDescent="0.25">
      <c r="A58" s="35"/>
      <c r="B58" s="35"/>
      <c r="C58" s="428"/>
      <c r="D58" s="429"/>
      <c r="E58" s="429"/>
      <c r="F58" s="429"/>
      <c r="G58" s="429"/>
      <c r="H58" s="429"/>
      <c r="I58" s="429"/>
      <c r="J58" s="430"/>
      <c r="K58" s="71"/>
      <c r="L58" s="30"/>
    </row>
    <row r="59" spans="1:12" ht="18" customHeight="1" x14ac:dyDescent="0.25">
      <c r="A59" s="35"/>
      <c r="B59" s="35"/>
      <c r="C59" s="428"/>
      <c r="D59" s="429"/>
      <c r="E59" s="429"/>
      <c r="F59" s="429"/>
      <c r="G59" s="429"/>
      <c r="H59" s="429"/>
      <c r="I59" s="429"/>
      <c r="J59" s="430"/>
      <c r="K59" s="71"/>
      <c r="L59" s="30"/>
    </row>
    <row r="60" spans="1:12" ht="18" customHeight="1" x14ac:dyDescent="0.25">
      <c r="A60" s="35"/>
      <c r="B60" s="35"/>
      <c r="C60" s="428"/>
      <c r="D60" s="429"/>
      <c r="E60" s="429"/>
      <c r="F60" s="429"/>
      <c r="G60" s="429"/>
      <c r="H60" s="429"/>
      <c r="I60" s="429"/>
      <c r="J60" s="430"/>
      <c r="K60" s="71"/>
      <c r="L60" s="30"/>
    </row>
    <row r="61" spans="1:12" ht="18" customHeight="1" x14ac:dyDescent="0.25">
      <c r="A61" s="35"/>
      <c r="B61" s="35"/>
      <c r="C61" s="403" t="s">
        <v>24</v>
      </c>
      <c r="D61" s="404"/>
      <c r="E61" s="404"/>
      <c r="F61" s="404"/>
      <c r="G61" s="404"/>
      <c r="H61" s="404"/>
      <c r="I61" s="404"/>
      <c r="J61" s="405"/>
      <c r="K61" s="71"/>
      <c r="L61" s="30"/>
    </row>
    <row r="62" spans="1:12" ht="18" customHeight="1" x14ac:dyDescent="0.25">
      <c r="A62" s="35"/>
      <c r="B62" s="35"/>
      <c r="C62" s="406"/>
      <c r="D62" s="407"/>
      <c r="E62" s="407"/>
      <c r="F62" s="407"/>
      <c r="G62" s="407"/>
      <c r="H62" s="407"/>
      <c r="I62" s="407"/>
      <c r="J62" s="408"/>
      <c r="K62" s="71"/>
      <c r="L62" s="30"/>
    </row>
    <row r="63" spans="1:12" ht="18" customHeight="1" x14ac:dyDescent="0.25">
      <c r="A63" s="35"/>
      <c r="B63" s="35"/>
      <c r="C63" s="428" t="s">
        <v>38</v>
      </c>
      <c r="D63" s="429"/>
      <c r="E63" s="429"/>
      <c r="F63" s="429"/>
      <c r="G63" s="429"/>
      <c r="H63" s="429"/>
      <c r="I63" s="429"/>
      <c r="J63" s="430"/>
      <c r="K63" s="71"/>
      <c r="L63" s="30"/>
    </row>
    <row r="64" spans="1:12" ht="18" customHeight="1" x14ac:dyDescent="0.25">
      <c r="A64" s="35"/>
      <c r="B64" s="35"/>
      <c r="C64" s="428" t="s">
        <v>39</v>
      </c>
      <c r="D64" s="429"/>
      <c r="E64" s="429"/>
      <c r="F64" s="429"/>
      <c r="G64" s="429"/>
      <c r="H64" s="429"/>
      <c r="I64" s="429"/>
      <c r="J64" s="430"/>
      <c r="K64" s="71"/>
      <c r="L64" s="30"/>
    </row>
    <row r="65" spans="1:12" ht="18" customHeight="1" x14ac:dyDescent="0.25">
      <c r="A65" s="35"/>
      <c r="B65" s="35"/>
      <c r="C65" s="428" t="s">
        <v>37</v>
      </c>
      <c r="D65" s="429"/>
      <c r="E65" s="429"/>
      <c r="F65" s="429"/>
      <c r="G65" s="429"/>
      <c r="H65" s="429"/>
      <c r="I65" s="429"/>
      <c r="J65" s="430"/>
      <c r="K65" s="71"/>
      <c r="L65" s="30"/>
    </row>
    <row r="66" spans="1:12" ht="18" customHeight="1" x14ac:dyDescent="0.25">
      <c r="A66" s="35"/>
      <c r="B66" s="35"/>
      <c r="C66" s="428" t="s">
        <v>40</v>
      </c>
      <c r="D66" s="429"/>
      <c r="E66" s="429"/>
      <c r="F66" s="429"/>
      <c r="G66" s="429"/>
      <c r="H66" s="429"/>
      <c r="I66" s="429"/>
      <c r="J66" s="430"/>
      <c r="K66" s="71"/>
      <c r="L66" s="30"/>
    </row>
    <row r="67" spans="1:12" ht="18" customHeight="1" x14ac:dyDescent="0.25">
      <c r="A67" s="35"/>
      <c r="B67" s="35"/>
      <c r="C67" s="428"/>
      <c r="D67" s="429"/>
      <c r="E67" s="429"/>
      <c r="F67" s="429"/>
      <c r="G67" s="429"/>
      <c r="H67" s="429"/>
      <c r="I67" s="429"/>
      <c r="J67" s="430"/>
      <c r="K67" s="71"/>
      <c r="L67" s="30"/>
    </row>
    <row r="68" spans="1:12" ht="18" customHeight="1" x14ac:dyDescent="0.25">
      <c r="A68" s="35"/>
      <c r="B68" s="35"/>
      <c r="C68" s="428"/>
      <c r="D68" s="429"/>
      <c r="E68" s="429"/>
      <c r="F68" s="429"/>
      <c r="G68" s="429"/>
      <c r="H68" s="429"/>
      <c r="I68" s="429"/>
      <c r="J68" s="430"/>
      <c r="K68" s="71"/>
      <c r="L68" s="30"/>
    </row>
    <row r="69" spans="1:12" ht="18" customHeight="1" x14ac:dyDescent="0.25">
      <c r="A69" s="35"/>
      <c r="B69" s="35"/>
      <c r="C69" s="428"/>
      <c r="D69" s="429"/>
      <c r="E69" s="429"/>
      <c r="F69" s="429"/>
      <c r="G69" s="429"/>
      <c r="H69" s="429"/>
      <c r="I69" s="429"/>
      <c r="J69" s="430"/>
      <c r="K69" s="71"/>
      <c r="L69" s="30"/>
    </row>
    <row r="70" spans="1:12" ht="18" customHeight="1" x14ac:dyDescent="0.25">
      <c r="A70" s="35"/>
      <c r="B70" s="35"/>
      <c r="C70" s="428"/>
      <c r="D70" s="429"/>
      <c r="E70" s="429"/>
      <c r="F70" s="429"/>
      <c r="G70" s="429"/>
      <c r="H70" s="429"/>
      <c r="I70" s="429"/>
      <c r="J70" s="430"/>
      <c r="K70" s="71"/>
      <c r="L70" s="30"/>
    </row>
    <row r="71" spans="1:12" ht="18" customHeight="1" x14ac:dyDescent="0.25">
      <c r="A71" s="35"/>
      <c r="B71" s="35"/>
      <c r="C71" s="428"/>
      <c r="D71" s="429"/>
      <c r="E71" s="429"/>
      <c r="F71" s="429"/>
      <c r="G71" s="429"/>
      <c r="H71" s="429"/>
      <c r="I71" s="429"/>
      <c r="J71" s="430"/>
      <c r="K71" s="71"/>
      <c r="L71" s="30"/>
    </row>
    <row r="72" spans="1:12" ht="18" customHeight="1" x14ac:dyDescent="0.25">
      <c r="A72" s="35"/>
      <c r="B72" s="35"/>
      <c r="C72" s="400"/>
      <c r="D72" s="401"/>
      <c r="E72" s="401"/>
      <c r="F72" s="401"/>
      <c r="G72" s="401"/>
      <c r="H72" s="401"/>
      <c r="I72" s="401"/>
      <c r="J72" s="402"/>
      <c r="K72" s="71"/>
      <c r="L72" s="30"/>
    </row>
    <row r="73" spans="1:12" ht="15" customHeight="1" x14ac:dyDescent="0.25">
      <c r="A73" s="35"/>
      <c r="B73" s="74"/>
      <c r="C73" s="125"/>
      <c r="D73" s="76"/>
      <c r="E73" s="76"/>
      <c r="F73" s="77"/>
      <c r="G73" s="121"/>
      <c r="H73" s="77"/>
      <c r="I73" s="77"/>
      <c r="J73" s="77"/>
      <c r="K73" s="79"/>
      <c r="L73" s="30"/>
    </row>
    <row r="74" spans="1:12" s="2" customFormat="1" ht="15" customHeight="1" x14ac:dyDescent="0.25">
      <c r="A74" s="35"/>
      <c r="B74" s="18"/>
      <c r="C74" s="9"/>
      <c r="E74" s="9"/>
      <c r="G74" s="9"/>
      <c r="L74" s="4"/>
    </row>
    <row r="75" spans="1:12" s="2" customFormat="1" ht="15" customHeight="1" x14ac:dyDescent="0.25">
      <c r="A75" s="35"/>
      <c r="B75" s="18"/>
      <c r="C75" s="396" t="s">
        <v>122</v>
      </c>
      <c r="D75" s="396"/>
      <c r="E75" s="396"/>
      <c r="F75" s="396"/>
      <c r="G75" s="396"/>
      <c r="H75" s="396"/>
      <c r="I75" s="396"/>
      <c r="J75" s="396"/>
      <c r="K75" s="16"/>
      <c r="L75" s="32"/>
    </row>
    <row r="76" spans="1:12" s="2" customFormat="1" ht="15" customHeight="1" x14ac:dyDescent="0.25">
      <c r="A76" s="6"/>
      <c r="B76" s="11"/>
      <c r="C76" s="15"/>
      <c r="D76" s="11"/>
      <c r="E76" s="17"/>
      <c r="F76" s="5"/>
      <c r="G76" s="17"/>
      <c r="H76" s="5"/>
      <c r="I76" s="5"/>
      <c r="J76" s="5"/>
      <c r="K76" s="5"/>
      <c r="L76" s="33"/>
    </row>
    <row r="77" spans="1:12" s="2" customFormat="1" ht="18.75" customHeight="1" x14ac:dyDescent="0.25">
      <c r="A77" s="7"/>
      <c r="B77" s="7"/>
      <c r="C77" s="10"/>
      <c r="D77" s="7"/>
      <c r="E77" s="118"/>
      <c r="F77" s="8"/>
      <c r="G77" s="118"/>
      <c r="H77" s="8"/>
      <c r="I77" s="8"/>
      <c r="J77" s="8"/>
      <c r="K77" s="8"/>
      <c r="L77" s="8"/>
    </row>
    <row r="78" spans="1:12" s="3" customFormat="1" ht="15" customHeight="1" x14ac:dyDescent="0.25">
      <c r="A78" s="37"/>
      <c r="B78" s="1"/>
      <c r="C78" s="123"/>
      <c r="D78" s="25"/>
      <c r="E78" s="38"/>
      <c r="F78" s="1"/>
      <c r="G78" s="38"/>
      <c r="H78" s="1"/>
      <c r="I78" s="1"/>
      <c r="J78" s="1"/>
      <c r="K78" s="1"/>
      <c r="L78" s="39"/>
    </row>
    <row r="79" spans="1:12" s="3" customFormat="1" ht="10.5" customHeight="1" x14ac:dyDescent="0.25">
      <c r="A79" s="40"/>
      <c r="B79" s="314"/>
      <c r="C79" s="315"/>
      <c r="D79" s="316"/>
      <c r="E79" s="295" t="s">
        <v>124</v>
      </c>
      <c r="F79" s="296"/>
      <c r="G79" s="296"/>
      <c r="H79" s="297"/>
      <c r="I79" s="425" t="s">
        <v>1</v>
      </c>
      <c r="J79" s="426"/>
      <c r="K79" s="427"/>
      <c r="L79" s="36"/>
    </row>
    <row r="80" spans="1:12" s="3" customFormat="1" ht="18" customHeight="1" x14ac:dyDescent="0.25">
      <c r="A80" s="40"/>
      <c r="B80" s="317"/>
      <c r="C80" s="318"/>
      <c r="D80" s="319"/>
      <c r="E80" s="298"/>
      <c r="F80" s="299"/>
      <c r="G80" s="299"/>
      <c r="H80" s="300"/>
      <c r="I80" s="304"/>
      <c r="J80" s="305"/>
      <c r="K80" s="306"/>
      <c r="L80" s="36"/>
    </row>
    <row r="81" spans="1:12" s="3" customFormat="1" ht="10.5" customHeight="1" x14ac:dyDescent="0.25">
      <c r="A81" s="40"/>
      <c r="B81" s="317"/>
      <c r="C81" s="318"/>
      <c r="D81" s="319"/>
      <c r="E81" s="298"/>
      <c r="F81" s="299"/>
      <c r="G81" s="299"/>
      <c r="H81" s="300"/>
      <c r="I81" s="425" t="s">
        <v>2</v>
      </c>
      <c r="J81" s="426"/>
      <c r="K81" s="427"/>
      <c r="L81" s="36"/>
    </row>
    <row r="82" spans="1:12" s="3" customFormat="1" ht="18" customHeight="1" x14ac:dyDescent="0.25">
      <c r="A82" s="40"/>
      <c r="B82" s="317"/>
      <c r="C82" s="318"/>
      <c r="D82" s="319"/>
      <c r="E82" s="298"/>
      <c r="F82" s="299"/>
      <c r="G82" s="299"/>
      <c r="H82" s="300"/>
      <c r="I82" s="304" t="s">
        <v>0</v>
      </c>
      <c r="J82" s="305"/>
      <c r="K82" s="306"/>
      <c r="L82" s="36"/>
    </row>
    <row r="83" spans="1:12" s="3" customFormat="1" ht="10.5" customHeight="1" x14ac:dyDescent="0.25">
      <c r="A83" s="40"/>
      <c r="B83" s="317"/>
      <c r="C83" s="318"/>
      <c r="D83" s="319"/>
      <c r="E83" s="298"/>
      <c r="F83" s="299"/>
      <c r="G83" s="299"/>
      <c r="H83" s="300"/>
      <c r="I83" s="425" t="s">
        <v>3</v>
      </c>
      <c r="J83" s="426"/>
      <c r="K83" s="427"/>
      <c r="L83" s="36"/>
    </row>
    <row r="84" spans="1:12" s="3" customFormat="1" ht="18" customHeight="1" x14ac:dyDescent="0.25">
      <c r="A84" s="40"/>
      <c r="B84" s="317"/>
      <c r="C84" s="318"/>
      <c r="D84" s="319"/>
      <c r="E84" s="298"/>
      <c r="F84" s="299"/>
      <c r="G84" s="299"/>
      <c r="H84" s="300"/>
      <c r="I84" s="285"/>
      <c r="J84" s="286"/>
      <c r="K84" s="287"/>
      <c r="L84" s="36"/>
    </row>
    <row r="85" spans="1:12" s="3" customFormat="1" ht="10.5" customHeight="1" x14ac:dyDescent="0.25">
      <c r="A85" s="40"/>
      <c r="B85" s="317"/>
      <c r="C85" s="318"/>
      <c r="D85" s="319"/>
      <c r="E85" s="298"/>
      <c r="F85" s="299"/>
      <c r="G85" s="299"/>
      <c r="H85" s="300"/>
      <c r="I85" s="425" t="s">
        <v>4</v>
      </c>
      <c r="J85" s="426"/>
      <c r="K85" s="427"/>
      <c r="L85" s="36"/>
    </row>
    <row r="86" spans="1:12" s="3" customFormat="1" ht="18" customHeight="1" x14ac:dyDescent="0.25">
      <c r="A86" s="40"/>
      <c r="B86" s="320"/>
      <c r="C86" s="321"/>
      <c r="D86" s="322"/>
      <c r="E86" s="301"/>
      <c r="F86" s="302"/>
      <c r="G86" s="302"/>
      <c r="H86" s="303"/>
      <c r="I86" s="304"/>
      <c r="J86" s="305"/>
      <c r="K86" s="306"/>
      <c r="L86" s="36"/>
    </row>
    <row r="87" spans="1:12" ht="15" customHeight="1" x14ac:dyDescent="0.25">
      <c r="A87" s="35"/>
      <c r="C87" s="124"/>
      <c r="D87" s="54"/>
      <c r="E87" s="54"/>
      <c r="F87" s="55"/>
      <c r="G87" s="119"/>
      <c r="H87" s="55"/>
      <c r="I87" s="55"/>
      <c r="J87" s="55"/>
      <c r="K87" s="55"/>
      <c r="L87" s="30"/>
    </row>
    <row r="88" spans="1:12" s="115" customFormat="1" ht="18" customHeight="1" x14ac:dyDescent="0.4">
      <c r="A88" s="113"/>
      <c r="B88" s="415" t="s">
        <v>124</v>
      </c>
      <c r="C88" s="416"/>
      <c r="D88" s="416"/>
      <c r="E88" s="416"/>
      <c r="F88" s="416"/>
      <c r="G88" s="416"/>
      <c r="H88" s="416"/>
      <c r="I88" s="416"/>
      <c r="J88" s="416"/>
      <c r="K88" s="417"/>
      <c r="L88" s="114"/>
    </row>
    <row r="89" spans="1:12" s="115" customFormat="1" ht="18" customHeight="1" x14ac:dyDescent="0.4">
      <c r="A89" s="113"/>
      <c r="B89" s="418"/>
      <c r="C89" s="419"/>
      <c r="D89" s="419"/>
      <c r="E89" s="419"/>
      <c r="F89" s="419"/>
      <c r="G89" s="419"/>
      <c r="H89" s="419"/>
      <c r="I89" s="419"/>
      <c r="J89" s="419"/>
      <c r="K89" s="420"/>
      <c r="L89" s="114"/>
    </row>
    <row r="90" spans="1:12" ht="15" customHeight="1" x14ac:dyDescent="0.25">
      <c r="A90" s="35"/>
      <c r="B90" s="35"/>
      <c r="C90" s="120"/>
      <c r="D90" s="48"/>
      <c r="E90" s="48"/>
      <c r="F90" s="48"/>
      <c r="G90" s="120"/>
      <c r="H90" s="48"/>
      <c r="I90" s="48"/>
      <c r="J90" s="48"/>
      <c r="K90" s="62"/>
      <c r="L90" s="30"/>
    </row>
    <row r="91" spans="1:12" ht="15" customHeight="1" x14ac:dyDescent="0.25">
      <c r="A91" s="35"/>
      <c r="B91" s="35"/>
      <c r="C91" s="421" t="s">
        <v>126</v>
      </c>
      <c r="D91" s="421"/>
      <c r="E91" s="421"/>
      <c r="F91" s="421"/>
      <c r="G91" s="421"/>
      <c r="H91" s="421"/>
      <c r="I91" s="421"/>
      <c r="J91" s="422"/>
      <c r="K91" s="68"/>
      <c r="L91" s="30"/>
    </row>
    <row r="92" spans="1:12" ht="15" customHeight="1" x14ac:dyDescent="0.25">
      <c r="A92" s="35"/>
      <c r="B92" s="35"/>
      <c r="C92" s="423"/>
      <c r="D92" s="423"/>
      <c r="E92" s="423"/>
      <c r="F92" s="423"/>
      <c r="G92" s="423"/>
      <c r="H92" s="423"/>
      <c r="I92" s="423"/>
      <c r="J92" s="424"/>
      <c r="K92" s="68"/>
      <c r="L92" s="30"/>
    </row>
    <row r="93" spans="1:12" ht="18" customHeight="1" x14ac:dyDescent="0.25">
      <c r="A93" s="35"/>
      <c r="B93" s="35"/>
      <c r="C93" s="403" t="s">
        <v>127</v>
      </c>
      <c r="D93" s="404"/>
      <c r="E93" s="404"/>
      <c r="F93" s="405"/>
      <c r="G93" s="403" t="s">
        <v>129</v>
      </c>
      <c r="H93" s="404"/>
      <c r="I93" s="404"/>
      <c r="J93" s="405"/>
      <c r="K93" s="71"/>
      <c r="L93" s="30"/>
    </row>
    <row r="94" spans="1:12" ht="18" customHeight="1" x14ac:dyDescent="0.25">
      <c r="A94" s="35"/>
      <c r="B94" s="35"/>
      <c r="C94" s="406"/>
      <c r="D94" s="407"/>
      <c r="E94" s="407"/>
      <c r="F94" s="408"/>
      <c r="G94" s="406"/>
      <c r="H94" s="407"/>
      <c r="I94" s="407"/>
      <c r="J94" s="408"/>
      <c r="K94" s="71"/>
      <c r="L94" s="30"/>
    </row>
    <row r="95" spans="1:12" ht="18" customHeight="1" x14ac:dyDescent="0.25">
      <c r="A95" s="35"/>
      <c r="B95" s="35"/>
      <c r="C95" s="397" t="s">
        <v>29</v>
      </c>
      <c r="D95" s="398"/>
      <c r="E95" s="398"/>
      <c r="F95" s="399"/>
      <c r="G95" s="412" t="s">
        <v>98</v>
      </c>
      <c r="H95" s="413"/>
      <c r="I95" s="413"/>
      <c r="J95" s="414"/>
      <c r="K95" s="71"/>
      <c r="L95" s="30"/>
    </row>
    <row r="96" spans="1:12" ht="18" customHeight="1" x14ac:dyDescent="0.25">
      <c r="A96" s="35"/>
      <c r="B96" s="35"/>
      <c r="C96" s="397" t="s">
        <v>26</v>
      </c>
      <c r="D96" s="398"/>
      <c r="E96" s="398"/>
      <c r="F96" s="399"/>
      <c r="G96" s="397" t="s">
        <v>102</v>
      </c>
      <c r="H96" s="398"/>
      <c r="I96" s="398"/>
      <c r="J96" s="399"/>
      <c r="K96" s="71"/>
      <c r="L96" s="30"/>
    </row>
    <row r="97" spans="1:12" ht="18" customHeight="1" x14ac:dyDescent="0.25">
      <c r="A97" s="35"/>
      <c r="B97" s="35"/>
      <c r="C97" s="397" t="s">
        <v>55</v>
      </c>
      <c r="D97" s="398"/>
      <c r="E97" s="398"/>
      <c r="F97" s="399"/>
      <c r="G97" s="397" t="s">
        <v>130</v>
      </c>
      <c r="H97" s="398"/>
      <c r="I97" s="398"/>
      <c r="J97" s="399"/>
      <c r="K97" s="71"/>
      <c r="L97" s="30"/>
    </row>
    <row r="98" spans="1:12" ht="18" customHeight="1" x14ac:dyDescent="0.25">
      <c r="A98" s="35"/>
      <c r="B98" s="35"/>
      <c r="C98" s="397" t="s">
        <v>56</v>
      </c>
      <c r="D98" s="398"/>
      <c r="E98" s="398"/>
      <c r="F98" s="399"/>
      <c r="G98" s="397"/>
      <c r="H98" s="398"/>
      <c r="I98" s="398"/>
      <c r="J98" s="399"/>
      <c r="K98" s="71"/>
      <c r="L98" s="30"/>
    </row>
    <row r="99" spans="1:12" ht="18" customHeight="1" x14ac:dyDescent="0.25">
      <c r="A99" s="35"/>
      <c r="B99" s="35"/>
      <c r="C99" s="397" t="s">
        <v>91</v>
      </c>
      <c r="D99" s="398"/>
      <c r="E99" s="398"/>
      <c r="F99" s="399"/>
      <c r="G99" s="397"/>
      <c r="H99" s="398"/>
      <c r="I99" s="398"/>
      <c r="J99" s="399"/>
      <c r="K99" s="71"/>
      <c r="L99" s="30"/>
    </row>
    <row r="100" spans="1:12" ht="18" customHeight="1" x14ac:dyDescent="0.25">
      <c r="A100" s="35"/>
      <c r="B100" s="35"/>
      <c r="C100" s="397" t="s">
        <v>133</v>
      </c>
      <c r="D100" s="398"/>
      <c r="E100" s="398"/>
      <c r="F100" s="399"/>
      <c r="G100" s="397"/>
      <c r="H100" s="398"/>
      <c r="I100" s="398"/>
      <c r="J100" s="399"/>
      <c r="K100" s="71"/>
      <c r="L100" s="30"/>
    </row>
    <row r="101" spans="1:12" ht="18" customHeight="1" x14ac:dyDescent="0.25">
      <c r="A101" s="35"/>
      <c r="B101" s="35"/>
      <c r="C101" s="397" t="s">
        <v>90</v>
      </c>
      <c r="D101" s="398"/>
      <c r="E101" s="398"/>
      <c r="F101" s="399"/>
      <c r="G101" s="397"/>
      <c r="H101" s="398"/>
      <c r="I101" s="398"/>
      <c r="J101" s="399"/>
      <c r="K101" s="71"/>
      <c r="L101" s="30"/>
    </row>
    <row r="102" spans="1:12" ht="18" customHeight="1" x14ac:dyDescent="0.25">
      <c r="A102" s="35"/>
      <c r="B102" s="35"/>
      <c r="C102" s="397" t="s">
        <v>54</v>
      </c>
      <c r="D102" s="398"/>
      <c r="E102" s="398"/>
      <c r="F102" s="399"/>
      <c r="G102" s="397"/>
      <c r="H102" s="398"/>
      <c r="I102" s="398"/>
      <c r="J102" s="399"/>
      <c r="K102" s="71"/>
      <c r="L102" s="30"/>
    </row>
    <row r="103" spans="1:12" ht="18" customHeight="1" x14ac:dyDescent="0.25">
      <c r="A103" s="35"/>
      <c r="B103" s="35"/>
      <c r="C103" s="397" t="s">
        <v>57</v>
      </c>
      <c r="D103" s="398"/>
      <c r="E103" s="398"/>
      <c r="F103" s="399"/>
      <c r="G103" s="397"/>
      <c r="H103" s="398"/>
      <c r="I103" s="398"/>
      <c r="J103" s="399"/>
      <c r="K103" s="71"/>
      <c r="L103" s="30"/>
    </row>
    <row r="104" spans="1:12" ht="18" customHeight="1" x14ac:dyDescent="0.25">
      <c r="A104" s="35"/>
      <c r="B104" s="35"/>
      <c r="C104" s="397" t="s">
        <v>30</v>
      </c>
      <c r="D104" s="398"/>
      <c r="E104" s="398"/>
      <c r="F104" s="399"/>
      <c r="G104" s="397"/>
      <c r="H104" s="398"/>
      <c r="I104" s="398"/>
      <c r="J104" s="399"/>
      <c r="K104" s="71"/>
      <c r="L104" s="30"/>
    </row>
    <row r="105" spans="1:12" ht="18" customHeight="1" x14ac:dyDescent="0.25">
      <c r="A105" s="35"/>
      <c r="B105" s="35"/>
      <c r="C105" s="397" t="s">
        <v>92</v>
      </c>
      <c r="D105" s="398"/>
      <c r="E105" s="398"/>
      <c r="F105" s="399"/>
      <c r="G105" s="397"/>
      <c r="H105" s="398"/>
      <c r="I105" s="398"/>
      <c r="J105" s="399"/>
      <c r="K105" s="29"/>
      <c r="L105" s="30"/>
    </row>
    <row r="106" spans="1:12" ht="18" customHeight="1" x14ac:dyDescent="0.25">
      <c r="A106" s="35"/>
      <c r="B106" s="35"/>
      <c r="C106" s="397" t="s">
        <v>58</v>
      </c>
      <c r="D106" s="398"/>
      <c r="E106" s="398"/>
      <c r="F106" s="399"/>
      <c r="G106" s="397"/>
      <c r="H106" s="398"/>
      <c r="I106" s="398"/>
      <c r="J106" s="399"/>
      <c r="K106" s="23"/>
      <c r="L106" s="30"/>
    </row>
    <row r="107" spans="1:12" ht="18" customHeight="1" x14ac:dyDescent="0.25">
      <c r="A107" s="35"/>
      <c r="B107" s="35"/>
      <c r="C107" s="397" t="s">
        <v>132</v>
      </c>
      <c r="D107" s="398"/>
      <c r="E107" s="398"/>
      <c r="F107" s="399"/>
      <c r="G107" s="397"/>
      <c r="H107" s="398"/>
      <c r="I107" s="398"/>
      <c r="J107" s="399"/>
      <c r="K107" s="23"/>
      <c r="L107" s="30"/>
    </row>
    <row r="108" spans="1:12" ht="18" customHeight="1" x14ac:dyDescent="0.25">
      <c r="A108" s="35"/>
      <c r="B108" s="35"/>
      <c r="C108" s="397" t="s">
        <v>59</v>
      </c>
      <c r="D108" s="398"/>
      <c r="E108" s="398"/>
      <c r="F108" s="399"/>
      <c r="G108" s="397"/>
      <c r="H108" s="398"/>
      <c r="I108" s="398"/>
      <c r="J108" s="399"/>
      <c r="K108" s="23"/>
      <c r="L108" s="30"/>
    </row>
    <row r="109" spans="1:12" ht="18" customHeight="1" x14ac:dyDescent="0.25">
      <c r="A109" s="35"/>
      <c r="B109" s="35"/>
      <c r="C109" s="397" t="s">
        <v>60</v>
      </c>
      <c r="D109" s="398"/>
      <c r="E109" s="398"/>
      <c r="F109" s="399"/>
      <c r="G109" s="397"/>
      <c r="H109" s="398"/>
      <c r="I109" s="398"/>
      <c r="J109" s="399"/>
      <c r="K109" s="23"/>
      <c r="L109" s="30"/>
    </row>
    <row r="110" spans="1:12" ht="18" customHeight="1" x14ac:dyDescent="0.25">
      <c r="A110" s="35"/>
      <c r="B110" s="35"/>
      <c r="C110" s="397" t="s">
        <v>61</v>
      </c>
      <c r="D110" s="398"/>
      <c r="E110" s="398"/>
      <c r="F110" s="399"/>
      <c r="G110" s="397"/>
      <c r="H110" s="398"/>
      <c r="I110" s="398"/>
      <c r="J110" s="399"/>
      <c r="K110" s="23"/>
      <c r="L110" s="30"/>
    </row>
    <row r="111" spans="1:12" ht="18" customHeight="1" x14ac:dyDescent="0.25">
      <c r="A111" s="35"/>
      <c r="B111" s="35"/>
      <c r="C111" s="397" t="s">
        <v>27</v>
      </c>
      <c r="D111" s="398"/>
      <c r="E111" s="398"/>
      <c r="F111" s="399"/>
      <c r="G111" s="397"/>
      <c r="H111" s="398"/>
      <c r="I111" s="398"/>
      <c r="J111" s="399"/>
      <c r="K111" s="23"/>
      <c r="L111" s="30"/>
    </row>
    <row r="112" spans="1:12" ht="18" customHeight="1" x14ac:dyDescent="0.25">
      <c r="A112" s="35"/>
      <c r="B112" s="35"/>
      <c r="C112" s="397" t="s">
        <v>31</v>
      </c>
      <c r="D112" s="398"/>
      <c r="E112" s="398"/>
      <c r="F112" s="399"/>
      <c r="G112" s="397"/>
      <c r="H112" s="398"/>
      <c r="I112" s="398"/>
      <c r="J112" s="399"/>
      <c r="K112" s="23"/>
      <c r="L112" s="30"/>
    </row>
    <row r="113" spans="1:12" ht="18" customHeight="1" x14ac:dyDescent="0.25">
      <c r="A113" s="35"/>
      <c r="B113" s="35"/>
      <c r="C113" s="397" t="s">
        <v>32</v>
      </c>
      <c r="D113" s="398"/>
      <c r="E113" s="398"/>
      <c r="F113" s="399"/>
      <c r="G113" s="397"/>
      <c r="H113" s="398"/>
      <c r="I113" s="398"/>
      <c r="J113" s="399"/>
      <c r="K113" s="23"/>
      <c r="L113" s="30"/>
    </row>
    <row r="114" spans="1:12" ht="18" customHeight="1" x14ac:dyDescent="0.25">
      <c r="A114" s="35"/>
      <c r="B114" s="35"/>
      <c r="C114" s="397" t="s">
        <v>78</v>
      </c>
      <c r="D114" s="398"/>
      <c r="E114" s="398"/>
      <c r="F114" s="399"/>
      <c r="G114" s="397"/>
      <c r="H114" s="398"/>
      <c r="I114" s="398"/>
      <c r="J114" s="399"/>
      <c r="K114" s="23"/>
      <c r="L114" s="30"/>
    </row>
    <row r="115" spans="1:12" ht="18" customHeight="1" x14ac:dyDescent="0.25">
      <c r="A115" s="35"/>
      <c r="B115" s="35"/>
      <c r="C115" s="397" t="s">
        <v>33</v>
      </c>
      <c r="D115" s="398"/>
      <c r="E115" s="398"/>
      <c r="F115" s="399"/>
      <c r="G115" s="403" t="s">
        <v>89</v>
      </c>
      <c r="H115" s="404"/>
      <c r="I115" s="404"/>
      <c r="J115" s="405"/>
      <c r="K115" s="23"/>
      <c r="L115" s="30"/>
    </row>
    <row r="116" spans="1:12" ht="18" customHeight="1" x14ac:dyDescent="0.25">
      <c r="A116" s="35"/>
      <c r="B116" s="35"/>
      <c r="C116" s="397" t="s">
        <v>62</v>
      </c>
      <c r="D116" s="398"/>
      <c r="E116" s="398"/>
      <c r="F116" s="399"/>
      <c r="G116" s="406"/>
      <c r="H116" s="407"/>
      <c r="I116" s="407"/>
      <c r="J116" s="408"/>
      <c r="K116" s="23"/>
      <c r="L116" s="30"/>
    </row>
    <row r="117" spans="1:12" ht="18" customHeight="1" x14ac:dyDescent="0.25">
      <c r="A117" s="35"/>
      <c r="B117" s="35"/>
      <c r="C117" s="397" t="s">
        <v>63</v>
      </c>
      <c r="D117" s="398"/>
      <c r="E117" s="398"/>
      <c r="F117" s="399"/>
      <c r="G117" s="397" t="s">
        <v>41</v>
      </c>
      <c r="H117" s="398"/>
      <c r="I117" s="398"/>
      <c r="J117" s="399"/>
      <c r="K117" s="23"/>
      <c r="L117" s="30"/>
    </row>
    <row r="118" spans="1:12" ht="18" customHeight="1" x14ac:dyDescent="0.25">
      <c r="A118" s="35"/>
      <c r="B118" s="35"/>
      <c r="C118" s="397" t="s">
        <v>34</v>
      </c>
      <c r="D118" s="398"/>
      <c r="E118" s="398"/>
      <c r="F118" s="399"/>
      <c r="G118" s="397" t="s">
        <v>42</v>
      </c>
      <c r="H118" s="398"/>
      <c r="I118" s="398"/>
      <c r="J118" s="399"/>
      <c r="K118" s="23"/>
      <c r="L118" s="30"/>
    </row>
    <row r="119" spans="1:12" ht="18" customHeight="1" x14ac:dyDescent="0.25">
      <c r="A119" s="35"/>
      <c r="B119" s="35"/>
      <c r="C119" s="397" t="s">
        <v>64</v>
      </c>
      <c r="D119" s="398"/>
      <c r="E119" s="398"/>
      <c r="F119" s="399"/>
      <c r="G119" s="397" t="s">
        <v>86</v>
      </c>
      <c r="H119" s="398"/>
      <c r="I119" s="398"/>
      <c r="J119" s="399"/>
      <c r="K119" s="23"/>
      <c r="L119" s="30"/>
    </row>
    <row r="120" spans="1:12" ht="18" customHeight="1" x14ac:dyDescent="0.25">
      <c r="A120" s="35"/>
      <c r="B120" s="35"/>
      <c r="C120" s="397" t="s">
        <v>65</v>
      </c>
      <c r="D120" s="398"/>
      <c r="E120" s="398"/>
      <c r="F120" s="399"/>
      <c r="G120" s="397" t="s">
        <v>100</v>
      </c>
      <c r="H120" s="398"/>
      <c r="I120" s="398"/>
      <c r="J120" s="399"/>
      <c r="K120" s="23"/>
      <c r="L120" s="30"/>
    </row>
    <row r="121" spans="1:12" ht="18" customHeight="1" x14ac:dyDescent="0.25">
      <c r="A121" s="35"/>
      <c r="B121" s="35"/>
      <c r="C121" s="397" t="s">
        <v>66</v>
      </c>
      <c r="D121" s="398"/>
      <c r="E121" s="398"/>
      <c r="F121" s="399"/>
      <c r="G121" s="397" t="s">
        <v>43</v>
      </c>
      <c r="H121" s="398"/>
      <c r="I121" s="398"/>
      <c r="J121" s="399"/>
      <c r="K121" s="30"/>
      <c r="L121" s="30"/>
    </row>
    <row r="122" spans="1:12" ht="18" customHeight="1" x14ac:dyDescent="0.25">
      <c r="A122" s="35"/>
      <c r="B122" s="35"/>
      <c r="C122" s="397" t="s">
        <v>138</v>
      </c>
      <c r="D122" s="398"/>
      <c r="E122" s="398"/>
      <c r="F122" s="399"/>
      <c r="G122" s="397" t="s">
        <v>72</v>
      </c>
      <c r="H122" s="398"/>
      <c r="I122" s="398"/>
      <c r="J122" s="399"/>
      <c r="K122" s="23"/>
      <c r="L122" s="30"/>
    </row>
    <row r="123" spans="1:12" ht="18" customHeight="1" x14ac:dyDescent="0.25">
      <c r="A123" s="35"/>
      <c r="B123" s="35"/>
      <c r="C123" s="397" t="s">
        <v>131</v>
      </c>
      <c r="D123" s="398"/>
      <c r="E123" s="398"/>
      <c r="F123" s="399"/>
      <c r="G123" s="397" t="s">
        <v>85</v>
      </c>
      <c r="H123" s="398"/>
      <c r="I123" s="398"/>
      <c r="J123" s="399"/>
      <c r="K123" s="23"/>
      <c r="L123" s="30"/>
    </row>
    <row r="124" spans="1:12" ht="18" customHeight="1" x14ac:dyDescent="0.25">
      <c r="A124" s="35"/>
      <c r="B124" s="35"/>
      <c r="C124" s="397" t="s">
        <v>134</v>
      </c>
      <c r="D124" s="398"/>
      <c r="E124" s="398"/>
      <c r="F124" s="399"/>
      <c r="G124" s="397" t="s">
        <v>44</v>
      </c>
      <c r="H124" s="398"/>
      <c r="I124" s="398"/>
      <c r="J124" s="399"/>
      <c r="K124" s="71"/>
      <c r="L124" s="30"/>
    </row>
    <row r="125" spans="1:12" ht="18" customHeight="1" x14ac:dyDescent="0.25">
      <c r="A125" s="35"/>
      <c r="B125" s="35"/>
      <c r="C125" s="397" t="s">
        <v>135</v>
      </c>
      <c r="D125" s="398"/>
      <c r="E125" s="398"/>
      <c r="F125" s="399"/>
      <c r="G125" s="397" t="s">
        <v>75</v>
      </c>
      <c r="H125" s="398"/>
      <c r="I125" s="398"/>
      <c r="J125" s="399"/>
      <c r="K125" s="71"/>
      <c r="L125" s="30"/>
    </row>
    <row r="126" spans="1:12" ht="18" customHeight="1" x14ac:dyDescent="0.25">
      <c r="A126" s="35"/>
      <c r="B126" s="35"/>
      <c r="C126" s="397" t="s">
        <v>28</v>
      </c>
      <c r="D126" s="398"/>
      <c r="E126" s="398"/>
      <c r="F126" s="399"/>
      <c r="G126" s="397" t="s">
        <v>45</v>
      </c>
      <c r="H126" s="398"/>
      <c r="I126" s="398"/>
      <c r="J126" s="399"/>
      <c r="K126" s="71"/>
      <c r="L126" s="30"/>
    </row>
    <row r="127" spans="1:12" ht="18" customHeight="1" x14ac:dyDescent="0.25">
      <c r="A127" s="35"/>
      <c r="B127" s="35"/>
      <c r="C127" s="397" t="s">
        <v>94</v>
      </c>
      <c r="D127" s="398"/>
      <c r="E127" s="398"/>
      <c r="F127" s="399"/>
      <c r="G127" s="397" t="s">
        <v>46</v>
      </c>
      <c r="H127" s="398"/>
      <c r="I127" s="398"/>
      <c r="J127" s="399"/>
      <c r="K127" s="71"/>
      <c r="L127" s="30"/>
    </row>
    <row r="128" spans="1:12" ht="18" customHeight="1" x14ac:dyDescent="0.25">
      <c r="A128" s="35"/>
      <c r="B128" s="35"/>
      <c r="C128" s="397" t="s">
        <v>123</v>
      </c>
      <c r="D128" s="398"/>
      <c r="E128" s="398"/>
      <c r="F128" s="399"/>
      <c r="G128" s="397" t="s">
        <v>76</v>
      </c>
      <c r="H128" s="398"/>
      <c r="I128" s="398"/>
      <c r="J128" s="399"/>
      <c r="K128" s="71"/>
      <c r="L128" s="30"/>
    </row>
    <row r="129" spans="1:12" ht="18" customHeight="1" x14ac:dyDescent="0.25">
      <c r="A129" s="35"/>
      <c r="B129" s="35"/>
      <c r="C129" s="397" t="s">
        <v>137</v>
      </c>
      <c r="D129" s="398"/>
      <c r="E129" s="398"/>
      <c r="F129" s="399"/>
      <c r="G129" s="397" t="s">
        <v>47</v>
      </c>
      <c r="H129" s="398"/>
      <c r="I129" s="398"/>
      <c r="J129" s="399"/>
      <c r="K129" s="71"/>
      <c r="L129" s="30"/>
    </row>
    <row r="130" spans="1:12" ht="18" customHeight="1" x14ac:dyDescent="0.25">
      <c r="A130" s="35"/>
      <c r="B130" s="35"/>
      <c r="C130" s="397" t="s">
        <v>67</v>
      </c>
      <c r="D130" s="398"/>
      <c r="E130" s="398"/>
      <c r="F130" s="399"/>
      <c r="G130" s="397" t="s">
        <v>48</v>
      </c>
      <c r="H130" s="398"/>
      <c r="I130" s="398"/>
      <c r="J130" s="399"/>
      <c r="K130" s="71"/>
      <c r="L130" s="30"/>
    </row>
    <row r="131" spans="1:12" ht="18" customHeight="1" x14ac:dyDescent="0.25">
      <c r="A131" s="35"/>
      <c r="B131" s="35"/>
      <c r="C131" s="397" t="s">
        <v>80</v>
      </c>
      <c r="D131" s="398"/>
      <c r="E131" s="398"/>
      <c r="F131" s="399"/>
      <c r="G131" s="397" t="s">
        <v>49</v>
      </c>
      <c r="H131" s="398"/>
      <c r="I131" s="398"/>
      <c r="J131" s="399"/>
      <c r="K131" s="71"/>
      <c r="L131" s="30"/>
    </row>
    <row r="132" spans="1:12" ht="18" customHeight="1" x14ac:dyDescent="0.25">
      <c r="A132" s="35"/>
      <c r="B132" s="35"/>
      <c r="C132" s="397" t="s">
        <v>83</v>
      </c>
      <c r="D132" s="398"/>
      <c r="E132" s="398"/>
      <c r="F132" s="399"/>
      <c r="G132" s="397" t="s">
        <v>50</v>
      </c>
      <c r="H132" s="398"/>
      <c r="I132" s="398"/>
      <c r="J132" s="399"/>
      <c r="K132" s="71"/>
      <c r="L132" s="30"/>
    </row>
    <row r="133" spans="1:12" ht="18" customHeight="1" x14ac:dyDescent="0.25">
      <c r="A133" s="35"/>
      <c r="B133" s="35"/>
      <c r="C133" s="397" t="s">
        <v>84</v>
      </c>
      <c r="D133" s="398"/>
      <c r="E133" s="398"/>
      <c r="F133" s="399"/>
      <c r="G133" s="397" t="s">
        <v>97</v>
      </c>
      <c r="H133" s="398"/>
      <c r="I133" s="398"/>
      <c r="J133" s="399"/>
      <c r="K133" s="71"/>
      <c r="L133" s="30"/>
    </row>
    <row r="134" spans="1:12" ht="18" customHeight="1" x14ac:dyDescent="0.25">
      <c r="A134" s="35"/>
      <c r="B134" s="35"/>
      <c r="C134" s="397" t="s">
        <v>79</v>
      </c>
      <c r="D134" s="398"/>
      <c r="E134" s="398"/>
      <c r="F134" s="399"/>
      <c r="G134" s="397" t="s">
        <v>74</v>
      </c>
      <c r="H134" s="398"/>
      <c r="I134" s="398"/>
      <c r="J134" s="399"/>
      <c r="K134" s="71"/>
      <c r="L134" s="30"/>
    </row>
    <row r="135" spans="1:12" ht="18" customHeight="1" x14ac:dyDescent="0.25">
      <c r="A135" s="35"/>
      <c r="B135" s="35"/>
      <c r="C135" s="397" t="s">
        <v>68</v>
      </c>
      <c r="D135" s="398"/>
      <c r="E135" s="398"/>
      <c r="F135" s="399"/>
      <c r="G135" s="397" t="s">
        <v>51</v>
      </c>
      <c r="H135" s="398"/>
      <c r="I135" s="398"/>
      <c r="J135" s="399"/>
      <c r="K135" s="71"/>
      <c r="L135" s="30"/>
    </row>
    <row r="136" spans="1:12" ht="18" customHeight="1" x14ac:dyDescent="0.25">
      <c r="A136" s="35"/>
      <c r="B136" s="35"/>
      <c r="C136" s="397" t="s">
        <v>69</v>
      </c>
      <c r="D136" s="398"/>
      <c r="E136" s="398"/>
      <c r="F136" s="399"/>
      <c r="G136" s="397" t="s">
        <v>52</v>
      </c>
      <c r="H136" s="398"/>
      <c r="I136" s="398"/>
      <c r="J136" s="399"/>
      <c r="K136" s="71"/>
      <c r="L136" s="30"/>
    </row>
    <row r="137" spans="1:12" ht="18" customHeight="1" x14ac:dyDescent="0.25">
      <c r="A137" s="35"/>
      <c r="B137" s="35"/>
      <c r="C137" s="397" t="s">
        <v>70</v>
      </c>
      <c r="D137" s="398"/>
      <c r="E137" s="398"/>
      <c r="F137" s="399"/>
      <c r="G137" s="397" t="s">
        <v>95</v>
      </c>
      <c r="H137" s="398"/>
      <c r="I137" s="398"/>
      <c r="J137" s="399"/>
      <c r="K137" s="71"/>
      <c r="L137" s="30"/>
    </row>
    <row r="138" spans="1:12" ht="18" customHeight="1" x14ac:dyDescent="0.25">
      <c r="A138" s="35"/>
      <c r="B138" s="35"/>
      <c r="C138" s="397" t="s">
        <v>71</v>
      </c>
      <c r="D138" s="398"/>
      <c r="E138" s="398"/>
      <c r="F138" s="399"/>
      <c r="G138" s="397" t="s">
        <v>53</v>
      </c>
      <c r="H138" s="398"/>
      <c r="I138" s="398"/>
      <c r="J138" s="399"/>
      <c r="K138" s="71"/>
      <c r="L138" s="30"/>
    </row>
    <row r="139" spans="1:12" ht="18" customHeight="1" x14ac:dyDescent="0.25">
      <c r="A139" s="35"/>
      <c r="B139" s="35"/>
      <c r="C139" s="397" t="s">
        <v>93</v>
      </c>
      <c r="D139" s="398"/>
      <c r="E139" s="398"/>
      <c r="F139" s="399"/>
      <c r="G139" s="397"/>
      <c r="H139" s="398"/>
      <c r="I139" s="398"/>
      <c r="J139" s="399"/>
      <c r="K139" s="71"/>
      <c r="L139" s="30"/>
    </row>
    <row r="140" spans="1:12" ht="18" customHeight="1" x14ac:dyDescent="0.25">
      <c r="A140" s="35"/>
      <c r="B140" s="35"/>
      <c r="C140" s="397"/>
      <c r="D140" s="398"/>
      <c r="E140" s="398"/>
      <c r="F140" s="399"/>
      <c r="G140" s="126"/>
      <c r="H140" s="127"/>
      <c r="I140" s="127"/>
      <c r="J140" s="128"/>
      <c r="K140" s="71"/>
      <c r="L140" s="30"/>
    </row>
    <row r="141" spans="1:12" ht="18" customHeight="1" x14ac:dyDescent="0.25">
      <c r="A141" s="35"/>
      <c r="B141" s="35"/>
      <c r="C141" s="397"/>
      <c r="D141" s="398"/>
      <c r="E141" s="398"/>
      <c r="F141" s="399"/>
      <c r="G141" s="126"/>
      <c r="H141" s="127"/>
      <c r="I141" s="127"/>
      <c r="J141" s="128"/>
      <c r="K141" s="71"/>
      <c r="L141" s="30"/>
    </row>
    <row r="142" spans="1:12" ht="18" customHeight="1" x14ac:dyDescent="0.25">
      <c r="A142" s="35"/>
      <c r="B142" s="35"/>
      <c r="C142" s="397"/>
      <c r="D142" s="398"/>
      <c r="E142" s="398"/>
      <c r="F142" s="399"/>
      <c r="G142" s="403" t="s">
        <v>87</v>
      </c>
      <c r="H142" s="404"/>
      <c r="I142" s="404"/>
      <c r="J142" s="405"/>
      <c r="K142" s="71"/>
      <c r="L142" s="30"/>
    </row>
    <row r="143" spans="1:12" ht="18" customHeight="1" x14ac:dyDescent="0.25">
      <c r="A143" s="35"/>
      <c r="B143" s="35"/>
      <c r="C143" s="397"/>
      <c r="D143" s="398"/>
      <c r="E143" s="398"/>
      <c r="F143" s="399"/>
      <c r="G143" s="406"/>
      <c r="H143" s="407"/>
      <c r="I143" s="407"/>
      <c r="J143" s="408"/>
      <c r="K143" s="71"/>
      <c r="L143" s="30"/>
    </row>
    <row r="144" spans="1:12" ht="18" customHeight="1" x14ac:dyDescent="0.25">
      <c r="A144" s="35"/>
      <c r="B144" s="35"/>
      <c r="C144" s="397"/>
      <c r="D144" s="398"/>
      <c r="E144" s="398"/>
      <c r="F144" s="399"/>
      <c r="G144" s="397" t="s">
        <v>105</v>
      </c>
      <c r="H144" s="398"/>
      <c r="I144" s="398"/>
      <c r="J144" s="399"/>
      <c r="K144" s="71"/>
      <c r="L144" s="30"/>
    </row>
    <row r="145" spans="1:12" ht="18" customHeight="1" x14ac:dyDescent="0.25">
      <c r="A145" s="35"/>
      <c r="B145" s="35"/>
      <c r="C145" s="397"/>
      <c r="D145" s="398"/>
      <c r="E145" s="398"/>
      <c r="F145" s="399"/>
      <c r="G145" s="397" t="s">
        <v>101</v>
      </c>
      <c r="H145" s="398"/>
      <c r="I145" s="398"/>
      <c r="J145" s="399"/>
      <c r="K145" s="71"/>
      <c r="L145" s="30"/>
    </row>
    <row r="146" spans="1:12" ht="18" customHeight="1" x14ac:dyDescent="0.25">
      <c r="A146" s="35"/>
      <c r="B146" s="35"/>
      <c r="C146" s="397"/>
      <c r="D146" s="398"/>
      <c r="E146" s="398"/>
      <c r="F146" s="399"/>
      <c r="G146" s="397" t="s">
        <v>82</v>
      </c>
      <c r="H146" s="398"/>
      <c r="I146" s="398"/>
      <c r="J146" s="399"/>
      <c r="K146" s="71"/>
      <c r="L146" s="30"/>
    </row>
    <row r="147" spans="1:12" ht="18" customHeight="1" x14ac:dyDescent="0.25">
      <c r="A147" s="35"/>
      <c r="B147" s="35"/>
      <c r="C147" s="397"/>
      <c r="D147" s="398"/>
      <c r="E147" s="398"/>
      <c r="F147" s="399"/>
      <c r="G147" s="397" t="s">
        <v>73</v>
      </c>
      <c r="H147" s="398"/>
      <c r="I147" s="398"/>
      <c r="J147" s="399"/>
      <c r="K147" s="71"/>
      <c r="L147" s="30"/>
    </row>
    <row r="148" spans="1:12" ht="18" customHeight="1" x14ac:dyDescent="0.25">
      <c r="A148" s="35"/>
      <c r="B148" s="35"/>
      <c r="C148" s="397"/>
      <c r="D148" s="398"/>
      <c r="E148" s="398"/>
      <c r="F148" s="399"/>
      <c r="G148" s="397" t="s">
        <v>81</v>
      </c>
      <c r="H148" s="398"/>
      <c r="I148" s="398"/>
      <c r="J148" s="399"/>
      <c r="K148" s="71"/>
      <c r="L148" s="30"/>
    </row>
    <row r="149" spans="1:12" ht="18" customHeight="1" x14ac:dyDescent="0.25">
      <c r="A149" s="35"/>
      <c r="B149" s="35"/>
      <c r="C149" s="397"/>
      <c r="D149" s="398"/>
      <c r="E149" s="398"/>
      <c r="F149" s="399"/>
      <c r="G149" s="397" t="s">
        <v>96</v>
      </c>
      <c r="H149" s="398"/>
      <c r="I149" s="398"/>
      <c r="J149" s="399"/>
      <c r="K149" s="71"/>
      <c r="L149" s="30"/>
    </row>
    <row r="150" spans="1:12" ht="18" customHeight="1" x14ac:dyDescent="0.25">
      <c r="A150" s="35"/>
      <c r="B150" s="35"/>
      <c r="C150" s="397"/>
      <c r="D150" s="398"/>
      <c r="E150" s="398"/>
      <c r="F150" s="399"/>
      <c r="G150" s="397" t="s">
        <v>106</v>
      </c>
      <c r="H150" s="398"/>
      <c r="I150" s="398"/>
      <c r="J150" s="399"/>
      <c r="K150" s="71"/>
      <c r="L150" s="30"/>
    </row>
    <row r="151" spans="1:12" ht="18" customHeight="1" x14ac:dyDescent="0.25">
      <c r="A151" s="35"/>
      <c r="B151" s="35"/>
      <c r="C151" s="397"/>
      <c r="D151" s="398"/>
      <c r="E151" s="398"/>
      <c r="F151" s="399"/>
      <c r="G151" s="397" t="s">
        <v>136</v>
      </c>
      <c r="H151" s="398"/>
      <c r="I151" s="398"/>
      <c r="J151" s="399"/>
      <c r="K151" s="71"/>
      <c r="L151" s="30"/>
    </row>
    <row r="152" spans="1:12" ht="18" customHeight="1" x14ac:dyDescent="0.25">
      <c r="A152" s="35"/>
      <c r="B152" s="35"/>
      <c r="C152" s="397"/>
      <c r="D152" s="398"/>
      <c r="E152" s="398"/>
      <c r="F152" s="399"/>
      <c r="G152" s="397"/>
      <c r="H152" s="398"/>
      <c r="I152" s="398"/>
      <c r="J152" s="399"/>
      <c r="K152" s="71"/>
      <c r="L152" s="30"/>
    </row>
    <row r="153" spans="1:12" ht="18" customHeight="1" x14ac:dyDescent="0.25">
      <c r="A153" s="35"/>
      <c r="B153" s="35"/>
      <c r="C153" s="409"/>
      <c r="D153" s="410"/>
      <c r="E153" s="410"/>
      <c r="F153" s="411"/>
      <c r="G153" s="409"/>
      <c r="H153" s="410"/>
      <c r="I153" s="410"/>
      <c r="J153" s="411"/>
      <c r="K153" s="71"/>
      <c r="L153" s="30"/>
    </row>
    <row r="154" spans="1:12" ht="15" customHeight="1" x14ac:dyDescent="0.25">
      <c r="A154" s="35"/>
      <c r="B154" s="74"/>
      <c r="C154" s="125"/>
      <c r="D154" s="76"/>
      <c r="E154" s="76"/>
      <c r="F154" s="77"/>
      <c r="G154" s="121"/>
      <c r="H154" s="77"/>
      <c r="I154" s="77"/>
      <c r="J154" s="77"/>
      <c r="K154" s="79"/>
      <c r="L154" s="30"/>
    </row>
    <row r="155" spans="1:12" s="2" customFormat="1" ht="15" customHeight="1" x14ac:dyDescent="0.25">
      <c r="A155" s="35"/>
      <c r="B155" s="18"/>
      <c r="C155" s="9"/>
      <c r="E155" s="9"/>
      <c r="G155" s="9"/>
      <c r="L155" s="4"/>
    </row>
    <row r="156" spans="1:12" s="2" customFormat="1" ht="15" customHeight="1" x14ac:dyDescent="0.25">
      <c r="A156" s="35"/>
      <c r="B156" s="18"/>
      <c r="C156" s="396" t="s">
        <v>122</v>
      </c>
      <c r="D156" s="396"/>
      <c r="E156" s="396"/>
      <c r="F156" s="396"/>
      <c r="G156" s="396"/>
      <c r="H156" s="396"/>
      <c r="I156" s="396"/>
      <c r="J156" s="396"/>
      <c r="K156" s="16"/>
      <c r="L156" s="32"/>
    </row>
    <row r="157" spans="1:12" s="2" customFormat="1" ht="15" customHeight="1" x14ac:dyDescent="0.25">
      <c r="A157" s="6"/>
      <c r="B157" s="11"/>
      <c r="C157" s="15"/>
      <c r="D157" s="11"/>
      <c r="E157" s="17"/>
      <c r="F157" s="5"/>
      <c r="G157" s="17"/>
      <c r="H157" s="5"/>
      <c r="I157" s="5"/>
      <c r="J157" s="5"/>
      <c r="K157" s="5"/>
      <c r="L157" s="33"/>
    </row>
  </sheetData>
  <sortState xmlns:xlrd2="http://schemas.microsoft.com/office/spreadsheetml/2017/richdata2" ref="C95:F140">
    <sortCondition ref="C140"/>
  </sortState>
  <mergeCells count="196">
    <mergeCell ref="I2:K2"/>
    <mergeCell ref="I3:K3"/>
    <mergeCell ref="I4:K4"/>
    <mergeCell ref="I5:K5"/>
    <mergeCell ref="I6:K6"/>
    <mergeCell ref="I7:K7"/>
    <mergeCell ref="I8:K8"/>
    <mergeCell ref="I9:K9"/>
    <mergeCell ref="C136:F136"/>
    <mergeCell ref="C18:J18"/>
    <mergeCell ref="C19:J19"/>
    <mergeCell ref="B11:K12"/>
    <mergeCell ref="C14:J15"/>
    <mergeCell ref="C59:J59"/>
    <mergeCell ref="C60:J60"/>
    <mergeCell ref="C38:J38"/>
    <mergeCell ref="C39:J39"/>
    <mergeCell ref="C40:J40"/>
    <mergeCell ref="C41:J41"/>
    <mergeCell ref="C42:J42"/>
    <mergeCell ref="C43:J43"/>
    <mergeCell ref="C44:J44"/>
    <mergeCell ref="C16:J17"/>
    <mergeCell ref="C45:J46"/>
    <mergeCell ref="C23:J23"/>
    <mergeCell ref="C24:J24"/>
    <mergeCell ref="C25:J25"/>
    <mergeCell ref="C68:J68"/>
    <mergeCell ref="C69:J69"/>
    <mergeCell ref="C70:J70"/>
    <mergeCell ref="C32:J32"/>
    <mergeCell ref="C33:J33"/>
    <mergeCell ref="C34:J34"/>
    <mergeCell ref="C35:J35"/>
    <mergeCell ref="C36:J36"/>
    <mergeCell ref="C37:J37"/>
    <mergeCell ref="C26:J26"/>
    <mergeCell ref="C27:J27"/>
    <mergeCell ref="C28:J28"/>
    <mergeCell ref="C29:J29"/>
    <mergeCell ref="C30:J30"/>
    <mergeCell ref="C31:J31"/>
    <mergeCell ref="C71:J71"/>
    <mergeCell ref="B2:D9"/>
    <mergeCell ref="E2:H9"/>
    <mergeCell ref="C61:J62"/>
    <mergeCell ref="C63:J63"/>
    <mergeCell ref="C64:J64"/>
    <mergeCell ref="C65:J65"/>
    <mergeCell ref="C66:J66"/>
    <mergeCell ref="C67:J67"/>
    <mergeCell ref="C53:J53"/>
    <mergeCell ref="C54:J54"/>
    <mergeCell ref="C55:J55"/>
    <mergeCell ref="C56:J56"/>
    <mergeCell ref="C57:J57"/>
    <mergeCell ref="C58:J58"/>
    <mergeCell ref="C47:J47"/>
    <mergeCell ref="C48:J48"/>
    <mergeCell ref="C49:J49"/>
    <mergeCell ref="C50:J50"/>
    <mergeCell ref="C51:J51"/>
    <mergeCell ref="C52:J52"/>
    <mergeCell ref="C20:J20"/>
    <mergeCell ref="C21:J21"/>
    <mergeCell ref="C22:J22"/>
    <mergeCell ref="G99:J99"/>
    <mergeCell ref="G100:J100"/>
    <mergeCell ref="B88:K89"/>
    <mergeCell ref="C91:J92"/>
    <mergeCell ref="B79:D86"/>
    <mergeCell ref="E79:H86"/>
    <mergeCell ref="I79:K79"/>
    <mergeCell ref="I80:K80"/>
    <mergeCell ref="I81:K81"/>
    <mergeCell ref="I82:K82"/>
    <mergeCell ref="I83:K83"/>
    <mergeCell ref="I84:K84"/>
    <mergeCell ref="I85:K85"/>
    <mergeCell ref="I86:K86"/>
    <mergeCell ref="C93:F94"/>
    <mergeCell ref="C95:F95"/>
    <mergeCell ref="C96:F96"/>
    <mergeCell ref="C97:F97"/>
    <mergeCell ref="C98:F98"/>
    <mergeCell ref="C99:F99"/>
    <mergeCell ref="C100:F100"/>
    <mergeCell ref="C101:F101"/>
    <mergeCell ref="C151:F151"/>
    <mergeCell ref="C150:F150"/>
    <mergeCell ref="C145:F145"/>
    <mergeCell ref="C144:F144"/>
    <mergeCell ref="C133:F133"/>
    <mergeCell ref="C149:F149"/>
    <mergeCell ref="C125:F125"/>
    <mergeCell ref="C126:F126"/>
    <mergeCell ref="C127:F127"/>
    <mergeCell ref="C124:F124"/>
    <mergeCell ref="C116:F116"/>
    <mergeCell ref="C117:F117"/>
    <mergeCell ref="C118:F118"/>
    <mergeCell ref="C119:F119"/>
    <mergeCell ref="C114:F114"/>
    <mergeCell ref="C115:F115"/>
    <mergeCell ref="C153:F153"/>
    <mergeCell ref="C152:F152"/>
    <mergeCell ref="G93:J94"/>
    <mergeCell ref="G95:J95"/>
    <mergeCell ref="G96:J96"/>
    <mergeCell ref="G97:J97"/>
    <mergeCell ref="G98:J98"/>
    <mergeCell ref="C128:F128"/>
    <mergeCell ref="C141:F141"/>
    <mergeCell ref="C142:F142"/>
    <mergeCell ref="C143:F143"/>
    <mergeCell ref="C132:F132"/>
    <mergeCell ref="C130:F130"/>
    <mergeCell ref="C131:F131"/>
    <mergeCell ref="C135:F135"/>
    <mergeCell ref="C139:F139"/>
    <mergeCell ref="C120:F120"/>
    <mergeCell ref="C121:F121"/>
    <mergeCell ref="C122:F122"/>
    <mergeCell ref="C123:F123"/>
    <mergeCell ref="C108:F108"/>
    <mergeCell ref="C109:F109"/>
    <mergeCell ref="C110:F110"/>
    <mergeCell ref="C111:F111"/>
    <mergeCell ref="G101:J101"/>
    <mergeCell ref="G102:J102"/>
    <mergeCell ref="G103:J103"/>
    <mergeCell ref="G104:J104"/>
    <mergeCell ref="G105:J105"/>
    <mergeCell ref="G106:J106"/>
    <mergeCell ref="C148:F148"/>
    <mergeCell ref="C147:F147"/>
    <mergeCell ref="C146:F146"/>
    <mergeCell ref="C112:F112"/>
    <mergeCell ref="C113:F113"/>
    <mergeCell ref="G127:J127"/>
    <mergeCell ref="G113:J113"/>
    <mergeCell ref="G114:J114"/>
    <mergeCell ref="C104:F104"/>
    <mergeCell ref="C105:F105"/>
    <mergeCell ref="C106:F106"/>
    <mergeCell ref="C107:F107"/>
    <mergeCell ref="C102:F102"/>
    <mergeCell ref="C103:F103"/>
    <mergeCell ref="C137:F137"/>
    <mergeCell ref="C140:F140"/>
    <mergeCell ref="G122:J122"/>
    <mergeCell ref="G123:J123"/>
    <mergeCell ref="G124:J124"/>
    <mergeCell ref="G125:J125"/>
    <mergeCell ref="G126:J126"/>
    <mergeCell ref="G118:J118"/>
    <mergeCell ref="G115:J116"/>
    <mergeCell ref="G107:J107"/>
    <mergeCell ref="G108:J108"/>
    <mergeCell ref="G109:J109"/>
    <mergeCell ref="G110:J110"/>
    <mergeCell ref="G111:J111"/>
    <mergeCell ref="G112:J112"/>
    <mergeCell ref="G153:J153"/>
    <mergeCell ref="G144:J144"/>
    <mergeCell ref="G145:J145"/>
    <mergeCell ref="G146:J146"/>
    <mergeCell ref="G147:J147"/>
    <mergeCell ref="G128:J128"/>
    <mergeCell ref="G129:J129"/>
    <mergeCell ref="G130:J130"/>
    <mergeCell ref="G131:J131"/>
    <mergeCell ref="C156:J156"/>
    <mergeCell ref="C75:J75"/>
    <mergeCell ref="G119:J119"/>
    <mergeCell ref="G120:J120"/>
    <mergeCell ref="G117:J117"/>
    <mergeCell ref="G121:J121"/>
    <mergeCell ref="C72:J72"/>
    <mergeCell ref="G137:J137"/>
    <mergeCell ref="G138:J138"/>
    <mergeCell ref="G139:J139"/>
    <mergeCell ref="C129:F129"/>
    <mergeCell ref="C134:F134"/>
    <mergeCell ref="C138:F138"/>
    <mergeCell ref="G142:J143"/>
    <mergeCell ref="G132:J132"/>
    <mergeCell ref="G133:J133"/>
    <mergeCell ref="G134:J134"/>
    <mergeCell ref="G135:J135"/>
    <mergeCell ref="G136:J136"/>
    <mergeCell ref="G148:J148"/>
    <mergeCell ref="G149:J149"/>
    <mergeCell ref="G150:J150"/>
    <mergeCell ref="G151:J151"/>
    <mergeCell ref="G152:J152"/>
  </mergeCells>
  <hyperlinks>
    <hyperlink ref="C75" r:id="rId1" display="This work is licensed under a Creative Commons Attribution-NonCommercial 4.0 International License." xr:uid="{23FCF53D-4346-4B4E-AD61-F951EC204DD2}"/>
    <hyperlink ref="C156" r:id="rId2" display="This work is licensed under a Creative Commons Attribution-NonCommercial 4.0 International License." xr:uid="{06D09361-F8BC-4C1E-BE5A-4135608D9BB7}"/>
  </hyperlinks>
  <printOptions horizontalCentered="1" verticalCentered="1"/>
  <pageMargins left="0" right="0" top="0" bottom="0" header="0" footer="0"/>
  <pageSetup paperSize="9" scale="58" fitToWidth="0" orientation="portrait" r:id="rId3"/>
  <headerFooter alignWithMargins="0"/>
  <rowBreaks count="2" manualBreakCount="2">
    <brk id="77" max="13" man="1"/>
    <brk id="157" max="16383" man="1"/>
  </rowBreaks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0731610D-83BE-43AD-844C-101BF3801997}">
            <x14:iconSet iconSet="3Symbols2" showValue="0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K14:K15</xm:sqref>
        </x14:conditionalFormatting>
        <x14:conditionalFormatting xmlns:xm="http://schemas.microsoft.com/office/excel/2006/main">
          <x14:cfRule type="iconSet" priority="1" id="{6CE77024-7142-4663-8140-D37F7794863B}">
            <x14:iconSet iconSet="3Symbols2" showValue="0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K91:K92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6EE6-A8FF-492D-85D3-AA3265E5F061}">
  <sheetPr>
    <tabColor theme="2" tint="-0.249977111117893"/>
  </sheetPr>
  <dimension ref="A1:O41"/>
  <sheetViews>
    <sheetView showGridLines="0" zoomScale="115" zoomScaleNormal="115" workbookViewId="0">
      <selection activeCell="C14" sqref="C14"/>
    </sheetView>
  </sheetViews>
  <sheetFormatPr defaultColWidth="9.109375" defaultRowHeight="13.8" x14ac:dyDescent="0.25"/>
  <cols>
    <col min="1" max="1" width="2.88671875" style="202" customWidth="1"/>
    <col min="2" max="2" width="35" style="202" bestFit="1" customWidth="1"/>
    <col min="3" max="14" width="13.21875" style="202" customWidth="1"/>
    <col min="15" max="15" width="2.88671875" style="202" customWidth="1"/>
    <col min="16" max="17" width="10.109375" style="202" bestFit="1" customWidth="1"/>
    <col min="18" max="18" width="9.109375" style="202"/>
    <col min="19" max="19" width="10.44140625" style="202" bestFit="1" customWidth="1"/>
    <col min="20" max="16384" width="9.109375" style="202"/>
  </cols>
  <sheetData>
    <row r="1" spans="1:15" x14ac:dyDescent="0.25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x14ac:dyDescent="0.25">
      <c r="A2" s="203"/>
      <c r="B2" s="443"/>
      <c r="C2" s="446" t="s">
        <v>170</v>
      </c>
      <c r="D2" s="446"/>
      <c r="E2" s="446"/>
      <c r="F2" s="446"/>
      <c r="G2" s="446"/>
      <c r="H2" s="446"/>
      <c r="I2" s="446"/>
      <c r="J2" s="446"/>
      <c r="K2" s="446"/>
      <c r="L2" s="447"/>
      <c r="M2" s="452" t="s">
        <v>1</v>
      </c>
      <c r="N2" s="452"/>
      <c r="O2" s="204"/>
    </row>
    <row r="3" spans="1:15" x14ac:dyDescent="0.25">
      <c r="A3" s="203"/>
      <c r="B3" s="444"/>
      <c r="C3" s="448"/>
      <c r="D3" s="448"/>
      <c r="E3" s="448"/>
      <c r="F3" s="448"/>
      <c r="G3" s="448"/>
      <c r="H3" s="448"/>
      <c r="I3" s="448"/>
      <c r="J3" s="448"/>
      <c r="K3" s="448"/>
      <c r="L3" s="449"/>
      <c r="M3" s="453" t="s">
        <v>114</v>
      </c>
      <c r="N3" s="453"/>
      <c r="O3" s="204"/>
    </row>
    <row r="4" spans="1:15" x14ac:dyDescent="0.25">
      <c r="A4" s="203"/>
      <c r="B4" s="444"/>
      <c r="C4" s="448"/>
      <c r="D4" s="448"/>
      <c r="E4" s="448"/>
      <c r="F4" s="448"/>
      <c r="G4" s="448"/>
      <c r="H4" s="448"/>
      <c r="I4" s="448"/>
      <c r="J4" s="448"/>
      <c r="K4" s="448"/>
      <c r="L4" s="449"/>
      <c r="M4" s="452" t="s">
        <v>2</v>
      </c>
      <c r="N4" s="452"/>
      <c r="O4" s="204"/>
    </row>
    <row r="5" spans="1:15" x14ac:dyDescent="0.25">
      <c r="A5" s="203"/>
      <c r="B5" s="444"/>
      <c r="C5" s="448"/>
      <c r="D5" s="448"/>
      <c r="E5" s="448"/>
      <c r="F5" s="448"/>
      <c r="G5" s="448"/>
      <c r="H5" s="448"/>
      <c r="I5" s="448"/>
      <c r="J5" s="448"/>
      <c r="K5" s="448"/>
      <c r="L5" s="449"/>
      <c r="M5" s="453" t="s">
        <v>171</v>
      </c>
      <c r="N5" s="453"/>
      <c r="O5" s="204"/>
    </row>
    <row r="6" spans="1:15" x14ac:dyDescent="0.25">
      <c r="A6" s="203"/>
      <c r="B6" s="444"/>
      <c r="C6" s="448"/>
      <c r="D6" s="448"/>
      <c r="E6" s="448"/>
      <c r="F6" s="448"/>
      <c r="G6" s="448"/>
      <c r="H6" s="448"/>
      <c r="I6" s="448"/>
      <c r="J6" s="448"/>
      <c r="K6" s="448"/>
      <c r="L6" s="449"/>
      <c r="M6" s="452" t="s">
        <v>3</v>
      </c>
      <c r="N6" s="452"/>
      <c r="O6" s="204"/>
    </row>
    <row r="7" spans="1:15" x14ac:dyDescent="0.25">
      <c r="A7" s="203"/>
      <c r="B7" s="444"/>
      <c r="C7" s="448"/>
      <c r="D7" s="448"/>
      <c r="E7" s="448"/>
      <c r="F7" s="448"/>
      <c r="G7" s="448"/>
      <c r="H7" s="448"/>
      <c r="I7" s="448"/>
      <c r="J7" s="448"/>
      <c r="K7" s="448"/>
      <c r="L7" s="449"/>
      <c r="M7" s="454">
        <v>45513</v>
      </c>
      <c r="N7" s="454"/>
      <c r="O7" s="204"/>
    </row>
    <row r="8" spans="1:15" x14ac:dyDescent="0.25">
      <c r="A8" s="203"/>
      <c r="B8" s="444"/>
      <c r="C8" s="448"/>
      <c r="D8" s="448"/>
      <c r="E8" s="448"/>
      <c r="F8" s="448"/>
      <c r="G8" s="448"/>
      <c r="H8" s="448"/>
      <c r="I8" s="448"/>
      <c r="J8" s="448"/>
      <c r="K8" s="448"/>
      <c r="L8" s="449"/>
      <c r="M8" s="452" t="s">
        <v>4</v>
      </c>
      <c r="N8" s="452"/>
      <c r="O8" s="204"/>
    </row>
    <row r="9" spans="1:15" x14ac:dyDescent="0.25">
      <c r="A9" s="203"/>
      <c r="B9" s="445"/>
      <c r="C9" s="450"/>
      <c r="D9" s="450"/>
      <c r="E9" s="450"/>
      <c r="F9" s="450"/>
      <c r="G9" s="450"/>
      <c r="H9" s="450"/>
      <c r="I9" s="450"/>
      <c r="J9" s="450"/>
      <c r="K9" s="450"/>
      <c r="L9" s="451"/>
      <c r="M9" s="455" t="s">
        <v>172</v>
      </c>
      <c r="N9" s="455"/>
      <c r="O9" s="204"/>
    </row>
    <row r="10" spans="1:15" x14ac:dyDescent="0.25">
      <c r="A10" s="203"/>
      <c r="O10" s="204"/>
    </row>
    <row r="11" spans="1:15" x14ac:dyDescent="0.25">
      <c r="A11" s="203"/>
      <c r="B11" s="436" t="s">
        <v>142</v>
      </c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8"/>
      <c r="O11" s="204"/>
    </row>
    <row r="12" spans="1:15" x14ac:dyDescent="0.25">
      <c r="A12" s="203"/>
      <c r="B12" s="439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441"/>
      <c r="O12" s="204"/>
    </row>
    <row r="13" spans="1:15" s="207" customFormat="1" ht="18" customHeight="1" x14ac:dyDescent="0.3">
      <c r="A13" s="205"/>
      <c r="B13" s="224" t="s">
        <v>168</v>
      </c>
      <c r="C13" s="225" t="s">
        <v>143</v>
      </c>
      <c r="D13" s="225" t="s">
        <v>144</v>
      </c>
      <c r="E13" s="225" t="s">
        <v>145</v>
      </c>
      <c r="F13" s="225" t="s">
        <v>146</v>
      </c>
      <c r="G13" s="225" t="s">
        <v>147</v>
      </c>
      <c r="H13" s="225" t="s">
        <v>148</v>
      </c>
      <c r="I13" s="225" t="s">
        <v>149</v>
      </c>
      <c r="J13" s="225" t="s">
        <v>150</v>
      </c>
      <c r="K13" s="225" t="s">
        <v>151</v>
      </c>
      <c r="L13" s="225" t="s">
        <v>152</v>
      </c>
      <c r="M13" s="225" t="s">
        <v>153</v>
      </c>
      <c r="N13" s="226" t="s">
        <v>154</v>
      </c>
      <c r="O13" s="206"/>
    </row>
    <row r="14" spans="1:15" s="207" customFormat="1" ht="18" customHeight="1" x14ac:dyDescent="0.3">
      <c r="A14" s="205"/>
      <c r="B14" s="214" t="s">
        <v>155</v>
      </c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09"/>
      <c r="O14" s="206"/>
    </row>
    <row r="15" spans="1:15" s="207" customFormat="1" ht="18" customHeight="1" x14ac:dyDescent="0.3">
      <c r="A15" s="205"/>
      <c r="B15" s="214" t="s">
        <v>156</v>
      </c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09"/>
      <c r="O15" s="206"/>
    </row>
    <row r="16" spans="1:15" x14ac:dyDescent="0.25">
      <c r="A16" s="203"/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9"/>
      <c r="O16" s="204"/>
    </row>
    <row r="17" spans="1:15" s="207" customFormat="1" ht="18" customHeight="1" x14ac:dyDescent="0.3">
      <c r="A17" s="205"/>
      <c r="B17" s="224" t="s">
        <v>169</v>
      </c>
      <c r="C17" s="225" t="s">
        <v>143</v>
      </c>
      <c r="D17" s="225" t="s">
        <v>144</v>
      </c>
      <c r="E17" s="225" t="s">
        <v>145</v>
      </c>
      <c r="F17" s="225" t="s">
        <v>146</v>
      </c>
      <c r="G17" s="225" t="s">
        <v>147</v>
      </c>
      <c r="H17" s="225" t="s">
        <v>148</v>
      </c>
      <c r="I17" s="225" t="s">
        <v>149</v>
      </c>
      <c r="J17" s="225" t="s">
        <v>150</v>
      </c>
      <c r="K17" s="225" t="s">
        <v>151</v>
      </c>
      <c r="L17" s="225" t="s">
        <v>152</v>
      </c>
      <c r="M17" s="225" t="s">
        <v>153</v>
      </c>
      <c r="N17" s="226" t="s">
        <v>154</v>
      </c>
      <c r="O17" s="206"/>
    </row>
    <row r="18" spans="1:15" s="207" customFormat="1" ht="18" customHeight="1" x14ac:dyDescent="0.3">
      <c r="A18" s="205"/>
      <c r="B18" s="214" t="s">
        <v>155</v>
      </c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09"/>
      <c r="O18" s="206"/>
    </row>
    <row r="19" spans="1:15" s="207" customFormat="1" ht="18" customHeight="1" x14ac:dyDescent="0.3">
      <c r="A19" s="205"/>
      <c r="B19" s="213" t="s">
        <v>156</v>
      </c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08"/>
      <c r="O19" s="206"/>
    </row>
    <row r="20" spans="1:15" x14ac:dyDescent="0.25">
      <c r="A20" s="203"/>
      <c r="O20" s="204"/>
    </row>
    <row r="21" spans="1:15" s="207" customFormat="1" ht="18" customHeight="1" x14ac:dyDescent="0.3">
      <c r="A21" s="205"/>
      <c r="B21" s="224" t="s">
        <v>157</v>
      </c>
      <c r="C21" s="225" t="s">
        <v>143</v>
      </c>
      <c r="D21" s="225" t="s">
        <v>144</v>
      </c>
      <c r="E21" s="225" t="s">
        <v>145</v>
      </c>
      <c r="F21" s="225" t="s">
        <v>146</v>
      </c>
      <c r="G21" s="225" t="s">
        <v>147</v>
      </c>
      <c r="H21" s="225" t="s">
        <v>148</v>
      </c>
      <c r="I21" s="225" t="s">
        <v>149</v>
      </c>
      <c r="J21" s="225" t="s">
        <v>150</v>
      </c>
      <c r="K21" s="225" t="s">
        <v>151</v>
      </c>
      <c r="L21" s="225" t="s">
        <v>152</v>
      </c>
      <c r="M21" s="225" t="s">
        <v>153</v>
      </c>
      <c r="N21" s="226" t="s">
        <v>154</v>
      </c>
      <c r="O21" s="206"/>
    </row>
    <row r="22" spans="1:15" s="207" customFormat="1" ht="18" customHeight="1" x14ac:dyDescent="0.3">
      <c r="A22" s="205"/>
      <c r="B22" s="214" t="s">
        <v>155</v>
      </c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09"/>
      <c r="O22" s="206"/>
    </row>
    <row r="23" spans="1:15" s="207" customFormat="1" ht="18" customHeight="1" x14ac:dyDescent="0.3">
      <c r="A23" s="205"/>
      <c r="B23" s="213" t="s">
        <v>156</v>
      </c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08"/>
      <c r="O23" s="206"/>
    </row>
    <row r="24" spans="1:15" x14ac:dyDescent="0.25">
      <c r="A24" s="203"/>
      <c r="O24" s="204"/>
    </row>
    <row r="25" spans="1:15" s="207" customFormat="1" ht="18" customHeight="1" x14ac:dyDescent="0.3">
      <c r="A25" s="205"/>
      <c r="B25" s="224" t="s">
        <v>158</v>
      </c>
      <c r="C25" s="225" t="s">
        <v>143</v>
      </c>
      <c r="D25" s="225" t="s">
        <v>144</v>
      </c>
      <c r="E25" s="225" t="s">
        <v>145</v>
      </c>
      <c r="F25" s="225" t="s">
        <v>146</v>
      </c>
      <c r="G25" s="225" t="s">
        <v>147</v>
      </c>
      <c r="H25" s="225" t="s">
        <v>148</v>
      </c>
      <c r="I25" s="225" t="s">
        <v>149</v>
      </c>
      <c r="J25" s="225" t="s">
        <v>150</v>
      </c>
      <c r="K25" s="225" t="s">
        <v>151</v>
      </c>
      <c r="L25" s="225" t="s">
        <v>152</v>
      </c>
      <c r="M25" s="225" t="s">
        <v>153</v>
      </c>
      <c r="N25" s="226" t="s">
        <v>154</v>
      </c>
      <c r="O25" s="206"/>
    </row>
    <row r="26" spans="1:15" s="207" customFormat="1" ht="18" customHeight="1" x14ac:dyDescent="0.3">
      <c r="A26" s="205"/>
      <c r="B26" s="214" t="s">
        <v>159</v>
      </c>
      <c r="C26" s="212">
        <f>C14+C18+C22</f>
        <v>0</v>
      </c>
      <c r="D26" s="212">
        <f t="shared" ref="D26:N26" si="0">D14+D18+D22</f>
        <v>0</v>
      </c>
      <c r="E26" s="212">
        <f t="shared" si="0"/>
        <v>0</v>
      </c>
      <c r="F26" s="212">
        <f t="shared" si="0"/>
        <v>0</v>
      </c>
      <c r="G26" s="212">
        <f t="shared" si="0"/>
        <v>0</v>
      </c>
      <c r="H26" s="212">
        <f t="shared" si="0"/>
        <v>0</v>
      </c>
      <c r="I26" s="212">
        <f t="shared" si="0"/>
        <v>0</v>
      </c>
      <c r="J26" s="212">
        <f t="shared" si="0"/>
        <v>0</v>
      </c>
      <c r="K26" s="212">
        <f t="shared" si="0"/>
        <v>0</v>
      </c>
      <c r="L26" s="212">
        <f t="shared" si="0"/>
        <v>0</v>
      </c>
      <c r="M26" s="212">
        <f t="shared" si="0"/>
        <v>0</v>
      </c>
      <c r="N26" s="211">
        <f t="shared" si="0"/>
        <v>0</v>
      </c>
      <c r="O26" s="206"/>
    </row>
    <row r="27" spans="1:15" s="207" customFormat="1" ht="18" customHeight="1" x14ac:dyDescent="0.3">
      <c r="A27" s="205"/>
      <c r="B27" s="214" t="s">
        <v>160</v>
      </c>
      <c r="C27" s="212">
        <f>C15+C19+C23</f>
        <v>0</v>
      </c>
      <c r="D27" s="212">
        <f t="shared" ref="D27:N27" si="1">D15+D19+D23</f>
        <v>0</v>
      </c>
      <c r="E27" s="212">
        <f t="shared" si="1"/>
        <v>0</v>
      </c>
      <c r="F27" s="212">
        <f t="shared" si="1"/>
        <v>0</v>
      </c>
      <c r="G27" s="212">
        <f t="shared" si="1"/>
        <v>0</v>
      </c>
      <c r="H27" s="212">
        <f t="shared" si="1"/>
        <v>0</v>
      </c>
      <c r="I27" s="212">
        <f t="shared" si="1"/>
        <v>0</v>
      </c>
      <c r="J27" s="212">
        <f t="shared" si="1"/>
        <v>0</v>
      </c>
      <c r="K27" s="212">
        <f t="shared" si="1"/>
        <v>0</v>
      </c>
      <c r="L27" s="212">
        <f t="shared" si="1"/>
        <v>0</v>
      </c>
      <c r="M27" s="212">
        <f t="shared" si="1"/>
        <v>0</v>
      </c>
      <c r="N27" s="211">
        <f t="shared" si="1"/>
        <v>0</v>
      </c>
      <c r="O27" s="206"/>
    </row>
    <row r="28" spans="1:15" s="207" customFormat="1" ht="18" customHeight="1" x14ac:dyDescent="0.3">
      <c r="A28" s="205"/>
      <c r="B28" s="214" t="s">
        <v>161</v>
      </c>
      <c r="C28" s="212">
        <f>RECEITAS!E16</f>
        <v>0</v>
      </c>
      <c r="D28" s="212">
        <f>RECEITAS!G16</f>
        <v>0</v>
      </c>
      <c r="E28" s="212">
        <f>RECEITAS!I16</f>
        <v>0</v>
      </c>
      <c r="F28" s="212">
        <f>RECEITAS!K16</f>
        <v>0</v>
      </c>
      <c r="G28" s="212">
        <f>RECEITAS!M16</f>
        <v>0</v>
      </c>
      <c r="H28" s="212">
        <f>RECEITAS!O16</f>
        <v>0</v>
      </c>
      <c r="I28" s="212">
        <f>RECEITAS!Q16</f>
        <v>0</v>
      </c>
      <c r="J28" s="212">
        <f>RECEITAS!S16</f>
        <v>0</v>
      </c>
      <c r="K28" s="212">
        <f>RECEITAS!U16</f>
        <v>0</v>
      </c>
      <c r="L28" s="212">
        <f>RECEITAS!W16</f>
        <v>0</v>
      </c>
      <c r="M28" s="212">
        <f>RECEITAS!Y16</f>
        <v>0</v>
      </c>
      <c r="N28" s="210">
        <f>RECEITAS!AA16</f>
        <v>0</v>
      </c>
      <c r="O28" s="206"/>
    </row>
    <row r="29" spans="1:15" s="207" customFormat="1" ht="18" customHeight="1" x14ac:dyDescent="0.3">
      <c r="A29" s="205"/>
      <c r="B29" s="214" t="s">
        <v>162</v>
      </c>
      <c r="C29" s="212">
        <f>GASTOS!F16</f>
        <v>0</v>
      </c>
      <c r="D29" s="212">
        <f>GASTOS!H16</f>
        <v>0</v>
      </c>
      <c r="E29" s="212">
        <f>GASTOS!J16</f>
        <v>0</v>
      </c>
      <c r="F29" s="212">
        <f>GASTOS!L16</f>
        <v>0</v>
      </c>
      <c r="G29" s="212">
        <f>GASTOS!N16</f>
        <v>0</v>
      </c>
      <c r="H29" s="212">
        <f>GASTOS!P16</f>
        <v>0</v>
      </c>
      <c r="I29" s="212">
        <f>GASTOS!R16</f>
        <v>0</v>
      </c>
      <c r="J29" s="212">
        <f>GASTOS!T16</f>
        <v>0</v>
      </c>
      <c r="K29" s="212">
        <f>GASTOS!V16</f>
        <v>0</v>
      </c>
      <c r="L29" s="212">
        <f>GASTOS!X16</f>
        <v>0</v>
      </c>
      <c r="M29" s="212">
        <f>GASTOS!Z16</f>
        <v>0</v>
      </c>
      <c r="N29" s="211">
        <f>GASTOS!AB16</f>
        <v>0</v>
      </c>
      <c r="O29" s="206"/>
    </row>
    <row r="30" spans="1:15" s="207" customFormat="1" ht="18" customHeight="1" x14ac:dyDescent="0.3">
      <c r="A30" s="205"/>
      <c r="B30" s="220" t="s">
        <v>163</v>
      </c>
      <c r="C30" s="212">
        <f>C27-C26</f>
        <v>0</v>
      </c>
      <c r="D30" s="212">
        <f>D27-D26</f>
        <v>0</v>
      </c>
      <c r="E30" s="212">
        <f t="shared" ref="E30:N30" si="2">E27-E26</f>
        <v>0</v>
      </c>
      <c r="F30" s="212">
        <f t="shared" si="2"/>
        <v>0</v>
      </c>
      <c r="G30" s="212">
        <f t="shared" si="2"/>
        <v>0</v>
      </c>
      <c r="H30" s="212">
        <f t="shared" si="2"/>
        <v>0</v>
      </c>
      <c r="I30" s="212">
        <f t="shared" si="2"/>
        <v>0</v>
      </c>
      <c r="J30" s="212">
        <f t="shared" si="2"/>
        <v>0</v>
      </c>
      <c r="K30" s="212">
        <f t="shared" si="2"/>
        <v>0</v>
      </c>
      <c r="L30" s="212">
        <f t="shared" si="2"/>
        <v>0</v>
      </c>
      <c r="M30" s="212">
        <f t="shared" si="2"/>
        <v>0</v>
      </c>
      <c r="N30" s="212">
        <f t="shared" si="2"/>
        <v>0</v>
      </c>
      <c r="O30" s="206"/>
    </row>
    <row r="31" spans="1:15" s="207" customFormat="1" ht="18" customHeight="1" x14ac:dyDescent="0.3">
      <c r="A31" s="205"/>
      <c r="B31" s="220" t="s">
        <v>164</v>
      </c>
      <c r="C31" s="212">
        <f t="shared" ref="C31" si="3">C28-C29</f>
        <v>0</v>
      </c>
      <c r="D31" s="212">
        <f t="shared" ref="D31" si="4">D28-D29</f>
        <v>0</v>
      </c>
      <c r="E31" s="212">
        <f t="shared" ref="E31:N31" si="5">E28-E29</f>
        <v>0</v>
      </c>
      <c r="F31" s="212">
        <f t="shared" si="5"/>
        <v>0</v>
      </c>
      <c r="G31" s="212">
        <f t="shared" si="5"/>
        <v>0</v>
      </c>
      <c r="H31" s="212">
        <f t="shared" si="5"/>
        <v>0</v>
      </c>
      <c r="I31" s="212">
        <f t="shared" si="5"/>
        <v>0</v>
      </c>
      <c r="J31" s="212">
        <f t="shared" si="5"/>
        <v>0</v>
      </c>
      <c r="K31" s="212">
        <f t="shared" si="5"/>
        <v>0</v>
      </c>
      <c r="L31" s="212">
        <f t="shared" si="5"/>
        <v>0</v>
      </c>
      <c r="M31" s="212">
        <f t="shared" si="5"/>
        <v>0</v>
      </c>
      <c r="N31" s="212">
        <f t="shared" si="5"/>
        <v>0</v>
      </c>
      <c r="O31" s="206"/>
    </row>
    <row r="32" spans="1:15" s="207" customFormat="1" ht="18" customHeight="1" x14ac:dyDescent="0.3">
      <c r="A32" s="205"/>
      <c r="B32" s="221" t="s">
        <v>165</v>
      </c>
      <c r="C32" s="222">
        <f>C30-C31</f>
        <v>0</v>
      </c>
      <c r="D32" s="222">
        <f t="shared" ref="D32:N32" si="6">D30-D31</f>
        <v>0</v>
      </c>
      <c r="E32" s="222">
        <f t="shared" si="6"/>
        <v>0</v>
      </c>
      <c r="F32" s="222">
        <f t="shared" si="6"/>
        <v>0</v>
      </c>
      <c r="G32" s="222">
        <f t="shared" si="6"/>
        <v>0</v>
      </c>
      <c r="H32" s="222">
        <f t="shared" si="6"/>
        <v>0</v>
      </c>
      <c r="I32" s="222">
        <f t="shared" si="6"/>
        <v>0</v>
      </c>
      <c r="J32" s="222">
        <f t="shared" si="6"/>
        <v>0</v>
      </c>
      <c r="K32" s="222">
        <f t="shared" si="6"/>
        <v>0</v>
      </c>
      <c r="L32" s="222">
        <f t="shared" si="6"/>
        <v>0</v>
      </c>
      <c r="M32" s="222">
        <f t="shared" si="6"/>
        <v>0</v>
      </c>
      <c r="N32" s="223">
        <f t="shared" si="6"/>
        <v>0</v>
      </c>
      <c r="O32" s="206"/>
    </row>
    <row r="33" spans="1:15" x14ac:dyDescent="0.25">
      <c r="A33" s="215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7"/>
    </row>
    <row r="34" spans="1:15" ht="17.25" customHeight="1" x14ac:dyDescent="0.25">
      <c r="A34" s="20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4"/>
    </row>
    <row r="35" spans="1:15" ht="17.25" customHeight="1" x14ac:dyDescent="0.25">
      <c r="A35" s="203"/>
      <c r="B35" s="2"/>
      <c r="C35" s="442" t="s">
        <v>166</v>
      </c>
      <c r="D35" s="442"/>
      <c r="E35" s="442"/>
      <c r="F35" s="442"/>
      <c r="G35" s="442"/>
      <c r="H35" s="442"/>
      <c r="I35" s="442"/>
      <c r="J35" s="442"/>
      <c r="K35" s="442"/>
      <c r="L35" s="442"/>
      <c r="M35" s="16"/>
      <c r="N35" s="16"/>
      <c r="O35" s="32"/>
    </row>
    <row r="36" spans="1:15" ht="17.25" customHeight="1" x14ac:dyDescent="0.25">
      <c r="A36" s="21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98"/>
    </row>
    <row r="37" spans="1:15" x14ac:dyDescent="0.25">
      <c r="L37" s="202" t="s">
        <v>167</v>
      </c>
    </row>
    <row r="41" spans="1:15" x14ac:dyDescent="0.25">
      <c r="F41" s="3"/>
    </row>
  </sheetData>
  <mergeCells count="12">
    <mergeCell ref="B11:N12"/>
    <mergeCell ref="C35:L35"/>
    <mergeCell ref="B2:B9"/>
    <mergeCell ref="C2:L9"/>
    <mergeCell ref="M2:N2"/>
    <mergeCell ref="M3:N3"/>
    <mergeCell ref="M4:N4"/>
    <mergeCell ref="M5:N5"/>
    <mergeCell ref="M6:N6"/>
    <mergeCell ref="M7:N7"/>
    <mergeCell ref="M8:N8"/>
    <mergeCell ref="M9:N9"/>
  </mergeCells>
  <conditionalFormatting sqref="C32:N32">
    <cfRule type="cellIs" dxfId="2" priority="1" operator="lessThan">
      <formula>0</formula>
    </cfRule>
    <cfRule type="cellIs" dxfId="1" priority="2" operator="equal">
      <formula>0</formula>
    </cfRule>
    <cfRule type="cellIs" dxfId="0" priority="3" operator="greaterThan">
      <formula>0</formula>
    </cfRule>
  </conditionalFormatting>
  <hyperlinks>
    <hyperlink ref="C35" r:id="rId1" xr:uid="{58630BBE-E746-48EB-A443-97ABC4C97633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INDICADORES</vt:lpstr>
      <vt:lpstr>CADASTRO DE ITENS</vt:lpstr>
      <vt:lpstr>RECEITAS</vt:lpstr>
      <vt:lpstr>GASTOS</vt:lpstr>
      <vt:lpstr>PLANO DE CONTAS</vt:lpstr>
      <vt:lpstr>CONCILIAÇÃO</vt:lpstr>
      <vt:lpstr>GASTOS!Area_de_impressao</vt:lpstr>
      <vt:lpstr>INDICADORES!Area_de_impressao</vt:lpstr>
      <vt:lpstr>'PLANO DE CONTAS'!Area_de_impressao</vt:lpstr>
      <vt:lpstr>RECEITAS!Area_de_impressao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Rockembach</dc:creator>
  <cp:lastModifiedBy>Usuário 0004 IPRO</cp:lastModifiedBy>
  <cp:lastPrinted>2023-03-07T11:48:48Z</cp:lastPrinted>
  <dcterms:created xsi:type="dcterms:W3CDTF">2019-11-11T11:37:16Z</dcterms:created>
  <dcterms:modified xsi:type="dcterms:W3CDTF">2025-06-24T20:56:19Z</dcterms:modified>
</cp:coreProperties>
</file>